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f352f5ac8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784d2e2c9a4c91"/>
    <x:sheet xmlns:r="http://schemas.openxmlformats.org/officeDocument/2006/relationships" name="Materials" sheetId="2" r:id="R4bfc07511f3248c3"/>
    <x:sheet xmlns:r="http://schemas.openxmlformats.org/officeDocument/2006/relationships" name="Property Dictionary" sheetId="3" r:id="Rda173e6456da4a88"/>
    <x:sheet xmlns:r="http://schemas.openxmlformats.org/officeDocument/2006/relationships" name="Sources" sheetId="4" r:id="Re624589c5b56416d"/>
    <x:sheet xmlns:r="http://schemas.openxmlformats.org/officeDocument/2006/relationships" name="CPD Numeric Export" sheetId="5" r:id="R62893bf8e6ef4c33"/>
    <x:sheet xmlns:r="http://schemas.openxmlformats.org/officeDocument/2006/relationships" name="Selector" sheetId="6" r:id="Raa3901f9b61c473b"/>
    <x:sheet xmlns:r="http://schemas.openxmlformats.org/officeDocument/2006/relationships" name="QA" sheetId="7" r:id="Rcc6eca3a36eb4b5b"/>
    <x:sheet xmlns:r="http://schemas.openxmlformats.org/officeDocument/2006/relationships" name="Categories" sheetId="39" r:id="R4ce51a7fdc794c2f"/>
    <x:sheet xmlns:r="http://schemas.openxmlformats.org/officeDocument/2006/relationships" name="Aliases" sheetId="40" r:id="R2e05d78461104d5b"/>
    <x:sheet xmlns:r="http://schemas.openxmlformats.org/officeDocument/2006/relationships" name="Dataset Contract" sheetId="41" r:id="R7008b985b0ee4593"/>
    <x:sheet xmlns:r="http://schemas.openxmlformats.org/officeDocument/2006/relationships" name="Citations" sheetId="44" r:id="R517db34423a94986"/>
    <x:sheet xmlns:r="http://schemas.openxmlformats.org/officeDocument/2006/relationships" name="Property Provenance" sheetId="45" r:id="Re3bfbbbd5b26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#,##0"/>
    <x:numFmt numFmtId="202" formatCode="0.000"/>
    <x:numFmt numFmtId="203" formatCode="0.0000"/>
    <x:numFmt numFmtId="204" formatCode="0.00E+00"/>
    <x:numFmt numFmtId="205" formatCode="0.0"/>
    <x:numFmt numFmtId="206" formatCode="0.000E+00"/>
    <x:numFmt numFmtId="207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1"/>
      <x:color rgb="FFFFFFFF"/>
      <x:name val="Aptos Display"/>
    </x:font>
    <x:font>
      <x:b/>
      <x:sz val="10"/>
      <x:color rgb="FF17365D"/>
      <x:name val="Aptos"/>
    </x:font>
    <x:font>
      <x:b/>
      <x:sz val="10"/>
      <x:color rgb="FF1F2937"/>
      <x:name val="Aptos"/>
    </x:font>
  </x:fonts>
  <x:fills count="2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5"/>
      </x:patternFill>
    </x:fill>
    <x:fill>
      <x:patternFill patternType="solid">
        <x:fgColor rgb="FF1D6F78"/>
      </x:patternFill>
    </x:fill>
    <x:fill>
      <x:patternFill patternType="solid">
        <x:fgColor rgb="FFF6F8FA"/>
      </x:patternFill>
    </x:fill>
    <x:fill>
      <x:patternFill patternType="solid">
        <x:fgColor rgb="FFE8F4EA"/>
      </x:patternFill>
    </x:fill>
    <x:fill>
      <x:patternFill patternType="solid">
        <x:fgColor rgb="FFFFF8E1"/>
      </x:patternFill>
    </x:fill>
    <x:fill>
      <x:patternFill patternType="solid">
        <x:fgColor rgb="FFFFF3CD"/>
      </x:patternFill>
    </x:fill>
    <x:fill>
      <x:patternFill patternType="solid">
        <x:fgColor rgb="FFDDEFE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  <x:top style="thin">
        <x:color rgb="FFC8D2DC"/>
      </x:top>
    </x:border>
    <x:border>
      <x:left style="thin">
        <x:color rgb="FFC8D2DC"/>
      </x:left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2" fontId="0" fillId="6" borderId="0" xfId="0" applyNumberFormat="1" applyFont="1" applyFill="1" applyBorder="1" applyAlignment="1">
      <x:alignment vertical="top"/>
    </x:xf>
    <x:xf numFmtId="202" fontId="0" fillId="7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20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206" fontId="2" fillId="9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center"/>
    </x:xf>
    <x:xf numFmtId="0" fontId="6" fillId="14" borderId="0" xfId="0" applyNumberFormat="1" applyFont="1" applyFill="1" applyBorder="1" applyAlignment="1">
      <x:alignment vertical="center"/>
    </x:xf>
    <x:xf numFmtId="0" fontId="6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vertical="center"/>
    </x:xf>
    <x:xf numFmtId="0" fontId="6" fillId="17" borderId="0" xfId="0" applyNumberFormat="1" applyFont="1" applyFill="1" applyBorder="1" applyAlignment="1">
      <x:alignment vertical="center"/>
    </x:xf>
    <x:xf numFmtId="0" fontId="6" fillId="17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vertical="center"/>
    </x:xf>
    <x:xf numFmtId="0" fontId="6" fillId="19" borderId="0" xfId="0" applyNumberFormat="1" applyFont="1" applyFill="1" applyBorder="1" applyAlignment="1">
      <x:alignment vertical="center"/>
    </x:xf>
    <x:xf numFmtId="0" fontId="6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center"/>
    </x:xf>
    <x:xf numFmtId="0" fontId="6" fillId="20" borderId="0" xfId="0" applyNumberFormat="1" applyFont="1" applyFill="1" applyBorder="1" applyAlignment="1">
      <x:alignment vertical="center"/>
    </x:xf>
    <x:xf numFmtId="0" fontId="6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vertical="center"/>
    </x:xf>
    <x:xf numFmtId="0" fontId="6" fillId="21" borderId="0" xfId="0" applyNumberFormat="1" applyFont="1" applyFill="1" applyBorder="1" applyAlignment="1">
      <x:alignment vertical="center"/>
    </x:xf>
    <x:xf numFmtId="0" fontId="6" fillId="21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7" fillId="21" borderId="0" xfId="0" applyNumberFormat="1" applyFont="1" applyFill="1" applyBorder="1" applyAlignment="1">
      <x:alignment wrapText="1"/>
    </x:xf>
    <x:xf numFmtId="0" fontId="8" fillId="2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 wrapText="1"/>
    </x:xf>
    <x:xf numFmtId="0" fontId="7" fillId="23" borderId="0" xfId="0" applyNumberFormat="1" applyFont="1" applyFill="1" applyBorder="1" applyAlignment="1">
      <x:alignment wrapText="1"/>
    </x:xf>
    <x:xf numFmtId="0" fontId="8" fillId="24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25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7" fillId="25" borderId="0" xfId="0" applyNumberFormat="1" applyFont="1" applyFill="1" applyBorder="1" applyAlignment="1">
      <x:alignment wrapText="1"/>
    </x:xf>
    <x:xf numFmtId="0" fontId="8" fillId="2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842029"/>
      </x:font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46fa649f943a3" /><Relationship Type="http://schemas.openxmlformats.org/officeDocument/2006/relationships/theme" Target="/xl/theme/theme1.xml" Id="Rb9f2008d353d49e8" /><Relationship Type="http://schemas.microsoft.com/office/2022/11/relationships/FeaturePropertyBag" Target="/xl/featurePropertyBag/featurePropertyBag.xml" Id="Rb0ed72a2fced4cc7" /><Relationship Type="http://schemas.openxmlformats.org/officeDocument/2006/relationships/sharedStrings" Target="/xl/sharedStrings.xml" Id="Reb1ba6bccd5e4e0f" /><Relationship Type="http://schemas.openxmlformats.org/officeDocument/2006/relationships/worksheet" Target="/xl/worksheets/sheet1.xml" Id="R22784d2e2c9a4c91" /><Relationship Type="http://schemas.openxmlformats.org/officeDocument/2006/relationships/worksheet" Target="/xl/worksheets/sheet2.xml" Id="R4bfc07511f3248c3" /><Relationship Type="http://schemas.openxmlformats.org/officeDocument/2006/relationships/worksheet" Target="/xl/worksheets/sheet3.xml" Id="Rda173e6456da4a88" /><Relationship Type="http://schemas.openxmlformats.org/officeDocument/2006/relationships/worksheet" Target="/xl/worksheets/sheet4.xml" Id="Re624589c5b56416d" /><Relationship Type="http://schemas.openxmlformats.org/officeDocument/2006/relationships/worksheet" Target="/xl/worksheets/sheet5.xml" Id="R62893bf8e6ef4c33" /><Relationship Type="http://schemas.openxmlformats.org/officeDocument/2006/relationships/worksheet" Target="/xl/worksheets/sheet6.xml" Id="Raa3901f9b61c473b" /><Relationship Type="http://schemas.openxmlformats.org/officeDocument/2006/relationships/worksheet" Target="/xl/worksheets/sheet7.xml" Id="Rcc6eca3a36eb4b5b" /><Relationship Type="http://schemas.openxmlformats.org/officeDocument/2006/relationships/worksheet" Target="/xl/worksheets/sheet8.xml" Id="R4ce51a7fdc794c2f" /><Relationship Type="http://schemas.openxmlformats.org/officeDocument/2006/relationships/worksheet" Target="/xl/worksheets/sheet9.xml" Id="R2e05d78461104d5b" /><Relationship Type="http://schemas.openxmlformats.org/officeDocument/2006/relationships/worksheet" Target="/xl/worksheets/sheet10.xml" Id="R7008b985b0ee4593" /><Relationship Type="http://schemas.openxmlformats.org/officeDocument/2006/relationships/worksheet" Target="/xl/worksheets/sheet11.xml" Id="R517db34423a94986" /><Relationship Type="http://schemas.openxmlformats.org/officeDocument/2006/relationships/worksheet" Target="/xl/worksheets/sheet12.xml" Id="Re3bfbbbd5b2646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gineeringMaterialsTable" displayName="EngineeringMaterialsTable" ref="A1:AG127" headerRowCount="1" totalsRowCount="0" totalsRowShown="0">
  <x:tableColumns count="33">
    <x:tableColumn id="1" name="Material_ID"/>
    <x:tableColumn id="2" name="CPD_Constant"/>
    <x:tableColumn id="3" name="Material_Name"/>
    <x:tableColumn id="4" name="Family"/>
    <x:tableColumn id="5" name="Category"/>
    <x:tableColumn id="6" name="Standard_or_Grade"/>
    <x:tableColumn id="7" name="Condition"/>
    <x:tableColumn id="8" name="Elastic_Model"/>
    <x:tableColumn id="9" name="Density_kg_m3"/>
    <x:tableColumn id="10" name="Youngs_Modulus_GPa"/>
    <x:tableColumn id="11" name="Poisson_Ratio"/>
    <x:tableColumn id="12" name="Shear_Override_GPa"/>
    <x:tableColumn id="13" name="Bulk_Override_GPa"/>
    <x:tableColumn id="14" name="Shear_Modulus_GPa_Derived"/>
    <x:tableColumn id="15" name="Bulk_Modulus_GPa_Derived"/>
    <x:tableColumn id="16" name="Yield_Strength_MPa"/>
    <x:tableColumn id="17" name="Tensile_Strength_MPa"/>
    <x:tableColumn id="18" name="Compressive_Strength_MPa"/>
    <x:tableColumn id="19" name="Flexural_Strength_MPa"/>
    <x:tableColumn id="20" name="Elongation_Fraction"/>
    <x:tableColumn id="21" name="Fracture_Toughness_MPa_sqrt_m"/>
    <x:tableColumn id="22" name="Thermal_Conductivity_W_mK"/>
    <x:tableColumn id="23" name="Specific_Heat_J_kgK"/>
    <x:tableColumn id="24" name="CTE_um_mK"/>
    <x:tableColumn id="25" name="Electrical_Resistivity_ohm_m"/>
    <x:tableColumn id="26" name="Transition_Temperature_C"/>
    <x:tableColumn id="27" name="Max_Service_Temperature_C"/>
    <x:tableColumn id="28" name="Hardness_HV"/>
    <x:tableColumn id="29" name="Source_ID"/>
    <x:tableColumn id="30" name="Data_Quality"/>
    <x:tableColumn id="31" name="Notes"/>
    <x:tableColumn id="32" name="Source_URL"/>
    <x:tableColumn id="33" name="Duplicate_ID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7" name="EngineeringMaterialProperties" displayName="EngineeringMaterialProperties" ref="A1:H19" headerRowCount="1" totalsRowCount="0" totalsRowShown="0">
  <x:tableColumns count="8">
    <x:tableColumn id="1" name="Property_ID"/>
    <x:tableColumn id="2" name="CPD_Constant"/>
    <x:tableColumn id="3" name="Property_Name"/>
    <x:tableColumn id="4" name="Unit"/>
    <x:tableColumn id="5" name="CPD_Export_Header"/>
    <x:tableColumn id="6" name="Definition"/>
    <x:tableColumn id="7" name="Missing_Value_Behavior"/>
    <x:tableColumn id="8" name="Materials_Source_Colum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ryTable" displayName="SourceRegistryTable" ref="A1:E12" headerRowCount="1" totalsRowCount="0" totalsRowShown="0">
  <x:tableColumns count="5">
    <x:tableColumn id="1" name="Source_ID"/>
    <x:tableColumn id="2" name="Source_Name"/>
    <x:tableColumn id="3" name="Coverage"/>
    <x:tableColumn id="4" name="Use_in_Library"/>
    <x:tableColumn id="5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PDNumericExportTable" displayName="CPDNumericExportTable" ref="A1:S127" headerRowCount="1" totalsRowCount="0" totalsRowShown="0">
  <x:tableColumns count="19">
    <x:tableColumn id="1" name="Material_ID"/>
    <x:tableColumn id="2" name="P01_Density_kg_m3"/>
    <x:tableColumn id="3" name="P02_Youngs_Modulus_GPa"/>
    <x:tableColumn id="4" name="P03_Shear_Modulus_GPa"/>
    <x:tableColumn id="5" name="P04_Poisson_Ratio"/>
    <x:tableColumn id="6" name="P05_Yield_Strength_MPa"/>
    <x:tableColumn id="7" name="P06_Tensile_Strength_MPa"/>
    <x:tableColumn id="8" name="P07_Compressive_Strength_MPa"/>
    <x:tableColumn id="9" name="P08_Flexural_Strength_MPa"/>
    <x:tableColumn id="10" name="P09_Elongation_Fraction"/>
    <x:tableColumn id="11" name="P10_Fracture_Toughness_MPa_sqrt_m"/>
    <x:tableColumn id="12" name="P11_Thermal_Conductivity_W_mK"/>
    <x:tableColumn id="13" name="P12_Specific_Heat_J_kgK"/>
    <x:tableColumn id="14" name="P13_CTE_um_mK"/>
    <x:tableColumn id="15" name="P14_Electrical_Resistivity_ohm_m"/>
    <x:tableColumn id="16" name="P15_Transition_Temperature_C"/>
    <x:tableColumn id="17" name="P16_Max_Service_Temperature_C"/>
    <x:tableColumn id="18" name="P17_Hardness_HV"/>
    <x:tableColumn id="19" name="P18_Bulk_Modulus_GP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5" name="EngineeringMaterialCategories" displayName="EngineeringMaterialCategories" ref="A1:E10" headerRowCount="1" totalsRowCount="0" totalsRowShown="0">
  <x:tableColumns count="5">
    <x:tableColumn id="1" name="Category_ID"/>
    <x:tableColumn id="2" name="CPD_Constant"/>
    <x:tableColumn id="3" name="Category_Name"/>
    <x:tableColumn id="4" name="Family"/>
    <x:tableColumn id="5" name="Category_Overri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6" name="EngineeringMaterialAliases" displayName="EngineeringMaterialAliases" ref="A1:D193" headerRowCount="1" totalsRowCount="0" totalsRowShown="0">
  <x:tableColumns count="4">
    <x:tableColumn id="1" name="Alias_Type"/>
    <x:tableColumn id="2" name="Sequence"/>
    <x:tableColumn id="3" name="Alias_Constant"/>
    <x:tableColumn id="4" name="Target_Consta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8" name="EngineeringMaterialsContract" displayName="EngineeringMaterialsContract" ref="A1:C18" headerRowCount="1" totalsRowCount="0" totalsRowShown="0">
  <x:tableColumns count="3">
    <x:tableColumn id="1" name="Key"/>
    <x:tableColumn id="2" name="Value"/>
    <x:tableColumn id="3" name="Purpo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3" name="EngineeringMaterialCitations" displayName="EngineeringMaterialCitations" ref="A1:H16" headerRowCount="1" totalsRowCount="0" totalsRowShown="0">
  <x:tableColumns count="8">
    <x:tableColumn id="1" name="Citation_ID"/>
    <x:tableColumn id="2" name="Source_ID"/>
    <x:tableColumn id="3" name="Citation_Title"/>
    <x:tableColumn id="4" name="Edition_or_Revision"/>
    <x:tableColumn id="5" name="Locator"/>
    <x:tableColumn id="6" name="URL"/>
    <x:tableColumn id="7" name="Qualification_Status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4" name="EngineeringMaterialPropertyProvenance" displayName="EngineeringMaterialPropertyProvenance" ref="A1:F1994" headerRowCount="1" totalsRowCount="0" totalsRowShown="0">
  <x:tableColumns count="6">
    <x:tableColumn id="1" name="Material_ID"/>
    <x:tableColumn id="2" name="Property_ID"/>
    <x:tableColumn id="3" name="Citation_ID"/>
    <x:tableColumn id="4" name="Qualification_Level"/>
    <x:tableColumn id="5" name="Evidence_Basi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846cd97bce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c5985ed9345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d7dbdee3e645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3738a2b1594a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a337c3b8c0b4b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fbc1b09b38d40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845254c95ad243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56222e77a5a47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62bc3e54788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Common Engineering Materials Library</x:v>
      </x:c>
      <x:c r="B1" s="3"/>
      <x:c r="C1" s="3"/>
      <x:c r="D1" s="3"/>
      <x:c r="E1" s="3"/>
      <x:c r="F1" s="3"/>
    </x:row>
    <x:row r="3">
      <x:c r="A3" s="9" t="str">
        <x:v>Workbook revision</x:v>
      </x:c>
      <x:c r="B3" s="10" t="str">
        <x:v>1.3.0</x:v>
      </x:c>
    </x:row>
    <x:row r="4">
      <x:c r="A4" s="11" t="str">
        <x:v>Workbook revision date</x:v>
      </x:c>
      <x:c r="B4" s="12" t="str">
        <x:v>2026-08-23</x:v>
      </x:c>
    </x:row>
    <x:row r="5">
      <x:c r="A5" s="11" t="str">
        <x:v>Scope</x:v>
      </x:c>
      <x:c r="B5" s="12" t="str">
        <x:v>Record, populated-value and provenance counts are derived during validation and generation; no fixed count is part of the schema.</x:v>
      </x:c>
    </x:row>
    <x:row r="6">
      <x:c r="A6" s="11" t="str">
        <x:v>Reference condition</x:v>
      </x:c>
      <x:c r="B6" s="12" t="str">
        <x:v>Nominal/typical values near 20-25 C unless the material note says otherwise</x:v>
      </x:c>
    </x:row>
    <x:row r="7">
      <x:c r="A7" s="11" t="str">
        <x:v>Units</x:v>
      </x:c>
      <x:c r="B7" s="12" t="str">
        <x:v>SI-oriented; elongation is a fraction and CTE is um/(m*K)</x:v>
      </x:c>
    </x:row>
    <x:row r="8">
      <x:c r="A8" s="11" t="str">
        <x:v>Missing data</x:v>
      </x:c>
      <x:c r="B8" s="12" t="str">
        <x:v>Blank in Excel; DB_MISSING in CalcPad</x:v>
      </x:c>
    </x:row>
    <x:row r="9">
      <x:c r="A9" s="11" t="str">
        <x:v>Derived properties</x:v>
      </x:c>
      <x:c r="B9" s="12" t="str">
        <x:v>Shear and bulk modulus are formula-derived from E and Poisson ratio for isotropic rows unless an override is present</x:v>
      </x:c>
    </x:row>
    <x:row r="10">
      <x:c r="A10" s="11" t="str">
        <x:v>Workbook relationship</x:v>
      </x:c>
      <x:c r="B10" s="12" t="str">
        <x:v>Materials, Property Dictionary, Sources, Citations, Property Provenance, Categories and Aliases are maintained inputs. Validation covers the complete workbook before atomic .cpd replacement.</x:v>
      </x:c>
    </x:row>
    <x:row r="11">
      <x:c r="A11" s="11" t="str">
        <x:v>Critical limitation</x:v>
      </x:c>
      <x:c r="B11" s="12" t="str">
        <x:v>Screening/reference library only. Values are not design allowables, code strengths, certified supplier data, or substitutes for project testing.</x:v>
      </x:c>
    </x:row>
    <x:row r="12">
      <x:c r="A12" s="11" t="str">
        <x:v>Variability</x:v>
      </x:c>
      <x:c r="B12" s="12" t="str">
        <x:v>Heat treatment, product form, processing, temperature, moisture, time, direction and test method can change properties materially.</x:v>
      </x:c>
    </x:row>
    <x:row r="13">
      <x:c r="A13" s="13" t="str">
        <x:v>Recommended use</x:v>
      </x:c>
      <x:c r="B13" s="14" t="str">
        <x:v>Preliminary calculations, comparisons, unit-consistent prototypes and CalcPad worksheet development.</x:v>
      </x:c>
    </x:row>
    <x:row r="15">
      <x:c r="A15" s="16" t="str">
        <x:v>Data governance</x:v>
      </x:c>
      <x:c r="B15" s="16"/>
      <x:c r="C15" s="16"/>
      <x:c r="D15" s="16"/>
      <x:c r="E15" s="16"/>
      <x:c r="F15" s="16"/>
    </x:row>
    <x:row r="16" ht="24" customHeight="1">
      <x:c r="A16" s="20" t="str">
        <x:v>1. Filter Materials by family/category or use Selector by numeric ID.</x:v>
      </x:c>
      <x:c r="B16" s="21"/>
      <x:c r="C16" s="21"/>
      <x:c r="D16" s="21"/>
      <x:c r="E16" s="21"/>
      <x:c r="F16" s="22"/>
    </x:row>
    <x:row r="17" ht="24" customHeight="1">
      <x:c r="A17" s="23" t="str">
        <x:v>2. Review the row condition, quality flag, note and source URL before use.</x:v>
      </x:c>
      <x:c r="B17" s="24"/>
      <x:c r="C17" s="24"/>
      <x:c r="D17" s="24"/>
      <x:c r="E17" s="24"/>
      <x:c r="F17" s="25"/>
    </x:row>
    <x:row r="18" ht="24" customHeight="1">
      <x:c r="A18" s="23" t="str">
        <x:v>3. Replace screening values with project-specific certified data when calculations become design deliverables.</x:v>
      </x:c>
      <x:c r="B18" s="24"/>
      <x:c r="C18" s="24"/>
      <x:c r="D18" s="24"/>
      <x:c r="E18" s="24"/>
      <x:c r="F18" s="25"/>
    </x:row>
    <x:row r="19" ht="24" customHeight="1">
      <x:c r="A19" s="23" t="str">
        <x:v>4. Keep material IDs and property IDs stable when regenerating CalcPad tables.</x:v>
      </x:c>
      <x:c r="B19" s="24"/>
      <x:c r="C19" s="24"/>
      <x:c r="D19" s="24"/>
      <x:c r="E19" s="24"/>
      <x:c r="F19" s="25"/>
    </x:row>
    <x:row r="20" ht="24" customHeight="1">
      <x:c r="A20" s="26" t="str">
        <x:v>5. Qualification pilots</x:v>
      </x:c>
      <x:c r="B20" s="27" t="str">
        <x:v>Forta DX 2205 has 12 level-3 properties; Core 304/4301 and Core 304L/4307 add 18 level-3 properties. Unsupported legacy values are removed per record.</x:v>
      </x:c>
      <x:c r="C20" s="27"/>
      <x:c r="D20" s="27"/>
      <x:c r="E20" s="27"/>
      <x:c r="F20" s="28"/>
    </x:row>
    <x:row r="21">
      <x:c r="A21" s="7" t="str">
        <x:v>Provenance qualification</x:v>
      </x:c>
      <x:c r="B21" s="7"/>
    </x:row>
    <x:row r="22">
      <x:c r="A22" s="7" t="str">
        <x:v>Level 1 - Source-only</x:v>
      </x:c>
      <x:c r="B22" s="7" t="str">
        <x:v>A broad source portal is known, but the edition/revision and property record locator are unresolved.</x:v>
      </x:c>
    </x:row>
    <x:row r="23">
      <x:c r="A23" s="7" t="str">
        <x:v>Level 2 - Grouped</x:v>
      </x:c>
      <x:c r="B23" s="7" t="str">
        <x:v>A stable citation and locator support a defensible group of values.</x:v>
      </x:c>
    </x:row>
    <x:row r="24">
      <x:c r="A24" s="7" t="str">
        <x:v>Level 3 - Property-record</x:v>
      </x:c>
      <x:c r="B24" s="7" t="str">
        <x:v>A stable citation and locator support the individual property value; this is the current release minimum.</x:v>
      </x:c>
    </x:row>
  </x:sheetData>
  <x:mergeCells>
    <x:mergeCell ref="A1:F1"/>
    <x:mergeCell ref="A15:F15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20" hidden="0" customWidth="1"/>
    <x:col min="5" max="5" width="25" hidden="0" customWidth="1"/>
    <x:col min="6" max="6" width="25" hidden="0" customWidth="1"/>
    <x:col min="7" max="7" width="34" hidden="0" customWidth="1"/>
    <x:col min="8" max="8" width="20" hidden="0" customWidth="1"/>
    <x:col min="9" max="9" width="14" hidden="0" customWidth="1"/>
    <x:col min="10" max="10" width="16" hidden="0" customWidth="1"/>
    <x:col min="11" max="11" width="13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20" hidden="0" customWidth="1"/>
    <x:col min="19" max="19" width="17" hidden="0" customWidth="1"/>
    <x:col min="20" max="20" width="16" hidden="0" customWidth="1"/>
    <x:col min="21" max="21" width="20" hidden="0" customWidth="1"/>
    <x:col min="22" max="22" width="20" hidden="0" customWidth="1"/>
    <x:col min="23" max="23" width="18" hidden="0" customWidth="1"/>
    <x:col min="24" max="24" width="14" hidden="0" customWidth="1"/>
    <x:col min="25" max="25" width="20" hidden="0" customWidth="1"/>
    <x:col min="26" max="26" width="18" hidden="0" customWidth="1"/>
    <x:col min="27" max="27" width="18" hidden="0" customWidth="1"/>
    <x:col min="28" max="28" width="13" hidden="0" customWidth="1"/>
    <x:col min="29" max="29" width="10" hidden="0" customWidth="1"/>
    <x:col min="30" max="30" width="14" hidden="0" customWidth="1"/>
    <x:col min="31" max="31" width="62" hidden="0" customWidth="1"/>
    <x:col min="32" max="32" width="44" hidden="0" customWidth="1"/>
    <x:col min="33" max="33" width="14" hidden="0" customWidth="1"/>
  </x:cols>
  <x:sheetData>
    <x:row r="1" ht="42" customHeight="1">
      <x:c r="A1" s="31" t="str">
        <x:v>Material_ID</x:v>
      </x:c>
      <x:c r="B1" s="31" t="str">
        <x:v>CPD_Constant</x:v>
      </x:c>
      <x:c r="C1" s="31" t="str">
        <x:v>Material_Name</x:v>
      </x:c>
      <x:c r="D1" s="31" t="str">
        <x:v>Family</x:v>
      </x:c>
      <x:c r="E1" s="31" t="str">
        <x:v>Category</x:v>
      </x:c>
      <x:c r="F1" s="31" t="str">
        <x:v>Standard_or_Grade</x:v>
      </x:c>
      <x:c r="G1" s="31" t="str">
        <x:v>Condition</x:v>
      </x:c>
      <x:c r="H1" s="31" t="str">
        <x:v>Elastic_Model</x:v>
      </x:c>
      <x:c r="I1" s="31" t="str">
        <x:v>Density_kg_m3</x:v>
      </x:c>
      <x:c r="J1" s="31" t="str">
        <x:v>Youngs_Modulus_GPa</x:v>
      </x:c>
      <x:c r="K1" s="31" t="str">
        <x:v>Poisson_Ratio</x:v>
      </x:c>
      <x:c r="L1" s="31" t="str">
        <x:v>Shear_Override_GPa</x:v>
      </x:c>
      <x:c r="M1" s="31" t="str">
        <x:v>Bulk_Override_GPa</x:v>
      </x:c>
      <x:c r="N1" s="31" t="str">
        <x:v>Shear_Modulus_GPa_Derived</x:v>
      </x:c>
      <x:c r="O1" s="31" t="str">
        <x:v>Bulk_Modulus_GPa_Derived</x:v>
      </x:c>
      <x:c r="P1" s="31" t="str">
        <x:v>Yield_Strength_MPa</x:v>
      </x:c>
      <x:c r="Q1" s="31" t="str">
        <x:v>Tensile_Strength_MPa</x:v>
      </x:c>
      <x:c r="R1" s="31" t="str">
        <x:v>Compressive_Strength_MPa</x:v>
      </x:c>
      <x:c r="S1" s="31" t="str">
        <x:v>Flexural_Strength_MPa</x:v>
      </x:c>
      <x:c r="T1" s="31" t="str">
        <x:v>Elongation_Fraction</x:v>
      </x:c>
      <x:c r="U1" s="31" t="str">
        <x:v>Fracture_Toughness_MPa_sqrt_m</x:v>
      </x:c>
      <x:c r="V1" s="31" t="str">
        <x:v>Thermal_Conductivity_W_mK</x:v>
      </x:c>
      <x:c r="W1" s="31" t="str">
        <x:v>Specific_Heat_J_kgK</x:v>
      </x:c>
      <x:c r="X1" s="31" t="str">
        <x:v>CTE_um_mK</x:v>
      </x:c>
      <x:c r="Y1" s="31" t="str">
        <x:v>Electrical_Resistivity_ohm_m</x:v>
      </x:c>
      <x:c r="Z1" s="31" t="str">
        <x:v>Transition_Temperature_C</x:v>
      </x:c>
      <x:c r="AA1" s="31" t="str">
        <x:v>Max_Service_Temperature_C</x:v>
      </x:c>
      <x:c r="AB1" s="31" t="str">
        <x:v>Hardness_HV</x:v>
      </x:c>
      <x:c r="AC1" s="31" t="str">
        <x:v>Source_ID</x:v>
      </x:c>
      <x:c r="AD1" s="31" t="str">
        <x:v>Data_Quality</x:v>
      </x:c>
      <x:c r="AE1" s="31" t="str">
        <x:v>Notes</x:v>
      </x:c>
      <x:c r="AF1" s="31" t="str">
        <x:v>Source_URL</x:v>
      </x:c>
      <x:c r="AG1" s="31" t="str">
        <x:v>Duplicate_ID_Flag</x:v>
      </x:c>
    </x:row>
    <x:row r="2">
      <x:c r="A2" s="33" t="n">
        <x:v>1001</x:v>
      </x:c>
      <x:c r="B2" s="32" t="str">
        <x:v>STEEL_ASTM_A36</x:v>
      </x:c>
      <x:c r="C2" s="32" t="str">
        <x:v>ASTM A36 structural steel</x:v>
      </x:c>
      <x:c r="D2" s="32" t="str">
        <x:v>Ferrous metal</x:v>
      </x:c>
      <x:c r="E2" s="32" t="str">
        <x:v>Carbon steel</x:v>
      </x:c>
      <x:c r="F2" s="32" t="str">
        <x:v>ASTM A36</x:v>
      </x:c>
      <x:c r="G2" s="32" t="str">
        <x:v>Hot rolled, typical</x:v>
      </x:c>
      <x:c r="H2" s="32" t="str">
        <x:v>Isotropic</x:v>
      </x:c>
      <x:c r="I2" s="34" t="n">
        <x:v>7850</x:v>
      </x:c>
      <x:c r="J2" s="35" t="n">
        <x:v>200</x:v>
      </x:c>
      <x:c r="K2" s="35" t="n">
        <x:v>0.29</x:v>
      </x:c>
      <x:c r="L2" s="40"/>
      <x:c r="M2" s="40"/>
      <x:c r="N2" s="39" t="n">
        <x:f>IF(L2&lt;&gt;"",L2,IF(H2&lt;&gt;"Isotropic","",IF(OR(J2="",K2=""),"",J2/(2*(1+K2)))))</x:f>
        <x:v>77.51937984496124</x:v>
      </x:c>
      <x:c r="O2" s="39" t="n">
        <x:f>IF(M2&lt;&gt;"",M2,IF(H2&lt;&gt;"Isotropic","",IF(OR(J2="",K2="",K2&gt;=0.5),"",J2/(3*(1-2*K2)))))</x:f>
        <x:v>158.7301587301587</x:v>
      </x:c>
      <x:c r="P2" s="35" t="n">
        <x:v>250</x:v>
      </x:c>
      <x:c r="Q2" s="35" t="n">
        <x:v>400</x:v>
      </x:c>
      <x:c r="R2" s="35"/>
      <x:c r="S2" s="35"/>
      <x:c r="T2" s="36" t="n">
        <x:v>0.2</x:v>
      </x:c>
      <x:c r="U2" s="35" t="n">
        <x:v>50</x:v>
      </x:c>
      <x:c r="V2" s="35" t="n">
        <x:v>50</x:v>
      </x:c>
      <x:c r="W2" s="35" t="n">
        <x:v>486</x:v>
      </x:c>
      <x:c r="X2" s="35" t="n">
        <x:v>11.7</x:v>
      </x:c>
      <x:c r="Y2" s="37" t="n">
        <x:v>1.43e-7</x:v>
      </x:c>
      <x:c r="Z2" s="38" t="n">
        <x:v>1450</x:v>
      </x:c>
      <x:c r="AA2" s="38" t="n">
        <x:v>425</x:v>
      </x:c>
      <x:c r="AB2" s="38" t="n">
        <x:v>120</x:v>
      </x:c>
      <x:c r="AC2" s="32" t="n">
        <x:v>1</x:v>
      </x:c>
      <x:c r="AD2" s="32" t="str">
        <x:v>Representative</x:v>
      </x:c>
      <x:c r="AE2" s="8" t="str">
        <x:v>Room-temperature nominal values; verify thickness-dependent specification minima.</x:v>
      </x:c>
      <x:c r="AF2" s="8" t="str">
        <x:f>IFERROR(VLOOKUP(AC2,'Sources'!$A$2:$E$12,5,FALSE),"")</x:f>
        <x:v>https://www.matweb.com/search/MaterialGroupSearch.aspx</x:v>
      </x:c>
      <x:c r="AG2" s="32" t="b">
        <x:f>COUNTIF($A$2:$A$127,A2)&gt;1</x:f>
        <x:v>0</x:v>
      </x:c>
    </x:row>
    <x:row r="3">
      <x:c r="A3" s="33" t="n">
        <x:v>1002</x:v>
      </x:c>
      <x:c r="B3" s="32" t="str">
        <x:v>STEEL_AISI_1018_CD</x:v>
      </x:c>
      <x:c r="C3" s="32" t="str">
        <x:v>AISI 1018 carbon steel</x:v>
      </x:c>
      <x:c r="D3" s="32" t="str">
        <x:v>Ferrous metal</x:v>
      </x:c>
      <x:c r="E3" s="32" t="str">
        <x:v>Carbon steel</x:v>
      </x:c>
      <x:c r="F3" s="32" t="str">
        <x:v>AISI 1018</x:v>
      </x:c>
      <x:c r="G3" s="32" t="str">
        <x:v>Cold drawn</x:v>
      </x:c>
      <x:c r="H3" s="32" t="str">
        <x:v>Isotropic</x:v>
      </x:c>
      <x:c r="I3" s="34" t="n">
        <x:v>7870</x:v>
      </x:c>
      <x:c r="J3" s="35" t="n">
        <x:v>205</x:v>
      </x:c>
      <x:c r="K3" s="35" t="n">
        <x:v>0.29</x:v>
      </x:c>
      <x:c r="L3" s="40"/>
      <x:c r="M3" s="40"/>
      <x:c r="N3" s="39" t="n">
        <x:f>IF(L3&lt;&gt;"",L3,IF(H3&lt;&gt;"Isotropic","",IF(OR(J3="",K3=""),"",J3/(2*(1+K3)))))</x:f>
        <x:v>79.45736434108527</x:v>
      </x:c>
      <x:c r="O3" s="39" t="n">
        <x:f>IF(M3&lt;&gt;"",M3,IF(H3&lt;&gt;"Isotropic","",IF(OR(J3="",K3="",K3&gt;=0.5),"",J3/(3*(1-2*K3)))))</x:f>
        <x:v>162.69841269841268</x:v>
      </x:c>
      <x:c r="P3" s="35" t="n">
        <x:v>370</x:v>
      </x:c>
      <x:c r="Q3" s="35" t="n">
        <x:v>440</x:v>
      </x:c>
      <x:c r="R3" s="35"/>
      <x:c r="S3" s="35"/>
      <x:c r="T3" s="36" t="n">
        <x:v>0.15</x:v>
      </x:c>
      <x:c r="U3" s="35" t="n">
        <x:v>55</x:v>
      </x:c>
      <x:c r="V3" s="35" t="n">
        <x:v>51.9</x:v>
      </x:c>
      <x:c r="W3" s="35" t="n">
        <x:v>486</x:v>
      </x:c>
      <x:c r="X3" s="35" t="n">
        <x:v>11.7</x:v>
      </x:c>
      <x:c r="Y3" s="37" t="n">
        <x:v>1.59e-7</x:v>
      </x:c>
      <x:c r="Z3" s="38" t="n">
        <x:v>1450</x:v>
      </x:c>
      <x:c r="AA3" s="38" t="n">
        <x:v>425</x:v>
      </x:c>
      <x:c r="AB3" s="38" t="n">
        <x:v>126</x:v>
      </x:c>
      <x:c r="AC3" s="32" t="n">
        <x:v>1</x:v>
      </x:c>
      <x:c r="AD3" s="32" t="str">
        <x:v>Representative</x:v>
      </x:c>
      <x:c r="AE3" s="8" t="str">
        <x:v>Cold work and section size materially affect strength.</x:v>
      </x:c>
      <x:c r="AF3" s="8" t="str">
        <x:f>IFERROR(VLOOKUP(AC3,'Sources'!$A$2:$E$12,5,FALSE),"")</x:f>
        <x:v>https://www.matweb.com/search/MaterialGroupSearch.aspx</x:v>
      </x:c>
      <x:c r="AG3" s="32" t="b">
        <x:f>COUNTIF($A$2:$A$127,A3)&gt;1</x:f>
        <x:v>0</x:v>
      </x:c>
    </x:row>
    <x:row r="4">
      <x:c r="A4" s="33" t="n">
        <x:v>1003</x:v>
      </x:c>
      <x:c r="B4" s="32" t="str">
        <x:v>STEEL_AISI_1020_HR</x:v>
      </x:c>
      <x:c r="C4" s="32" t="str">
        <x:v>AISI 1020 carbon steel</x:v>
      </x:c>
      <x:c r="D4" s="32" t="str">
        <x:v>Ferrous metal</x:v>
      </x:c>
      <x:c r="E4" s="32" t="str">
        <x:v>Carbon steel</x:v>
      </x:c>
      <x:c r="F4" s="32" t="str">
        <x:v>AISI 1020</x:v>
      </x:c>
      <x:c r="G4" s="32" t="str">
        <x:v>Hot rolled</x:v>
      </x:c>
      <x:c r="H4" s="32" t="str">
        <x:v>Isotropic</x:v>
      </x:c>
      <x:c r="I4" s="34" t="n">
        <x:v>7870</x:v>
      </x:c>
      <x:c r="J4" s="35" t="n">
        <x:v>205</x:v>
      </x:c>
      <x:c r="K4" s="35" t="n">
        <x:v>0.29</x:v>
      </x:c>
      <x:c r="L4" s="40"/>
      <x:c r="M4" s="40"/>
      <x:c r="N4" s="39" t="n">
        <x:f>IF(L4&lt;&gt;"",L4,IF(H4&lt;&gt;"Isotropic","",IF(OR(J4="",K4=""),"",J4/(2*(1+K4)))))</x:f>
        <x:v>79.45736434108527</x:v>
      </x:c>
      <x:c r="O4" s="39" t="n">
        <x:f>IF(M4&lt;&gt;"",M4,IF(H4&lt;&gt;"Isotropic","",IF(OR(J4="",K4="",K4&gt;=0.5),"",J4/(3*(1-2*K4)))))</x:f>
        <x:v>162.69841269841268</x:v>
      </x:c>
      <x:c r="P4" s="35" t="n">
        <x:v>295</x:v>
      </x:c>
      <x:c r="Q4" s="35" t="n">
        <x:v>395</x:v>
      </x:c>
      <x:c r="R4" s="35"/>
      <x:c r="S4" s="35"/>
      <x:c r="T4" s="36" t="n">
        <x:v>0.36</x:v>
      </x:c>
      <x:c r="U4" s="35" t="n">
        <x:v>60</x:v>
      </x:c>
      <x:c r="V4" s="35" t="n">
        <x:v>51.9</x:v>
      </x:c>
      <x:c r="W4" s="35" t="n">
        <x:v>486</x:v>
      </x:c>
      <x:c r="X4" s="35" t="n">
        <x:v>11.7</x:v>
      </x:c>
      <x:c r="Y4" s="37" t="n">
        <x:v>1.59e-7</x:v>
      </x:c>
      <x:c r="Z4" s="38" t="n">
        <x:v>1450</x:v>
      </x:c>
      <x:c r="AA4" s="38" t="n">
        <x:v>425</x:v>
      </x:c>
      <x:c r="AB4" s="38" t="n">
        <x:v>111</x:v>
      </x:c>
      <x:c r="AC4" s="32" t="n">
        <x:v>1</x:v>
      </x:c>
      <x:c r="AD4" s="32" t="str">
        <x:v>Representative</x:v>
      </x:c>
      <x:c r="AE4" s="8" t="str">
        <x:v>Typical hot-rolled condition.</x:v>
      </x:c>
      <x:c r="AF4" s="8" t="str">
        <x:f>IFERROR(VLOOKUP(AC4,'Sources'!$A$2:$E$12,5,FALSE),"")</x:f>
        <x:v>https://www.matweb.com/search/MaterialGroupSearch.aspx</x:v>
      </x:c>
      <x:c r="AG4" s="32" t="b">
        <x:f>COUNTIF($A$2:$A$127,A4)&gt;1</x:f>
        <x:v>0</x:v>
      </x:c>
    </x:row>
    <x:row r="5">
      <x:c r="A5" s="33" t="n">
        <x:v>1004</x:v>
      </x:c>
      <x:c r="B5" s="32" t="str">
        <x:v>STEEL_AISI_1045_N</x:v>
      </x:c>
      <x:c r="C5" s="32" t="str">
        <x:v>AISI 1045 carbon steel</x:v>
      </x:c>
      <x:c r="D5" s="32" t="str">
        <x:v>Ferrous metal</x:v>
      </x:c>
      <x:c r="E5" s="32" t="str">
        <x:v>Carbon steel</x:v>
      </x:c>
      <x:c r="F5" s="32" t="str">
        <x:v>AISI 1045</x:v>
      </x:c>
      <x:c r="G5" s="32" t="str">
        <x:v>Normalized</x:v>
      </x:c>
      <x:c r="H5" s="32" t="str">
        <x:v>Isotropic</x:v>
      </x:c>
      <x:c r="I5" s="34" t="n">
        <x:v>7850</x:v>
      </x:c>
      <x:c r="J5" s="35" t="n">
        <x:v>205</x:v>
      </x:c>
      <x:c r="K5" s="35" t="n">
        <x:v>0.29</x:v>
      </x:c>
      <x:c r="L5" s="40"/>
      <x:c r="M5" s="40"/>
      <x:c r="N5" s="39" t="n">
        <x:f>IF(L5&lt;&gt;"",L5,IF(H5&lt;&gt;"Isotropic","",IF(OR(J5="",K5=""),"",J5/(2*(1+K5)))))</x:f>
        <x:v>79.45736434108527</x:v>
      </x:c>
      <x:c r="O5" s="39" t="n">
        <x:f>IF(M5&lt;&gt;"",M5,IF(H5&lt;&gt;"Isotropic","",IF(OR(J5="",K5="",K5&gt;=0.5),"",J5/(3*(1-2*K5)))))</x:f>
        <x:v>162.69841269841268</x:v>
      </x:c>
      <x:c r="P5" s="35" t="n">
        <x:v>450</x:v>
      </x:c>
      <x:c r="Q5" s="35" t="n">
        <x:v>625</x:v>
      </x:c>
      <x:c r="R5" s="35"/>
      <x:c r="S5" s="35"/>
      <x:c r="T5" s="36" t="n">
        <x:v>0.16</x:v>
      </x:c>
      <x:c r="U5" s="35" t="n">
        <x:v>45</x:v>
      </x:c>
      <x:c r="V5" s="35" t="n">
        <x:v>49.8</x:v>
      </x:c>
      <x:c r="W5" s="35" t="n">
        <x:v>486</x:v>
      </x:c>
      <x:c r="X5" s="35" t="n">
        <x:v>11.7</x:v>
      </x:c>
      <x:c r="Y5" s="37" t="n">
        <x:v>1.62e-7</x:v>
      </x:c>
      <x:c r="Z5" s="38" t="n">
        <x:v>1450</x:v>
      </x:c>
      <x:c r="AA5" s="38" t="n">
        <x:v>425</x:v>
      </x:c>
      <x:c r="AB5" s="38" t="n">
        <x:v>180</x:v>
      </x:c>
      <x:c r="AC5" s="32" t="n">
        <x:v>1</x:v>
      </x:c>
      <x:c r="AD5" s="32" t="str">
        <x:v>Representative</x:v>
      </x:c>
      <x:c r="AE5" s="8" t="str">
        <x:v>Heat treatment and bar diameter affect strength.</x:v>
      </x:c>
      <x:c r="AF5" s="8" t="str">
        <x:f>IFERROR(VLOOKUP(AC5,'Sources'!$A$2:$E$12,5,FALSE),"")</x:f>
        <x:v>https://www.matweb.com/search/MaterialGroupSearch.aspx</x:v>
      </x:c>
      <x:c r="AG5" s="32" t="b">
        <x:f>COUNTIF($A$2:$A$127,A5)&gt;1</x:f>
        <x:v>0</x:v>
      </x:c>
    </x:row>
    <x:row r="6">
      <x:c r="A6" s="33" t="n">
        <x:v>1005</x:v>
      </x:c>
      <x:c r="B6" s="32" t="str">
        <x:v>STEEL_AISI_1095_A</x:v>
      </x:c>
      <x:c r="C6" s="32" t="str">
        <x:v>AISI 1095 high-carbon steel</x:v>
      </x:c>
      <x:c r="D6" s="32" t="str">
        <x:v>Ferrous metal</x:v>
      </x:c>
      <x:c r="E6" s="32" t="str">
        <x:v>Carbon steel</x:v>
      </x:c>
      <x:c r="F6" s="32" t="str">
        <x:v>AISI 1095</x:v>
      </x:c>
      <x:c r="G6" s="32" t="str">
        <x:v>Annealed</x:v>
      </x:c>
      <x:c r="H6" s="32" t="str">
        <x:v>Isotropic</x:v>
      </x:c>
      <x:c r="I6" s="34" t="n">
        <x:v>7850</x:v>
      </x:c>
      <x:c r="J6" s="35" t="n">
        <x:v>205</x:v>
      </x:c>
      <x:c r="K6" s="35" t="n">
        <x:v>0.29</x:v>
      </x:c>
      <x:c r="L6" s="40"/>
      <x:c r="M6" s="40"/>
      <x:c r="N6" s="39" t="n">
        <x:f>IF(L6&lt;&gt;"",L6,IF(H6&lt;&gt;"Isotropic","",IF(OR(J6="",K6=""),"",J6/(2*(1+K6)))))</x:f>
        <x:v>79.45736434108527</x:v>
      </x:c>
      <x:c r="O6" s="39" t="n">
        <x:f>IF(M6&lt;&gt;"",M6,IF(H6&lt;&gt;"Isotropic","",IF(OR(J6="",K6="",K6&gt;=0.5),"",J6/(3*(1-2*K6)))))</x:f>
        <x:v>162.69841269841268</x:v>
      </x:c>
      <x:c r="P6" s="35" t="n">
        <x:v>380</x:v>
      </x:c>
      <x:c r="Q6" s="35" t="n">
        <x:v>650</x:v>
      </x:c>
      <x:c r="R6" s="35"/>
      <x:c r="S6" s="35"/>
      <x:c r="T6" s="36" t="n">
        <x:v>0.1</x:v>
      </x:c>
      <x:c r="U6" s="35" t="n">
        <x:v>35</x:v>
      </x:c>
      <x:c r="V6" s="35" t="n">
        <x:v>49.8</x:v>
      </x:c>
      <x:c r="W6" s="35" t="n">
        <x:v>486</x:v>
      </x:c>
      <x:c r="X6" s="35" t="n">
        <x:v>11.7</x:v>
      </x:c>
      <x:c r="Y6" s="37" t="n">
        <x:v>1.65e-7</x:v>
      </x:c>
      <x:c r="Z6" s="38" t="n">
        <x:v>1450</x:v>
      </x:c>
      <x:c r="AA6" s="38" t="n">
        <x:v>425</x:v>
      </x:c>
      <x:c r="AB6" s="38" t="n">
        <x:v>190</x:v>
      </x:c>
      <x:c r="AC6" s="32" t="n">
        <x:v>1</x:v>
      </x:c>
      <x:c r="AD6" s="32" t="str">
        <x:v>Representative</x:v>
      </x:c>
      <x:c r="AE6" s="8" t="str">
        <x:v>Annealed screening values; hardened conditions differ greatly.</x:v>
      </x:c>
      <x:c r="AF6" s="8" t="str">
        <x:f>IFERROR(VLOOKUP(AC6,'Sources'!$A$2:$E$12,5,FALSE),"")</x:f>
        <x:v>https://www.matweb.com/search/MaterialGroupSearch.aspx</x:v>
      </x:c>
      <x:c r="AG6" s="32" t="b">
        <x:f>COUNTIF($A$2:$A$127,A6)&gt;1</x:f>
        <x:v>0</x:v>
      </x:c>
    </x:row>
    <x:row r="7">
      <x:c r="A7" s="33" t="n">
        <x:v>1006</x:v>
      </x:c>
      <x:c r="B7" s="32" t="str">
        <x:v>STEEL_AISI_4130_N</x:v>
      </x:c>
      <x:c r="C7" s="32" t="str">
        <x:v>AISI 4130 alloy steel</x:v>
      </x:c>
      <x:c r="D7" s="32" t="str">
        <x:v>Ferrous metal</x:v>
      </x:c>
      <x:c r="E7" s="32" t="str">
        <x:v>Alloy steel</x:v>
      </x:c>
      <x:c r="F7" s="32" t="str">
        <x:v>AISI 4130</x:v>
      </x:c>
      <x:c r="G7" s="32" t="str">
        <x:v>Normalized</x:v>
      </x:c>
      <x:c r="H7" s="32" t="str">
        <x:v>Isotropic</x:v>
      </x:c>
      <x:c r="I7" s="34" t="n">
        <x:v>7850</x:v>
      </x:c>
      <x:c r="J7" s="35" t="n">
        <x:v>205</x:v>
      </x:c>
      <x:c r="K7" s="35" t="n">
        <x:v>0.29</x:v>
      </x:c>
      <x:c r="L7" s="40"/>
      <x:c r="M7" s="40"/>
      <x:c r="N7" s="39" t="n">
        <x:f>IF(L7&lt;&gt;"",L7,IF(H7&lt;&gt;"Isotropic","",IF(OR(J7="",K7=""),"",J7/(2*(1+K7)))))</x:f>
        <x:v>79.45736434108527</x:v>
      </x:c>
      <x:c r="O7" s="39" t="n">
        <x:f>IF(M7&lt;&gt;"",M7,IF(H7&lt;&gt;"Isotropic","",IF(OR(J7="",K7="",K7&gt;=0.5),"",J7/(3*(1-2*K7)))))</x:f>
        <x:v>162.69841269841268</x:v>
      </x:c>
      <x:c r="P7" s="35" t="n">
        <x:v>435</x:v>
      </x:c>
      <x:c r="Q7" s="35" t="n">
        <x:v>670</x:v>
      </x:c>
      <x:c r="R7" s="35"/>
      <x:c r="S7" s="35"/>
      <x:c r="T7" s="36" t="n">
        <x:v>0.21</x:v>
      </x:c>
      <x:c r="U7" s="35" t="n">
        <x:v>75</x:v>
      </x:c>
      <x:c r="V7" s="35" t="n">
        <x:v>42.7</x:v>
      </x:c>
      <x:c r="W7" s="35" t="n">
        <x:v>477</x:v>
      </x:c>
      <x:c r="X7" s="35" t="n">
        <x:v>12.2</x:v>
      </x:c>
      <x:c r="Y7" s="37" t="n">
        <x:v>2.23e-7</x:v>
      </x:c>
      <x:c r="Z7" s="38" t="n">
        <x:v>1430</x:v>
      </x:c>
      <x:c r="AA7" s="38" t="n">
        <x:v>480</x:v>
      </x:c>
      <x:c r="AB7" s="38" t="n">
        <x:v>197</x:v>
      </x:c>
      <x:c r="AC7" s="32" t="n">
        <x:v>1</x:v>
      </x:c>
      <x:c r="AD7" s="32" t="str">
        <x:v>Representative</x:v>
      </x:c>
      <x:c r="AE7" s="8" t="str">
        <x:v>Normalized bar values.</x:v>
      </x:c>
      <x:c r="AF7" s="8" t="str">
        <x:f>IFERROR(VLOOKUP(AC7,'Sources'!$A$2:$E$12,5,FALSE),"")</x:f>
        <x:v>https://www.matweb.com/search/MaterialGroupSearch.aspx</x:v>
      </x:c>
      <x:c r="AG7" s="32" t="b">
        <x:f>COUNTIF($A$2:$A$127,A7)&gt;1</x:f>
        <x:v>0</x:v>
      </x:c>
    </x:row>
    <x:row r="8">
      <x:c r="A8" s="33" t="n">
        <x:v>1007</x:v>
      </x:c>
      <x:c r="B8" s="32" t="str">
        <x:v>STEEL_AISI_4140_QT</x:v>
      </x:c>
      <x:c r="C8" s="32" t="str">
        <x:v>AISI 4140 alloy steel</x:v>
      </x:c>
      <x:c r="D8" s="32" t="str">
        <x:v>Ferrous metal</x:v>
      </x:c>
      <x:c r="E8" s="32" t="str">
        <x:v>Alloy steel</x:v>
      </x:c>
      <x:c r="F8" s="32" t="str">
        <x:v>AISI 4140</x:v>
      </x:c>
      <x:c r="G8" s="32" t="str">
        <x:v>Quenched and tempered</x:v>
      </x:c>
      <x:c r="H8" s="32" t="str">
        <x:v>Isotropic</x:v>
      </x:c>
      <x:c r="I8" s="34" t="n">
        <x:v>7850</x:v>
      </x:c>
      <x:c r="J8" s="35" t="n">
        <x:v>205</x:v>
      </x:c>
      <x:c r="K8" s="35" t="n">
        <x:v>0.29</x:v>
      </x:c>
      <x:c r="L8" s="40"/>
      <x:c r="M8" s="40"/>
      <x:c r="N8" s="39" t="n">
        <x:f>IF(L8&lt;&gt;"",L8,IF(H8&lt;&gt;"Isotropic","",IF(OR(J8="",K8=""),"",J8/(2*(1+K8)))))</x:f>
        <x:v>79.45736434108527</x:v>
      </x:c>
      <x:c r="O8" s="39" t="n">
        <x:f>IF(M8&lt;&gt;"",M8,IF(H8&lt;&gt;"Isotropic","",IF(OR(J8="",K8="",K8&gt;=0.5),"",J8/(3*(1-2*K8)))))</x:f>
        <x:v>162.69841269841268</x:v>
      </x:c>
      <x:c r="P8" s="35" t="n">
        <x:v>655</x:v>
      </x:c>
      <x:c r="Q8" s="35" t="n">
        <x:v>1020</x:v>
      </x:c>
      <x:c r="R8" s="35"/>
      <x:c r="S8" s="35"/>
      <x:c r="T8" s="36" t="n">
        <x:v>0.15</x:v>
      </x:c>
      <x:c r="U8" s="35" t="n">
        <x:v>55</x:v>
      </x:c>
      <x:c r="V8" s="35" t="n">
        <x:v>42.6</x:v>
      </x:c>
      <x:c r="W8" s="35" t="n">
        <x:v>473</x:v>
      </x:c>
      <x:c r="X8" s="35" t="n">
        <x:v>12.3</x:v>
      </x:c>
      <x:c r="Y8" s="37" t="n">
        <x:v>2.2e-7</x:v>
      </x:c>
      <x:c r="Z8" s="38" t="n">
        <x:v>1415</x:v>
      </x:c>
      <x:c r="AA8" s="38" t="n">
        <x:v>480</x:v>
      </x:c>
      <x:c r="AB8" s="38" t="n">
        <x:v>320</x:v>
      </x:c>
      <x:c r="AC8" s="32" t="n">
        <x:v>1</x:v>
      </x:c>
      <x:c r="AD8" s="32" t="str">
        <x:v>Representative</x:v>
      </x:c>
      <x:c r="AE8" s="8" t="str">
        <x:v>Representative moderate-strength Q&amp;T condition.</x:v>
      </x:c>
      <x:c r="AF8" s="8" t="str">
        <x:f>IFERROR(VLOOKUP(AC8,'Sources'!$A$2:$E$12,5,FALSE),"")</x:f>
        <x:v>https://www.matweb.com/search/MaterialGroupSearch.aspx</x:v>
      </x:c>
      <x:c r="AG8" s="32" t="b">
        <x:f>COUNTIF($A$2:$A$127,A8)&gt;1</x:f>
        <x:v>0</x:v>
      </x:c>
    </x:row>
    <x:row r="9">
      <x:c r="A9" s="33" t="n">
        <x:v>1008</x:v>
      </x:c>
      <x:c r="B9" s="32" t="str">
        <x:v>STEEL_AISI_4340_QT</x:v>
      </x:c>
      <x:c r="C9" s="32" t="str">
        <x:v>AISI 4340 alloy steel</x:v>
      </x:c>
      <x:c r="D9" s="32" t="str">
        <x:v>Ferrous metal</x:v>
      </x:c>
      <x:c r="E9" s="32" t="str">
        <x:v>Alloy steel</x:v>
      </x:c>
      <x:c r="F9" s="32" t="str">
        <x:v>AISI 4340</x:v>
      </x:c>
      <x:c r="G9" s="32" t="str">
        <x:v>Quenched and tempered</x:v>
      </x:c>
      <x:c r="H9" s="32" t="str">
        <x:v>Isotropic</x:v>
      </x:c>
      <x:c r="I9" s="34" t="n">
        <x:v>7850</x:v>
      </x:c>
      <x:c r="J9" s="35" t="n">
        <x:v>205</x:v>
      </x:c>
      <x:c r="K9" s="35" t="n">
        <x:v>0.29</x:v>
      </x:c>
      <x:c r="L9" s="40"/>
      <x:c r="M9" s="40"/>
      <x:c r="N9" s="39" t="n">
        <x:f>IF(L9&lt;&gt;"",L9,IF(H9&lt;&gt;"Isotropic","",IF(OR(J9="",K9=""),"",J9/(2*(1+K9)))))</x:f>
        <x:v>79.45736434108527</x:v>
      </x:c>
      <x:c r="O9" s="39" t="n">
        <x:f>IF(M9&lt;&gt;"",M9,IF(H9&lt;&gt;"Isotropic","",IF(OR(J9="",K9="",K9&gt;=0.5),"",J9/(3*(1-2*K9)))))</x:f>
        <x:v>162.69841269841268</x:v>
      </x:c>
      <x:c r="P9" s="35" t="n">
        <x:v>855</x:v>
      </x:c>
      <x:c r="Q9" s="35" t="n">
        <x:v>1280</x:v>
      </x:c>
      <x:c r="R9" s="35"/>
      <x:c r="S9" s="35"/>
      <x:c r="T9" s="36" t="n">
        <x:v>0.12</x:v>
      </x:c>
      <x:c r="U9" s="35" t="n">
        <x:v>50</x:v>
      </x:c>
      <x:c r="V9" s="35" t="n">
        <x:v>44.5</x:v>
      </x:c>
      <x:c r="W9" s="35" t="n">
        <x:v>475</x:v>
      </x:c>
      <x:c r="X9" s="35" t="n">
        <x:v>12.3</x:v>
      </x:c>
      <x:c r="Y9" s="37" t="n">
        <x:v>2.48e-7</x:v>
      </x:c>
      <x:c r="Z9" s="38" t="n">
        <x:v>1425</x:v>
      </x:c>
      <x:c r="AA9" s="38" t="n">
        <x:v>480</x:v>
      </x:c>
      <x:c r="AB9" s="38" t="n">
        <x:v>390</x:v>
      </x:c>
      <x:c r="AC9" s="32" t="n">
        <x:v>1</x:v>
      </x:c>
      <x:c r="AD9" s="32" t="str">
        <x:v>Representative</x:v>
      </x:c>
      <x:c r="AE9" s="8" t="str">
        <x:v>Representative high-strength Q&amp;T condition.</x:v>
      </x:c>
      <x:c r="AF9" s="8" t="str">
        <x:f>IFERROR(VLOOKUP(AC9,'Sources'!$A$2:$E$12,5,FALSE),"")</x:f>
        <x:v>https://www.matweb.com/search/MaterialGroupSearch.aspx</x:v>
      </x:c>
      <x:c r="AG9" s="32" t="b">
        <x:f>COUNTIF($A$2:$A$127,A9)&gt;1</x:f>
        <x:v>0</x:v>
      </x:c>
    </x:row>
    <x:row r="10">
      <x:c r="A10" s="33" t="n">
        <x:v>1009</x:v>
      </x:c>
      <x:c r="B10" s="32" t="str">
        <x:v>STEEL_ASTM_A572_GR50</x:v>
      </x:c>
      <x:c r="C10" s="32" t="str">
        <x:v>ASTM A572 Grade 50 steel</x:v>
      </x:c>
      <x:c r="D10" s="32" t="str">
        <x:v>Ferrous metal</x:v>
      </x:c>
      <x:c r="E10" s="32" t="str">
        <x:v>Structural steel</x:v>
      </x:c>
      <x:c r="F10" s="32" t="str">
        <x:v>ASTM A572 Grade 50</x:v>
      </x:c>
      <x:c r="G10" s="32" t="str">
        <x:v>Hot rolled</x:v>
      </x:c>
      <x:c r="H10" s="32" t="str">
        <x:v>Isotropic</x:v>
      </x:c>
      <x:c r="I10" s="34" t="n">
        <x:v>7850</x:v>
      </x:c>
      <x:c r="J10" s="35" t="n">
        <x:v>200</x:v>
      </x:c>
      <x:c r="K10" s="35" t="n">
        <x:v>0.29</x:v>
      </x:c>
      <x:c r="L10" s="40"/>
      <x:c r="M10" s="40"/>
      <x:c r="N10" s="39" t="n">
        <x:f>IF(L10&lt;&gt;"",L10,IF(H10&lt;&gt;"Isotropic","",IF(OR(J10="",K10=""),"",J10/(2*(1+K10)))))</x:f>
        <x:v>77.51937984496124</x:v>
      </x:c>
      <x:c r="O10" s="39" t="n">
        <x:f>IF(M10&lt;&gt;"",M10,IF(H10&lt;&gt;"Isotropic","",IF(OR(J10="",K10="",K10&gt;=0.5),"",J10/(3*(1-2*K10)))))</x:f>
        <x:v>158.7301587301587</x:v>
      </x:c>
      <x:c r="P10" s="35" t="n">
        <x:v>345</x:v>
      </x:c>
      <x:c r="Q10" s="35" t="n">
        <x:v>450</x:v>
      </x:c>
      <x:c r="R10" s="35"/>
      <x:c r="S10" s="35"/>
      <x:c r="T10" s="36" t="n">
        <x:v>0.18</x:v>
      </x:c>
      <x:c r="U10" s="35" t="n">
        <x:v>50</x:v>
      </x:c>
      <x:c r="V10" s="35" t="n">
        <x:v>50</x:v>
      </x:c>
      <x:c r="W10" s="35" t="n">
        <x:v>486</x:v>
      </x:c>
      <x:c r="X10" s="35" t="n">
        <x:v>11.7</x:v>
      </x:c>
      <x:c r="Y10" s="37" t="n">
        <x:v>1.43e-7</x:v>
      </x:c>
      <x:c r="Z10" s="38" t="n">
        <x:v>1450</x:v>
      </x:c>
      <x:c r="AA10" s="38" t="n">
        <x:v>425</x:v>
      </x:c>
      <x:c r="AB10" s="38" t="n">
        <x:v>145</x:v>
      </x:c>
      <x:c r="AC10" s="32" t="n">
        <x:v>1</x:v>
      </x:c>
      <x:c r="AD10" s="32" t="str">
        <x:v>Representative</x:v>
      </x:c>
      <x:c r="AE10" s="8" t="str">
        <x:v>Verify product form and thickness-specific requirements.</x:v>
      </x:c>
      <x:c r="AF10" s="8" t="str">
        <x:f>IFERROR(VLOOKUP(AC10,'Sources'!$A$2:$E$12,5,FALSE),"")</x:f>
        <x:v>https://www.matweb.com/search/MaterialGroupSearch.aspx</x:v>
      </x:c>
      <x:c r="AG10" s="32" t="b">
        <x:f>COUNTIF($A$2:$A$127,A10)&gt;1</x:f>
        <x:v>0</x:v>
      </x:c>
    </x:row>
    <x:row r="11">
      <x:c r="A11" s="33" t="n">
        <x:v>1010</x:v>
      </x:c>
      <x:c r="B11" s="32" t="str">
        <x:v>STEEL_ASTM_A992</x:v>
      </x:c>
      <x:c r="C11" s="32" t="str">
        <x:v>ASTM A992 structural steel</x:v>
      </x:c>
      <x:c r="D11" s="32" t="str">
        <x:v>Ferrous metal</x:v>
      </x:c>
      <x:c r="E11" s="32" t="str">
        <x:v>Structural steel</x:v>
      </x:c>
      <x:c r="F11" s="32" t="str">
        <x:v>ASTM A992</x:v>
      </x:c>
      <x:c r="G11" s="32" t="str">
        <x:v>Rolled shape</x:v>
      </x:c>
      <x:c r="H11" s="32" t="str">
        <x:v>Isotropic</x:v>
      </x:c>
      <x:c r="I11" s="34" t="n">
        <x:v>7850</x:v>
      </x:c>
      <x:c r="J11" s="35" t="n">
        <x:v>200</x:v>
      </x:c>
      <x:c r="K11" s="35" t="n">
        <x:v>0.29</x:v>
      </x:c>
      <x:c r="L11" s="40"/>
      <x:c r="M11" s="40"/>
      <x:c r="N11" s="39" t="n">
        <x:f>IF(L11&lt;&gt;"",L11,IF(H11&lt;&gt;"Isotropic","",IF(OR(J11="",K11=""),"",J11/(2*(1+K11)))))</x:f>
        <x:v>77.51937984496124</x:v>
      </x:c>
      <x:c r="O11" s="39" t="n">
        <x:f>IF(M11&lt;&gt;"",M11,IF(H11&lt;&gt;"Isotropic","",IF(OR(J11="",K11="",K11&gt;=0.5),"",J11/(3*(1-2*K11)))))</x:f>
        <x:v>158.7301587301587</x:v>
      </x:c>
      <x:c r="P11" s="35" t="n">
        <x:v>345</x:v>
      </x:c>
      <x:c r="Q11" s="35" t="n">
        <x:v>450</x:v>
      </x:c>
      <x:c r="R11" s="35"/>
      <x:c r="S11" s="35"/>
      <x:c r="T11" s="36" t="n">
        <x:v>0.18</x:v>
      </x:c>
      <x:c r="U11" s="35" t="n">
        <x:v>50</x:v>
      </x:c>
      <x:c r="V11" s="35" t="n">
        <x:v>50</x:v>
      </x:c>
      <x:c r="W11" s="35" t="n">
        <x:v>486</x:v>
      </x:c>
      <x:c r="X11" s="35" t="n">
        <x:v>11.7</x:v>
      </x:c>
      <x:c r="Y11" s="37" t="n">
        <x:v>1.43e-7</x:v>
      </x:c>
      <x:c r="Z11" s="38" t="n">
        <x:v>1450</x:v>
      </x:c>
      <x:c r="AA11" s="38" t="n">
        <x:v>425</x:v>
      </x:c>
      <x:c r="AB11" s="38" t="n">
        <x:v>145</x:v>
      </x:c>
      <x:c r="AC11" s="32" t="n">
        <x:v>1</x:v>
      </x:c>
      <x:c r="AD11" s="32" t="str">
        <x:v>Representative</x:v>
      </x:c>
      <x:c r="AE11" s="8" t="str">
        <x:v>Common W-shape screening values; use governing steel code for design.</x:v>
      </x:c>
      <x:c r="AF11" s="8" t="str">
        <x:f>IFERROR(VLOOKUP(AC11,'Sources'!$A$2:$E$12,5,FALSE),"")</x:f>
        <x:v>https://www.matweb.com/search/MaterialGroupSearch.aspx</x:v>
      </x:c>
      <x:c r="AG11" s="32" t="b">
        <x:f>COUNTIF($A$2:$A$127,A11)&gt;1</x:f>
        <x:v>0</x:v>
      </x:c>
    </x:row>
    <x:row r="12">
      <x:c r="A12" s="33" t="n">
        <x:v>1011</x:v>
      </x:c>
      <x:c r="B12" s="32" t="str">
        <x:v>TOOL_STEEL_A2_HARDENED</x:v>
      </x:c>
      <x:c r="C12" s="32" t="str">
        <x:v>A2 tool steel</x:v>
      </x:c>
      <x:c r="D12" s="32" t="str">
        <x:v>Ferrous metal</x:v>
      </x:c>
      <x:c r="E12" s="32" t="str">
        <x:v>Tool steel</x:v>
      </x:c>
      <x:c r="F12" s="32" t="str">
        <x:v>AISI A2</x:v>
      </x:c>
      <x:c r="G12" s="32" t="str">
        <x:v>Hardened and tempered</x:v>
      </x:c>
      <x:c r="H12" s="32" t="str">
        <x:v>Isotropic</x:v>
      </x:c>
      <x:c r="I12" s="34" t="n">
        <x:v>7860</x:v>
      </x:c>
      <x:c r="J12" s="35" t="n">
        <x:v>203</x:v>
      </x:c>
      <x:c r="K12" s="35" t="n">
        <x:v>0.29</x:v>
      </x:c>
      <x:c r="L12" s="40"/>
      <x:c r="M12" s="40"/>
      <x:c r="N12" s="39" t="n">
        <x:f>IF(L12&lt;&gt;"",L12,IF(H12&lt;&gt;"Isotropic","",IF(OR(J12="",K12=""),"",J12/(2*(1+K12)))))</x:f>
        <x:v>78.68217054263566</x:v>
      </x:c>
      <x:c r="O12" s="39" t="n">
        <x:f>IF(M12&lt;&gt;"",M12,IF(H12&lt;&gt;"Isotropic","",IF(OR(J12="",K12="",K12&gt;=0.5),"",J12/(3*(1-2*K12)))))</x:f>
        <x:v>161.1111111111111</x:v>
      </x:c>
      <x:c r="P12" s="35" t="n">
        <x:v>1580</x:v>
      </x:c>
      <x:c r="Q12" s="35" t="n">
        <x:v>1900</x:v>
      </x:c>
      <x:c r="R12" s="35"/>
      <x:c r="S12" s="35"/>
      <x:c r="T12" s="36" t="n">
        <x:v>0.02</x:v>
      </x:c>
      <x:c r="U12" s="35" t="n">
        <x:v>20</x:v>
      </x:c>
      <x:c r="V12" s="35" t="n">
        <x:v>26</x:v>
      </x:c>
      <x:c r="W12" s="35" t="n">
        <x:v>460</x:v>
      </x:c>
      <x:c r="X12" s="35" t="n">
        <x:v>11.5</x:v>
      </x:c>
      <x:c r="Y12" s="37" t="n">
        <x:v>4.7e-7</x:v>
      </x:c>
      <x:c r="Z12" s="38" t="n">
        <x:v>1420</x:v>
      </x:c>
      <x:c r="AA12" s="38" t="n">
        <x:v>315</x:v>
      </x:c>
      <x:c r="AB12" s="38" t="n">
        <x:v>650</x:v>
      </x:c>
      <x:c r="AC12" s="32" t="n">
        <x:v>1</x:v>
      </x:c>
      <x:c r="AD12" s="32" t="str">
        <x:v>Approximate</x:v>
      </x:c>
      <x:c r="AE12" s="8" t="str">
        <x:v>Properties depend strongly on tempering temperature and section size.</x:v>
      </x:c>
      <x:c r="AF12" s="8" t="str">
        <x:f>IFERROR(VLOOKUP(AC12,'Sources'!$A$2:$E$12,5,FALSE),"")</x:f>
        <x:v>https://www.matweb.com/search/MaterialGroupSearch.aspx</x:v>
      </x:c>
      <x:c r="AG12" s="32" t="b">
        <x:f>COUNTIF($A$2:$A$127,A12)&gt;1</x:f>
        <x:v>0</x:v>
      </x:c>
    </x:row>
    <x:row r="13">
      <x:c r="A13" s="33" t="n">
        <x:v>1012</x:v>
      </x:c>
      <x:c r="B13" s="32" t="str">
        <x:v>TOOL_STEEL_D2_HARDENED</x:v>
      </x:c>
      <x:c r="C13" s="32" t="str">
        <x:v>D2 tool steel</x:v>
      </x:c>
      <x:c r="D13" s="32" t="str">
        <x:v>Ferrous metal</x:v>
      </x:c>
      <x:c r="E13" s="32" t="str">
        <x:v>Tool steel</x:v>
      </x:c>
      <x:c r="F13" s="32" t="str">
        <x:v>AISI D2</x:v>
      </x:c>
      <x:c r="G13" s="32" t="str">
        <x:v>Hardened and tempered</x:v>
      </x:c>
      <x:c r="H13" s="32" t="str">
        <x:v>Isotropic</x:v>
      </x:c>
      <x:c r="I13" s="34" t="n">
        <x:v>7700</x:v>
      </x:c>
      <x:c r="J13" s="35" t="n">
        <x:v>210</x:v>
      </x:c>
      <x:c r="K13" s="35" t="n">
        <x:v>0.28</x:v>
      </x:c>
      <x:c r="L13" s="40"/>
      <x:c r="M13" s="40"/>
      <x:c r="N13" s="39" t="n">
        <x:f>IF(L13&lt;&gt;"",L13,IF(H13&lt;&gt;"Isotropic","",IF(OR(J13="",K13=""),"",J13/(2*(1+K13)))))</x:f>
        <x:v>82.03125</x:v>
      </x:c>
      <x:c r="O13" s="39" t="n">
        <x:f>IF(M13&lt;&gt;"",M13,IF(H13&lt;&gt;"Isotropic","",IF(OR(J13="",K13="",K13&gt;=0.5),"",J13/(3*(1-2*K13)))))</x:f>
        <x:v>159.09090909090912</x:v>
      </x:c>
      <x:c r="P13" s="35" t="n">
        <x:v>1530</x:v>
      </x:c>
      <x:c r="Q13" s="35" t="n">
        <x:v>1900</x:v>
      </x:c>
      <x:c r="R13" s="35"/>
      <x:c r="S13" s="35"/>
      <x:c r="T13" s="36" t="n">
        <x:v>0.01</x:v>
      </x:c>
      <x:c r="U13" s="35" t="n">
        <x:v>18</x:v>
      </x:c>
      <x:c r="V13" s="35" t="n">
        <x:v>20</x:v>
      </x:c>
      <x:c r="W13" s="35" t="n">
        <x:v>460</x:v>
      </x:c>
      <x:c r="X13" s="35" t="n">
        <x:v>10.4</x:v>
      </x:c>
      <x:c r="Y13" s="37" t="n">
        <x:v>5.4e-7</x:v>
      </x:c>
      <x:c r="Z13" s="38" t="n">
        <x:v>1420</x:v>
      </x:c>
      <x:c r="AA13" s="38" t="n">
        <x:v>315</x:v>
      </x:c>
      <x:c r="AB13" s="38" t="n">
        <x:v>700</x:v>
      </x:c>
      <x:c r="AC13" s="32" t="n">
        <x:v>1</x:v>
      </x:c>
      <x:c r="AD13" s="32" t="str">
        <x:v>Approximate</x:v>
      </x:c>
      <x:c r="AE13" s="8" t="str">
        <x:v>High-carbide tool steel; properties depend on heat treatment.</x:v>
      </x:c>
      <x:c r="AF13" s="8" t="str">
        <x:f>IFERROR(VLOOKUP(AC13,'Sources'!$A$2:$E$12,5,FALSE),"")</x:f>
        <x:v>https://www.matweb.com/search/MaterialGroupSearch.aspx</x:v>
      </x:c>
      <x:c r="AG13" s="32" t="b">
        <x:f>COUNTIF($A$2:$A$127,A13)&gt;1</x:f>
        <x:v>0</x:v>
      </x:c>
    </x:row>
    <x:row r="14">
      <x:c r="A14" s="33" t="n">
        <x:v>1013</x:v>
      </x:c>
      <x:c r="B14" s="32" t="str">
        <x:v>TOOL_STEEL_H13_HARDENED</x:v>
      </x:c>
      <x:c r="C14" s="32" t="str">
        <x:v>H13 hot-work tool steel</x:v>
      </x:c>
      <x:c r="D14" s="32" t="str">
        <x:v>Ferrous metal</x:v>
      </x:c>
      <x:c r="E14" s="32" t="str">
        <x:v>Tool steel</x:v>
      </x:c>
      <x:c r="F14" s="32" t="str">
        <x:v>AISI H13</x:v>
      </x:c>
      <x:c r="G14" s="32" t="str">
        <x:v>Hardened and tempered</x:v>
      </x:c>
      <x:c r="H14" s="32" t="str">
        <x:v>Isotropic</x:v>
      </x:c>
      <x:c r="I14" s="34" t="n">
        <x:v>7800</x:v>
      </x:c>
      <x:c r="J14" s="35" t="n">
        <x:v>210</x:v>
      </x:c>
      <x:c r="K14" s="35" t="n">
        <x:v>0.29</x:v>
      </x:c>
      <x:c r="L14" s="40"/>
      <x:c r="M14" s="40"/>
      <x:c r="N14" s="39" t="n">
        <x:f>IF(L14&lt;&gt;"",L14,IF(H14&lt;&gt;"Isotropic","",IF(OR(J14="",K14=""),"",J14/(2*(1+K14)))))</x:f>
        <x:v>81.3953488372093</x:v>
      </x:c>
      <x:c r="O14" s="39" t="n">
        <x:f>IF(M14&lt;&gt;"",M14,IF(H14&lt;&gt;"Isotropic","",IF(OR(J14="",K14="",K14&gt;=0.5),"",J14/(3*(1-2*K14)))))</x:f>
        <x:v>166.66666666666663</x:v>
      </x:c>
      <x:c r="P14" s="35" t="n">
        <x:v>1200</x:v>
      </x:c>
      <x:c r="Q14" s="35" t="n">
        <x:v>1500</x:v>
      </x:c>
      <x:c r="R14" s="35"/>
      <x:c r="S14" s="35"/>
      <x:c r="T14" s="36" t="n">
        <x:v>0.08</x:v>
      </x:c>
      <x:c r="U14" s="35" t="n">
        <x:v>22</x:v>
      </x:c>
      <x:c r="V14" s="35" t="n">
        <x:v>28.6</x:v>
      </x:c>
      <x:c r="W14" s="35" t="n">
        <x:v>460</x:v>
      </x:c>
      <x:c r="X14" s="35" t="n">
        <x:v>11.9</x:v>
      </x:c>
      <x:c r="Y14" s="37" t="n">
        <x:v>5.2e-7</x:v>
      </x:c>
      <x:c r="Z14" s="38" t="n">
        <x:v>1425</x:v>
      </x:c>
      <x:c r="AA14" s="38" t="n">
        <x:v>540</x:v>
      </x:c>
      <x:c r="AB14" s="38" t="n">
        <x:v>560</x:v>
      </x:c>
      <x:c r="AC14" s="32" t="n">
        <x:v>1</x:v>
      </x:c>
      <x:c r="AD14" s="32" t="str">
        <x:v>Approximate</x:v>
      </x:c>
      <x:c r="AE14" s="8" t="str">
        <x:v>Hot-work grade; verify temper and operating-cycle limits.</x:v>
      </x:c>
      <x:c r="AF14" s="8" t="str">
        <x:f>IFERROR(VLOOKUP(AC14,'Sources'!$A$2:$E$12,5,FALSE),"")</x:f>
        <x:v>https://www.matweb.com/search/MaterialGroupSearch.aspx</x:v>
      </x:c>
      <x:c r="AG14" s="32" t="b">
        <x:f>COUNTIF($A$2:$A$127,A14)&gt;1</x:f>
        <x:v>0</x:v>
      </x:c>
    </x:row>
    <x:row r="15">
      <x:c r="A15" s="33" t="n">
        <x:v>1014</x:v>
      </x:c>
      <x:c r="B15" s="32" t="str">
        <x:v>MARAGING_STEEL_18NI_250</x:v>
      </x:c>
      <x:c r="C15" s="32" t="str">
        <x:v>18Ni(250) maraging steel</x:v>
      </x:c>
      <x:c r="D15" s="32" t="str">
        <x:v>Ferrous metal</x:v>
      </x:c>
      <x:c r="E15" s="32" t="str">
        <x:v>Maraging steel</x:v>
      </x:c>
      <x:c r="F15" s="32" t="str">
        <x:v>18Ni(250)</x:v>
      </x:c>
      <x:c r="G15" s="32" t="str">
        <x:v>Solution treated and aged</x:v>
      </x:c>
      <x:c r="H15" s="32" t="str">
        <x:v>Isotropic</x:v>
      </x:c>
      <x:c r="I15" s="34" t="n">
        <x:v>8000</x:v>
      </x:c>
      <x:c r="J15" s="35" t="n">
        <x:v>190</x:v>
      </x:c>
      <x:c r="K15" s="35" t="n">
        <x:v>0.3</x:v>
      </x:c>
      <x:c r="L15" s="40"/>
      <x:c r="M15" s="40"/>
      <x:c r="N15" s="39" t="n">
        <x:f>IF(L15&lt;&gt;"",L15,IF(H15&lt;&gt;"Isotropic","",IF(OR(J15="",K15=""),"",J15/(2*(1+K15)))))</x:f>
        <x:v>73.07692307692308</x:v>
      </x:c>
      <x:c r="O15" s="39" t="n">
        <x:f>IF(M15&lt;&gt;"",M15,IF(H15&lt;&gt;"Isotropic","",IF(OR(J15="",K15="",K15&gt;=0.5),"",J15/(3*(1-2*K15)))))</x:f>
        <x:v>158.33333333333331</x:v>
      </x:c>
      <x:c r="P15" s="35" t="n">
        <x:v>1700</x:v>
      </x:c>
      <x:c r="Q15" s="35" t="n">
        <x:v>1800</x:v>
      </x:c>
      <x:c r="R15" s="35"/>
      <x:c r="S15" s="35"/>
      <x:c r="T15" s="36" t="n">
        <x:v>0.08</x:v>
      </x:c>
      <x:c r="U15" s="35" t="n">
        <x:v>70</x:v>
      </x:c>
      <x:c r="V15" s="35" t="n">
        <x:v>25.5</x:v>
      </x:c>
      <x:c r="W15" s="35" t="n">
        <x:v>460</x:v>
      </x:c>
      <x:c r="X15" s="35" t="n">
        <x:v>10.3</x:v>
      </x:c>
      <x:c r="Y15" s="37" t="n">
        <x:v>8e-7</x:v>
      </x:c>
      <x:c r="Z15" s="38" t="n">
        <x:v>1413</x:v>
      </x:c>
      <x:c r="AA15" s="38" t="n">
        <x:v>480</x:v>
      </x:c>
      <x:c r="AB15" s="38" t="n">
        <x:v>540</x:v>
      </x:c>
      <x:c r="AC15" s="32" t="n">
        <x:v>1</x:v>
      </x:c>
      <x:c r="AD15" s="32" t="str">
        <x:v>Approximate</x:v>
      </x:c>
      <x:c r="AE15" s="8" t="str">
        <x:v>Aging schedule affects strength and toughness.</x:v>
      </x:c>
      <x:c r="AF15" s="8" t="str">
        <x:f>IFERROR(VLOOKUP(AC15,'Sources'!$A$2:$E$12,5,FALSE),"")</x:f>
        <x:v>https://www.matweb.com/search/MaterialGroupSearch.aspx</x:v>
      </x:c>
      <x:c r="AG15" s="32" t="b">
        <x:f>COUNTIF($A$2:$A$127,A15)&gt;1</x:f>
        <x:v>0</x:v>
      </x:c>
    </x:row>
    <x:row r="16">
      <x:c r="A16" s="33" t="n">
        <x:v>1101</x:v>
      </x:c>
      <x:c r="B16" s="32" t="str">
        <x:v>STAINLESS_304</x:v>
      </x:c>
      <x:c r="C16" s="32" t="str">
        <x:v>AISI 304 stainless steel</x:v>
      </x:c>
      <x:c r="D16" s="32" t="str">
        <x:v>Ferrous metal</x:v>
      </x:c>
      <x:c r="E16" s="32" t="str">
        <x:v>Austenitic stainless steel</x:v>
      </x:c>
      <x:c r="F16" s="32" t="str">
        <x:v>EN 1.4301; ASTM 304; UNS S30400</x:v>
      </x:c>
      <x:c r="G16" s="32" t="str">
        <x:v>Solution annealed cold rolled coil or sheet</x:v>
      </x:c>
      <x:c r="H16" s="32" t="str">
        <x:v>Isotropic</x:v>
      </x:c>
      <x:c r="I16" s="34" t="n">
        <x:v>7900</x:v>
      </x:c>
      <x:c r="J16" s="35" t="n">
        <x:v>200</x:v>
      </x:c>
      <x:c r="K16" s="35"/>
      <x:c r="L16" s="40"/>
      <x:c r="M16" s="40"/>
      <x:c r="N16" s="39" t="str">
        <x:f>IF(L16&lt;&gt;"",L16,IF(H16&lt;&gt;"Isotropic","",IF(OR(J16="",K16=""),"",J16/(2*(1+K16)))))</x:f>
      </x:c>
      <x:c r="O16" s="39" t="str">
        <x:f>IF(M16&lt;&gt;"",M16,IF(H16&lt;&gt;"Isotropic","",IF(OR(J16="",K16="",K16&gt;=0.5),"",J16/(3*(1-2*K16)))))</x:f>
      </x:c>
      <x:c r="P16" s="35" t="n">
        <x:v>230</x:v>
      </x:c>
      <x:c r="Q16" s="35" t="n">
        <x:v>540</x:v>
      </x:c>
      <x:c r="R16" s="35"/>
      <x:c r="S16" s="35"/>
      <x:c r="T16" s="36" t="n">
        <x:v>0.45</x:v>
      </x:c>
      <x:c r="U16" s="35"/>
      <x:c r="V16" s="35" t="n">
        <x:v>15</x:v>
      </x:c>
      <x:c r="W16" s="35" t="n">
        <x:v>500</x:v>
      </x:c>
      <x:c r="X16" s="35" t="n">
        <x:v>16</x:v>
      </x:c>
      <x:c r="Y16" s="37" t="n">
        <x:v>7.3e-7</x:v>
      </x:c>
      <x:c r="Z16" s="38"/>
      <x:c r="AA16" s="38"/>
      <x:c r="AB16" s="38"/>
      <x:c r="AC16" s="32" t="n">
        <x:v>2</x:v>
      </x:c>
      <x:c r="AD16" s="32" t="str">
        <x:v>Representative</x:v>
      </x:c>
      <x:c r="AE16" s="8" t="str">
        <x:v>Qualified against Outokumpu Core 304/4301 Tables 5 and 7. Mechanical values are EN 10088-2 cold-rolled sheet minimums; tensile strength stores the cited range lower bound. Unsupported Poisson ratio, derived moduli, KIC, transition, service-temperature, and hardness values were removed.</x:v>
      </x:c>
      <x:c r="AF16" s="8" t="str">
        <x:f>IFERROR(VLOOKUP(AC16,'Sources'!$A$2:$E$12,5,FALSE),"")</x:f>
        <x:v>https://www.outokumpu.com/en/products/stainless-steel/grades</x:v>
      </x:c>
      <x:c r="AG16" s="32" t="b">
        <x:f>COUNTIF($A$2:$A$127,A16)&gt;1</x:f>
        <x:v>0</x:v>
      </x:c>
    </x:row>
    <x:row r="17">
      <x:c r="A17" s="33" t="n">
        <x:v>1102</x:v>
      </x:c>
      <x:c r="B17" s="32" t="str">
        <x:v>STAINLESS_304L</x:v>
      </x:c>
      <x:c r="C17" s="32" t="str">
        <x:v>AISI 304L stainless steel</x:v>
      </x:c>
      <x:c r="D17" s="32" t="str">
        <x:v>Ferrous metal</x:v>
      </x:c>
      <x:c r="E17" s="32" t="str">
        <x:v>Austenitic stainless steel</x:v>
      </x:c>
      <x:c r="F17" s="32" t="str">
        <x:v>EN 1.4307; ASTM 304L; UNS S30403</x:v>
      </x:c>
      <x:c r="G17" s="32" t="str">
        <x:v>Solution annealed cold rolled coil or sheet</x:v>
      </x:c>
      <x:c r="H17" s="32" t="str">
        <x:v>Isotropic</x:v>
      </x:c>
      <x:c r="I17" s="34" t="n">
        <x:v>7900</x:v>
      </x:c>
      <x:c r="J17" s="35" t="n">
        <x:v>200</x:v>
      </x:c>
      <x:c r="K17" s="35"/>
      <x:c r="L17" s="40"/>
      <x:c r="M17" s="40"/>
      <x:c r="N17" s="39" t="str">
        <x:f>IF(L17&lt;&gt;"",L17,IF(H17&lt;&gt;"Isotropic","",IF(OR(J17="",K17=""),"",J17/(2*(1+K17)))))</x:f>
      </x:c>
      <x:c r="O17" s="39" t="str">
        <x:f>IF(M17&lt;&gt;"",M17,IF(H17&lt;&gt;"Isotropic","",IF(OR(J17="",K17="",K17&gt;=0.5),"",J17/(3*(1-2*K17)))))</x:f>
      </x:c>
      <x:c r="P17" s="35" t="n">
        <x:v>220</x:v>
      </x:c>
      <x:c r="Q17" s="35" t="n">
        <x:v>520</x:v>
      </x:c>
      <x:c r="R17" s="35"/>
      <x:c r="S17" s="35"/>
      <x:c r="T17" s="36" t="n">
        <x:v>0.45</x:v>
      </x:c>
      <x:c r="U17" s="35"/>
      <x:c r="V17" s="35" t="n">
        <x:v>15</x:v>
      </x:c>
      <x:c r="W17" s="35" t="n">
        <x:v>500</x:v>
      </x:c>
      <x:c r="X17" s="35" t="n">
        <x:v>16</x:v>
      </x:c>
      <x:c r="Y17" s="37" t="n">
        <x:v>7.3e-7</x:v>
      </x:c>
      <x:c r="Z17" s="38"/>
      <x:c r="AA17" s="38"/>
      <x:c r="AB17" s="38"/>
      <x:c r="AC17" s="32" t="n">
        <x:v>2</x:v>
      </x:c>
      <x:c r="AD17" s="32" t="str">
        <x:v>Representative</x:v>
      </x:c>
      <x:c r="AE17" s="8" t="str">
        <x:v>Qualified against Outokumpu Core 304L/4307 Tables 5 and 7. Mechanical values are EN 10088-2 cold-rolled sheet minimums; tensile strength stores the cited range lower bound. Unsupported Poisson ratio, derived moduli, KIC, transition, service-temperature, and hardness values were removed.</x:v>
      </x:c>
      <x:c r="AF17" s="8" t="str">
        <x:f>IFERROR(VLOOKUP(AC17,'Sources'!$A$2:$E$12,5,FALSE),"")</x:f>
        <x:v>https://www.outokumpu.com/en/products/stainless-steel/grades</x:v>
      </x:c>
      <x:c r="AG17" s="32" t="b">
        <x:f>COUNTIF($A$2:$A$127,A17)&gt;1</x:f>
        <x:v>0</x:v>
      </x:c>
    </x:row>
    <x:row r="18">
      <x:c r="A18" s="33" t="n">
        <x:v>1103</x:v>
      </x:c>
      <x:c r="B18" s="32" t="str">
        <x:v>STAINLESS_316</x:v>
      </x:c>
      <x:c r="C18" s="32" t="str">
        <x:v>AISI 316 stainless steel</x:v>
      </x:c>
      <x:c r="D18" s="32" t="str">
        <x:v>Ferrous metal</x:v>
      </x:c>
      <x:c r="E18" s="32" t="str">
        <x:v>Austenitic stainless steel</x:v>
      </x:c>
      <x:c r="F18" s="32" t="str">
        <x:v>AISI 316</x:v>
      </x:c>
      <x:c r="G18" s="32" t="str">
        <x:v>Annealed</x:v>
      </x:c>
      <x:c r="H18" s="32" t="str">
        <x:v>Isotropic</x:v>
      </x:c>
      <x:c r="I18" s="34" t="n">
        <x:v>8000</x:v>
      </x:c>
      <x:c r="J18" s="35" t="n">
        <x:v>193</x:v>
      </x:c>
      <x:c r="K18" s="35" t="n">
        <x:v>0.3</x:v>
      </x:c>
      <x:c r="L18" s="40"/>
      <x:c r="M18" s="40"/>
      <x:c r="N18" s="39" t="n">
        <x:f>IF(L18&lt;&gt;"",L18,IF(H18&lt;&gt;"Isotropic","",IF(OR(J18="",K18=""),"",J18/(2*(1+K18)))))</x:f>
        <x:v>74.23076923076923</x:v>
      </x:c>
      <x:c r="O18" s="39" t="n">
        <x:f>IF(M18&lt;&gt;"",M18,IF(H18&lt;&gt;"Isotropic","",IF(OR(J18="",K18="",K18&gt;=0.5),"",J18/(3*(1-2*K18)))))</x:f>
        <x:v>160.83333333333331</x:v>
      </x:c>
      <x:c r="P18" s="35" t="n">
        <x:v>205</x:v>
      </x:c>
      <x:c r="Q18" s="35" t="n">
        <x:v>515</x:v>
      </x:c>
      <x:c r="R18" s="35"/>
      <x:c r="S18" s="35"/>
      <x:c r="T18" s="36" t="n">
        <x:v>0.6</x:v>
      </x:c>
      <x:c r="U18" s="35" t="n">
        <x:v>140</x:v>
      </x:c>
      <x:c r="V18" s="35" t="n">
        <x:v>16.3</x:v>
      </x:c>
      <x:c r="W18" s="35" t="n">
        <x:v>500</x:v>
      </x:c>
      <x:c r="X18" s="35" t="n">
        <x:v>15.9</x:v>
      </x:c>
      <x:c r="Y18" s="37" t="n">
        <x:v>7.4e-7</x:v>
      </x:c>
      <x:c r="Z18" s="38" t="n">
        <x:v>1380</x:v>
      </x:c>
      <x:c r="AA18" s="38" t="n">
        <x:v>870</x:v>
      </x:c>
      <x:c r="AB18" s="38" t="n">
        <x:v>146</x:v>
      </x:c>
      <x:c r="AC18" s="32" t="n">
        <x:v>2</x:v>
      </x:c>
      <x:c r="AD18" s="32" t="str">
        <x:v>Representative</x:v>
      </x:c>
      <x:c r="AE18" s="8" t="str">
        <x:v>Annealed typical values.</x:v>
      </x:c>
      <x:c r="AF18" s="8" t="str">
        <x:f>IFERROR(VLOOKUP(AC18,'Sources'!$A$2:$E$12,5,FALSE),"")</x:f>
        <x:v>https://www.outokumpu.com/en/products/stainless-steel/grades</x:v>
      </x:c>
      <x:c r="AG18" s="32" t="b">
        <x:f>COUNTIF($A$2:$A$127,A18)&gt;1</x:f>
        <x:v>0</x:v>
      </x:c>
    </x:row>
    <x:row r="19">
      <x:c r="A19" s="33" t="n">
        <x:v>1104</x:v>
      </x:c>
      <x:c r="B19" s="32" t="str">
        <x:v>STAINLESS_316L</x:v>
      </x:c>
      <x:c r="C19" s="32" t="str">
        <x:v>AISI 316L stainless steel</x:v>
      </x:c>
      <x:c r="D19" s="32" t="str">
        <x:v>Ferrous metal</x:v>
      </x:c>
      <x:c r="E19" s="32" t="str">
        <x:v>Austenitic stainless steel</x:v>
      </x:c>
      <x:c r="F19" s="32" t="str">
        <x:v>AISI 316L</x:v>
      </x:c>
      <x:c r="G19" s="32" t="str">
        <x:v>Annealed</x:v>
      </x:c>
      <x:c r="H19" s="32" t="str">
        <x:v>Isotropic</x:v>
      </x:c>
      <x:c r="I19" s="34" t="n">
        <x:v>8000</x:v>
      </x:c>
      <x:c r="J19" s="35" t="n">
        <x:v>193</x:v>
      </x:c>
      <x:c r="K19" s="35" t="n">
        <x:v>0.3</x:v>
      </x:c>
      <x:c r="L19" s="40"/>
      <x:c r="M19" s="40"/>
      <x:c r="N19" s="39" t="n">
        <x:f>IF(L19&lt;&gt;"",L19,IF(H19&lt;&gt;"Isotropic","",IF(OR(J19="",K19=""),"",J19/(2*(1+K19)))))</x:f>
        <x:v>74.23076923076923</x:v>
      </x:c>
      <x:c r="O19" s="39" t="n">
        <x:f>IF(M19&lt;&gt;"",M19,IF(H19&lt;&gt;"Isotropic","",IF(OR(J19="",K19="",K19&gt;=0.5),"",J19/(3*(1-2*K19)))))</x:f>
        <x:v>160.83333333333331</x:v>
      </x:c>
      <x:c r="P19" s="35" t="n">
        <x:v>170</x:v>
      </x:c>
      <x:c r="Q19" s="35" t="n">
        <x:v>485</x:v>
      </x:c>
      <x:c r="R19" s="35"/>
      <x:c r="S19" s="35"/>
      <x:c r="T19" s="36" t="n">
        <x:v>0.6</x:v>
      </x:c>
      <x:c r="U19" s="35" t="n">
        <x:v>140</x:v>
      </x:c>
      <x:c r="V19" s="35" t="n">
        <x:v>16.3</x:v>
      </x:c>
      <x:c r="W19" s="35" t="n">
        <x:v>500</x:v>
      </x:c>
      <x:c r="X19" s="35" t="n">
        <x:v>15.9</x:v>
      </x:c>
      <x:c r="Y19" s="37" t="n">
        <x:v>7.4e-7</x:v>
      </x:c>
      <x:c r="Z19" s="38" t="n">
        <x:v>1380</x:v>
      </x:c>
      <x:c r="AA19" s="38" t="n">
        <x:v>870</x:v>
      </x:c>
      <x:c r="AB19" s="38" t="n">
        <x:v>140</x:v>
      </x:c>
      <x:c r="AC19" s="32" t="n">
        <x:v>2</x:v>
      </x:c>
      <x:c r="AD19" s="32" t="str">
        <x:v>Representative</x:v>
      </x:c>
      <x:c r="AE19" s="8" t="str">
        <x:v>Low-carbon 316; verify product specification.</x:v>
      </x:c>
      <x:c r="AF19" s="8" t="str">
        <x:f>IFERROR(VLOOKUP(AC19,'Sources'!$A$2:$E$12,5,FALSE),"")</x:f>
        <x:v>https://www.outokumpu.com/en/products/stainless-steel/grades</x:v>
      </x:c>
      <x:c r="AG19" s="32" t="b">
        <x:f>COUNTIF($A$2:$A$127,A19)&gt;1</x:f>
        <x:v>0</x:v>
      </x:c>
    </x:row>
    <x:row r="20">
      <x:c r="A20" s="33" t="n">
        <x:v>1105</x:v>
      </x:c>
      <x:c r="B20" s="32" t="str">
        <x:v>STAINLESS_321</x:v>
      </x:c>
      <x:c r="C20" s="32" t="str">
        <x:v>AISI 321 stainless steel</x:v>
      </x:c>
      <x:c r="D20" s="32" t="str">
        <x:v>Ferrous metal</x:v>
      </x:c>
      <x:c r="E20" s="32" t="str">
        <x:v>Austenitic stainless steel</x:v>
      </x:c>
      <x:c r="F20" s="32" t="str">
        <x:v>AISI 321</x:v>
      </x:c>
      <x:c r="G20" s="32" t="str">
        <x:v>Annealed</x:v>
      </x:c>
      <x:c r="H20" s="32" t="str">
        <x:v>Isotropic</x:v>
      </x:c>
      <x:c r="I20" s="34" t="n">
        <x:v>8020</x:v>
      </x:c>
      <x:c r="J20" s="35" t="n">
        <x:v>193</x:v>
      </x:c>
      <x:c r="K20" s="35" t="n">
        <x:v>0.29</x:v>
      </x:c>
      <x:c r="L20" s="40"/>
      <x:c r="M20" s="40"/>
      <x:c r="N20" s="39" t="n">
        <x:f>IF(L20&lt;&gt;"",L20,IF(H20&lt;&gt;"Isotropic","",IF(OR(J20="",K20=""),"",J20/(2*(1+K20)))))</x:f>
        <x:v>74.8062015503876</x:v>
      </x:c>
      <x:c r="O20" s="39" t="n">
        <x:f>IF(M20&lt;&gt;"",M20,IF(H20&lt;&gt;"Isotropic","",IF(OR(J20="",K20="",K20&gt;=0.5),"",J20/(3*(1-2*K20)))))</x:f>
        <x:v>153.17460317460313</x:v>
      </x:c>
      <x:c r="P20" s="35" t="n">
        <x:v>205</x:v>
      </x:c>
      <x:c r="Q20" s="35" t="n">
        <x:v>515</x:v>
      </x:c>
      <x:c r="R20" s="35"/>
      <x:c r="S20" s="35"/>
      <x:c r="T20" s="36" t="n">
        <x:v>0.4</x:v>
      </x:c>
      <x:c r="U20" s="35" t="n">
        <x:v>110</x:v>
      </x:c>
      <x:c r="V20" s="35" t="n">
        <x:v>16.1</x:v>
      </x:c>
      <x:c r="W20" s="35" t="n">
        <x:v>500</x:v>
      </x:c>
      <x:c r="X20" s="35" t="n">
        <x:v>16.6</x:v>
      </x:c>
      <x:c r="Y20" s="37" t="n">
        <x:v>7.2e-7</x:v>
      </x:c>
      <x:c r="Z20" s="38" t="n">
        <x:v>1400</x:v>
      </x:c>
      <x:c r="AA20" s="38" t="n">
        <x:v>870</x:v>
      </x:c>
      <x:c r="AB20" s="38" t="n">
        <x:v>150</x:v>
      </x:c>
      <x:c r="AC20" s="32" t="n">
        <x:v>2</x:v>
      </x:c>
      <x:c r="AD20" s="32" t="str">
        <x:v>Representative</x:v>
      </x:c>
      <x:c r="AE20" s="8" t="str">
        <x:v>Titanium-stabilized stainless steel.</x:v>
      </x:c>
      <x:c r="AF20" s="8" t="str">
        <x:f>IFERROR(VLOOKUP(AC20,'Sources'!$A$2:$E$12,5,FALSE),"")</x:f>
        <x:v>https://www.outokumpu.com/en/products/stainless-steel/grades</x:v>
      </x:c>
      <x:c r="AG20" s="32" t="b">
        <x:f>COUNTIF($A$2:$A$127,A20)&gt;1</x:f>
        <x:v>0</x:v>
      </x:c>
    </x:row>
    <x:row r="21">
      <x:c r="A21" s="33" t="n">
        <x:v>1106</x:v>
      </x:c>
      <x:c r="B21" s="32" t="str">
        <x:v>STAINLESS_410_A</x:v>
      </x:c>
      <x:c r="C21" s="32" t="str">
        <x:v>AISI 410 stainless steel</x:v>
      </x:c>
      <x:c r="D21" s="32" t="str">
        <x:v>Ferrous metal</x:v>
      </x:c>
      <x:c r="E21" s="32" t="str">
        <x:v>Martensitic stainless steel</x:v>
      </x:c>
      <x:c r="F21" s="32" t="str">
        <x:v>AISI 410</x:v>
      </x:c>
      <x:c r="G21" s="32" t="str">
        <x:v>Annealed</x:v>
      </x:c>
      <x:c r="H21" s="32" t="str">
        <x:v>Isotropic</x:v>
      </x:c>
      <x:c r="I21" s="34" t="n">
        <x:v>7750</x:v>
      </x:c>
      <x:c r="J21" s="35" t="n">
        <x:v>200</x:v>
      </x:c>
      <x:c r="K21" s="35" t="n">
        <x:v>0.28</x:v>
      </x:c>
      <x:c r="L21" s="40"/>
      <x:c r="M21" s="40"/>
      <x:c r="N21" s="39" t="n">
        <x:f>IF(L21&lt;&gt;"",L21,IF(H21&lt;&gt;"Isotropic","",IF(OR(J21="",K21=""),"",J21/(2*(1+K21)))))</x:f>
        <x:v>78.125</x:v>
      </x:c>
      <x:c r="O21" s="39" t="n">
        <x:f>IF(M21&lt;&gt;"",M21,IF(H21&lt;&gt;"Isotropic","",IF(OR(J21="",K21="",K21&gt;=0.5),"",J21/(3*(1-2*K21)))))</x:f>
        <x:v>151.51515151515153</x:v>
      </x:c>
      <x:c r="P21" s="35" t="n">
        <x:v>275</x:v>
      </x:c>
      <x:c r="Q21" s="35" t="n">
        <x:v>480</x:v>
      </x:c>
      <x:c r="R21" s="35"/>
      <x:c r="S21" s="35"/>
      <x:c r="T21" s="36" t="n">
        <x:v>0.25</x:v>
      </x:c>
      <x:c r="U21" s="35" t="n">
        <x:v>65</x:v>
      </x:c>
      <x:c r="V21" s="35" t="n">
        <x:v>24.9</x:v>
      </x:c>
      <x:c r="W21" s="35" t="n">
        <x:v>460</x:v>
      </x:c>
      <x:c r="X21" s="35" t="n">
        <x:v>9.9</x:v>
      </x:c>
      <x:c r="Y21" s="37" t="n">
        <x:v>5.7e-7</x:v>
      </x:c>
      <x:c r="Z21" s="38" t="n">
        <x:v>1480</x:v>
      </x:c>
      <x:c r="AA21" s="38" t="n">
        <x:v>650</x:v>
      </x:c>
      <x:c r="AB21" s="38" t="n">
        <x:v>155</x:v>
      </x:c>
      <x:c r="AC21" s="32" t="n">
        <x:v>2</x:v>
      </x:c>
      <x:c r="AD21" s="32" t="str">
        <x:v>Representative</x:v>
      </x:c>
      <x:c r="AE21" s="8" t="str">
        <x:v>Annealed condition; hardened properties differ greatly.</x:v>
      </x:c>
      <x:c r="AF21" s="8" t="str">
        <x:f>IFERROR(VLOOKUP(AC21,'Sources'!$A$2:$E$12,5,FALSE),"")</x:f>
        <x:v>https://www.outokumpu.com/en/products/stainless-steel/grades</x:v>
      </x:c>
      <x:c r="AG21" s="32" t="b">
        <x:f>COUNTIF($A$2:$A$127,A21)&gt;1</x:f>
        <x:v>0</x:v>
      </x:c>
    </x:row>
    <x:row r="22">
      <x:c r="A22" s="33" t="n">
        <x:v>1107</x:v>
      </x:c>
      <x:c r="B22" s="32" t="str">
        <x:v>STAINLESS_420_H</x:v>
      </x:c>
      <x:c r="C22" s="32" t="str">
        <x:v>AISI 420 stainless steel</x:v>
      </x:c>
      <x:c r="D22" s="32" t="str">
        <x:v>Ferrous metal</x:v>
      </x:c>
      <x:c r="E22" s="32" t="str">
        <x:v>Martensitic stainless steel</x:v>
      </x:c>
      <x:c r="F22" s="32" t="str">
        <x:v>AISI 420</x:v>
      </x:c>
      <x:c r="G22" s="32" t="str">
        <x:v>Hardened and tempered</x:v>
      </x:c>
      <x:c r="H22" s="32" t="str">
        <x:v>Isotropic</x:v>
      </x:c>
      <x:c r="I22" s="34" t="n">
        <x:v>7740</x:v>
      </x:c>
      <x:c r="J22" s="35" t="n">
        <x:v>200</x:v>
      </x:c>
      <x:c r="K22" s="35" t="n">
        <x:v>0.28</x:v>
      </x:c>
      <x:c r="L22" s="40"/>
      <x:c r="M22" s="40"/>
      <x:c r="N22" s="39" t="n">
        <x:f>IF(L22&lt;&gt;"",L22,IF(H22&lt;&gt;"Isotropic","",IF(OR(J22="",K22=""),"",J22/(2*(1+K22)))))</x:f>
        <x:v>78.125</x:v>
      </x:c>
      <x:c r="O22" s="39" t="n">
        <x:f>IF(M22&lt;&gt;"",M22,IF(H22&lt;&gt;"Isotropic","",IF(OR(J22="",K22="",K22&gt;=0.5),"",J22/(3*(1-2*K22)))))</x:f>
        <x:v>151.51515151515153</x:v>
      </x:c>
      <x:c r="P22" s="35" t="n">
        <x:v>1000</x:v>
      </x:c>
      <x:c r="Q22" s="35" t="n">
        <x:v>1250</x:v>
      </x:c>
      <x:c r="R22" s="35"/>
      <x:c r="S22" s="35"/>
      <x:c r="T22" s="36" t="n">
        <x:v>0.05</x:v>
      </x:c>
      <x:c r="U22" s="35" t="n">
        <x:v>30</x:v>
      </x:c>
      <x:c r="V22" s="35" t="n">
        <x:v>24.9</x:v>
      </x:c>
      <x:c r="W22" s="35" t="n">
        <x:v>460</x:v>
      </x:c>
      <x:c r="X22" s="35" t="n">
        <x:v>10.3</x:v>
      </x:c>
      <x:c r="Y22" s="37" t="n">
        <x:v>5.5e-7</x:v>
      </x:c>
      <x:c r="Z22" s="38" t="n">
        <x:v>1450</x:v>
      </x:c>
      <x:c r="AA22" s="38" t="n">
        <x:v>540</x:v>
      </x:c>
      <x:c r="AB22" s="38" t="n">
        <x:v>520</x:v>
      </x:c>
      <x:c r="AC22" s="32" t="n">
        <x:v>2</x:v>
      </x:c>
      <x:c r="AD22" s="32" t="str">
        <x:v>Approximate</x:v>
      </x:c>
      <x:c r="AE22" s="8" t="str">
        <x:v>Representative hardened condition; verify temper.</x:v>
      </x:c>
      <x:c r="AF22" s="8" t="str">
        <x:f>IFERROR(VLOOKUP(AC22,'Sources'!$A$2:$E$12,5,FALSE),"")</x:f>
        <x:v>https://www.outokumpu.com/en/products/stainless-steel/grades</x:v>
      </x:c>
      <x:c r="AG22" s="32" t="b">
        <x:f>COUNTIF($A$2:$A$127,A22)&gt;1</x:f>
        <x:v>0</x:v>
      </x:c>
    </x:row>
    <x:row r="23">
      <x:c r="A23" s="33" t="n">
        <x:v>1108</x:v>
      </x:c>
      <x:c r="B23" s="32" t="str">
        <x:v>STAINLESS_430</x:v>
      </x:c>
      <x:c r="C23" s="32" t="str">
        <x:v>AISI 430 stainless steel</x:v>
      </x:c>
      <x:c r="D23" s="32" t="str">
        <x:v>Ferrous metal</x:v>
      </x:c>
      <x:c r="E23" s="32" t="str">
        <x:v>Ferritic stainless steel</x:v>
      </x:c>
      <x:c r="F23" s="32" t="str">
        <x:v>AISI 430</x:v>
      </x:c>
      <x:c r="G23" s="32" t="str">
        <x:v>Annealed</x:v>
      </x:c>
      <x:c r="H23" s="32" t="str">
        <x:v>Isotropic</x:v>
      </x:c>
      <x:c r="I23" s="34" t="n">
        <x:v>7750</x:v>
      </x:c>
      <x:c r="J23" s="35" t="n">
        <x:v>200</x:v>
      </x:c>
      <x:c r="K23" s="35" t="n">
        <x:v>0.29</x:v>
      </x:c>
      <x:c r="L23" s="40"/>
      <x:c r="M23" s="40"/>
      <x:c r="N23" s="39" t="n">
        <x:f>IF(L23&lt;&gt;"",L23,IF(H23&lt;&gt;"Isotropic","",IF(OR(J23="",K23=""),"",J23/(2*(1+K23)))))</x:f>
        <x:v>77.51937984496124</x:v>
      </x:c>
      <x:c r="O23" s="39" t="n">
        <x:f>IF(M23&lt;&gt;"",M23,IF(H23&lt;&gt;"Isotropic","",IF(OR(J23="",K23="",K23&gt;=0.5),"",J23/(3*(1-2*K23)))))</x:f>
        <x:v>158.7301587301587</x:v>
      </x:c>
      <x:c r="P23" s="35" t="n">
        <x:v>205</x:v>
      </x:c>
      <x:c r="Q23" s="35" t="n">
        <x:v>450</x:v>
      </x:c>
      <x:c r="R23" s="35"/>
      <x:c r="S23" s="35"/>
      <x:c r="T23" s="36" t="n">
        <x:v>0.22</x:v>
      </x:c>
      <x:c r="U23" s="35" t="n">
        <x:v>55</x:v>
      </x:c>
      <x:c r="V23" s="35" t="n">
        <x:v>26.1</x:v>
      </x:c>
      <x:c r="W23" s="35" t="n">
        <x:v>460</x:v>
      </x:c>
      <x:c r="X23" s="35" t="n">
        <x:v>10.4</x:v>
      </x:c>
      <x:c r="Y23" s="37" t="n">
        <x:v>6e-7</x:v>
      </x:c>
      <x:c r="Z23" s="38" t="n">
        <x:v>1480</x:v>
      </x:c>
      <x:c r="AA23" s="38" t="n">
        <x:v>815</x:v>
      </x:c>
      <x:c r="AB23" s="38" t="n">
        <x:v>160</x:v>
      </x:c>
      <x:c r="AC23" s="32" t="n">
        <x:v>2</x:v>
      </x:c>
      <x:c r="AD23" s="32" t="str">
        <x:v>Representative</x:v>
      </x:c>
      <x:c r="AE23" s="8" t="str">
        <x:v>Ferritic stainless, annealed.</x:v>
      </x:c>
      <x:c r="AF23" s="8" t="str">
        <x:f>IFERROR(VLOOKUP(AC23,'Sources'!$A$2:$E$12,5,FALSE),"")</x:f>
        <x:v>https://www.outokumpu.com/en/products/stainless-steel/grades</x:v>
      </x:c>
      <x:c r="AG23" s="32" t="b">
        <x:f>COUNTIF($A$2:$A$127,A23)&gt;1</x:f>
        <x:v>0</x:v>
      </x:c>
    </x:row>
    <x:row r="24">
      <x:c r="A24" s="33" t="n">
        <x:v>1109</x:v>
      </x:c>
      <x:c r="B24" s="32" t="str">
        <x:v>STAINLESS_17_4PH_H900</x:v>
      </x:c>
      <x:c r="C24" s="32" t="str">
        <x:v>17-4 PH stainless steel</x:v>
      </x:c>
      <x:c r="D24" s="32" t="str">
        <x:v>Ferrous metal</x:v>
      </x:c>
      <x:c r="E24" s="32" t="str">
        <x:v>Precipitation-hardening stainless steel</x:v>
      </x:c>
      <x:c r="F24" s="32" t="str">
        <x:v>17-4 PH</x:v>
      </x:c>
      <x:c r="G24" s="32" t="str">
        <x:v>H900 aged</x:v>
      </x:c>
      <x:c r="H24" s="32" t="str">
        <x:v>Isotropic</x:v>
      </x:c>
      <x:c r="I24" s="34" t="n">
        <x:v>7780</x:v>
      </x:c>
      <x:c r="J24" s="35" t="n">
        <x:v>197</x:v>
      </x:c>
      <x:c r="K24" s="35" t="n">
        <x:v>0.27</x:v>
      </x:c>
      <x:c r="L24" s="40"/>
      <x:c r="M24" s="40"/>
      <x:c r="N24" s="39" t="n">
        <x:f>IF(L24&lt;&gt;"",L24,IF(H24&lt;&gt;"Isotropic","",IF(OR(J24="",K24=""),"",J24/(2*(1+K24)))))</x:f>
        <x:v>77.55905511811024</x:v>
      </x:c>
      <x:c r="O24" s="39" t="n">
        <x:f>IF(M24&lt;&gt;"",M24,IF(H24&lt;&gt;"Isotropic","",IF(OR(J24="",K24="",K24&gt;=0.5),"",J24/(3*(1-2*K24)))))</x:f>
        <x:v>142.7536231884058</x:v>
      </x:c>
      <x:c r="P24" s="35" t="n">
        <x:v>1170</x:v>
      </x:c>
      <x:c r="Q24" s="35" t="n">
        <x:v>1310</x:v>
      </x:c>
      <x:c r="R24" s="35"/>
      <x:c r="S24" s="35"/>
      <x:c r="T24" s="36" t="n">
        <x:v>0.1</x:v>
      </x:c>
      <x:c r="U24" s="35" t="n">
        <x:v>55</x:v>
      </x:c>
      <x:c r="V24" s="35" t="n">
        <x:v>18.3</x:v>
      </x:c>
      <x:c r="W24" s="35" t="n">
        <x:v>460</x:v>
      </x:c>
      <x:c r="X24" s="35" t="n">
        <x:v>10.8</x:v>
      </x:c>
      <x:c r="Y24" s="37" t="n">
        <x:v>8e-7</x:v>
      </x:c>
      <x:c r="Z24" s="38" t="n">
        <x:v>1400</x:v>
      </x:c>
      <x:c r="AA24" s="38" t="n">
        <x:v>315</x:v>
      </x:c>
      <x:c r="AB24" s="38" t="n">
        <x:v>420</x:v>
      </x:c>
      <x:c r="AC24" s="32" t="n">
        <x:v>2</x:v>
      </x:c>
      <x:c r="AD24" s="32" t="str">
        <x:v>Representative</x:v>
      </x:c>
      <x:c r="AE24" s="8" t="str">
        <x:v>H900 is high strength with reduced toughness versus overaged conditions.</x:v>
      </x:c>
      <x:c r="AF24" s="8" t="str">
        <x:f>IFERROR(VLOOKUP(AC24,'Sources'!$A$2:$E$12,5,FALSE),"")</x:f>
        <x:v>https://www.outokumpu.com/en/products/stainless-steel/grades</x:v>
      </x:c>
      <x:c r="AG24" s="32" t="b">
        <x:f>COUNTIF($A$2:$A$127,A24)&gt;1</x:f>
        <x:v>0</x:v>
      </x:c>
    </x:row>
    <x:row r="25">
      <x:c r="A25" s="33" t="n">
        <x:v>1110</x:v>
      </x:c>
      <x:c r="B25" s="32" t="str">
        <x:v>STAINLESS_DUPLEX_2205</x:v>
      </x:c>
      <x:c r="C25" s="32" t="str">
        <x:v>2205 duplex stainless steel</x:v>
      </x:c>
      <x:c r="D25" s="32" t="str">
        <x:v>Ferrous metal</x:v>
      </x:c>
      <x:c r="E25" s="32" t="str">
        <x:v>Duplex stainless steel</x:v>
      </x:c>
      <x:c r="F25" s="32" t="str">
        <x:v>UNS S32205; ASTM A240</x:v>
      </x:c>
      <x:c r="G25" s="32" t="str">
        <x:v>Solution annealed plate, sheet, or strip</x:v>
      </x:c>
      <x:c r="H25" s="32" t="str">
        <x:v>Isotropic</x:v>
      </x:c>
      <x:c r="I25" s="34" t="n">
        <x:v>7800</x:v>
      </x:c>
      <x:c r="J25" s="35" t="n">
        <x:v>200</x:v>
      </x:c>
      <x:c r="K25" s="35" t="n">
        <x:v>0.3</x:v>
      </x:c>
      <x:c r="L25" s="40"/>
      <x:c r="M25" s="40"/>
      <x:c r="N25" s="39" t="n">
        <x:f>IF(L25&lt;&gt;"",L25,IF(H25&lt;&gt;"Isotropic","",IF(OR(J25="",K25=""),"",J25/(2*(1+K25)))))</x:f>
        <x:v>76.92307692307692</x:v>
      </x:c>
      <x:c r="O25" s="39" t="n">
        <x:f>IF(M25&lt;&gt;"",M25,IF(H25&lt;&gt;"Isotropic","",IF(OR(J25="",K25="",K25&gt;=0.5),"",J25/(3*(1-2*K25)))))</x:f>
        <x:v>166.66666666666663</x:v>
      </x:c>
      <x:c r="P25" s="35" t="n">
        <x:v>450</x:v>
      </x:c>
      <x:c r="Q25" s="35" t="n">
        <x:v>655</x:v>
      </x:c>
      <x:c r="R25" s="35"/>
      <x:c r="S25" s="35"/>
      <x:c r="T25" s="36" t="n">
        <x:v>0.25</x:v>
      </x:c>
      <x:c r="U25" s="35"/>
      <x:c r="V25" s="35" t="n">
        <x:v>15</x:v>
      </x:c>
      <x:c r="W25" s="35" t="n">
        <x:v>500</x:v>
      </x:c>
      <x:c r="X25" s="35" t="n">
        <x:v>13</x:v>
      </x:c>
      <x:c r="Y25" s="37" t="n">
        <x:v>8e-7</x:v>
      </x:c>
      <x:c r="Z25" s="38"/>
      <x:c r="AA25" s="38"/>
      <x:c r="AB25" s="38"/>
      <x:c r="AC25" s="32" t="n">
        <x:v>2</x:v>
      </x:c>
      <x:c r="AD25" s="32" t="str">
        <x:v>Representative</x:v>
      </x:c>
      <x:c r="AE25" s="8" t="str">
        <x:v>Qualified pilot against Outokumpu Forta DX 2205 Tables 6, 9, and 11. Mechanical values apply to ASTM A240 plate, sheet, and strip; unsupported KIC, transition, service-temperature, and hardness values were removed.</x:v>
      </x:c>
      <x:c r="AF25" s="8" t="str">
        <x:f>IFERROR(VLOOKUP(AC25,'Sources'!$A$2:$E$12,5,FALSE),"")</x:f>
        <x:v>https://www.outokumpu.com/en/products/stainless-steel/grades</x:v>
      </x:c>
      <x:c r="AG25" s="32" t="b">
        <x:f>COUNTIF($A$2:$A$127,A25)&gt;1</x:f>
        <x:v>0</x:v>
      </x:c>
    </x:row>
    <x:row r="26">
      <x:c r="A26" s="33" t="n">
        <x:v>1201</x:v>
      </x:c>
      <x:c r="B26" s="32" t="str">
        <x:v>CAST_IRON_GRAY_CLASS_30</x:v>
      </x:c>
      <x:c r="C26" s="32" t="str">
        <x:v>Gray cast iron Class 30</x:v>
      </x:c>
      <x:c r="D26" s="32" t="str">
        <x:v>Ferrous metal</x:v>
      </x:c>
      <x:c r="E26" s="32" t="str">
        <x:v>Gray cast iron</x:v>
      </x:c>
      <x:c r="F26" s="32" t="str">
        <x:v>ASTM A48 Class 30</x:v>
      </x:c>
      <x:c r="G26" s="32" t="str">
        <x:v>As cast</x:v>
      </x:c>
      <x:c r="H26" s="32" t="str">
        <x:v>Isotropic</x:v>
      </x:c>
      <x:c r="I26" s="34" t="n">
        <x:v>7200</x:v>
      </x:c>
      <x:c r="J26" s="35" t="n">
        <x:v>110</x:v>
      </x:c>
      <x:c r="K26" s="35" t="n">
        <x:v>0.26</x:v>
      </x:c>
      <x:c r="L26" s="40"/>
      <x:c r="M26" s="40"/>
      <x:c r="N26" s="39" t="n">
        <x:f>IF(L26&lt;&gt;"",L26,IF(H26&lt;&gt;"Isotropic","",IF(OR(J26="",K26=""),"",J26/(2*(1+K26)))))</x:f>
        <x:v>43.65079365079365</x:v>
      </x:c>
      <x:c r="O26" s="39" t="n">
        <x:f>IF(M26&lt;&gt;"",M26,IF(H26&lt;&gt;"Isotropic","",IF(OR(J26="",K26="",K26&gt;=0.5),"",J26/(3*(1-2*K26)))))</x:f>
        <x:v>76.38888888888889</x:v>
      </x:c>
      <x:c r="P26" s="35"/>
      <x:c r="Q26" s="35" t="n">
        <x:v>214</x:v>
      </x:c>
      <x:c r="R26" s="35" t="n">
        <x:v>750</x:v>
      </x:c>
      <x:c r="S26" s="35" t="n">
        <x:v>300</x:v>
      </x:c>
      <x:c r="T26" s="36" t="n">
        <x:v>0.005</x:v>
      </x:c>
      <x:c r="U26" s="35" t="n">
        <x:v>20</x:v>
      </x:c>
      <x:c r="V26" s="35" t="n">
        <x:v>53</x:v>
      </x:c>
      <x:c r="W26" s="35" t="n">
        <x:v>460</x:v>
      </x:c>
      <x:c r="X26" s="35" t="n">
        <x:v>10.5</x:v>
      </x:c>
      <x:c r="Y26" s="37" t="n">
        <x:v>8e-7</x:v>
      </x:c>
      <x:c r="Z26" s="38" t="n">
        <x:v>1150</x:v>
      </x:c>
      <x:c r="AA26" s="38" t="n">
        <x:v>400</x:v>
      </x:c>
      <x:c r="AB26" s="38" t="n">
        <x:v>210</x:v>
      </x:c>
      <x:c r="AC26" s="32" t="n">
        <x:v>1</x:v>
      </x:c>
      <x:c r="AD26" s="32" t="str">
        <x:v>Approximate</x:v>
      </x:c>
      <x:c r="AE26" s="8" t="str">
        <x:v>Brittle material; tensile and compressive response are asymmetric.</x:v>
      </x:c>
      <x:c r="AF26" s="8" t="str">
        <x:f>IFERROR(VLOOKUP(AC26,'Sources'!$A$2:$E$12,5,FALSE),"")</x:f>
        <x:v>https://www.matweb.com/search/MaterialGroupSearch.aspx</x:v>
      </x:c>
      <x:c r="AG26" s="32" t="b">
        <x:f>COUNTIF($A$2:$A$127,A26)&gt;1</x:f>
        <x:v>0</x:v>
      </x:c>
    </x:row>
    <x:row r="27">
      <x:c r="A27" s="33" t="n">
        <x:v>1202</x:v>
      </x:c>
      <x:c r="B27" s="32" t="str">
        <x:v>CAST_IRON_DUCTILE_65_45_12</x:v>
      </x:c>
      <x:c r="C27" s="32" t="str">
        <x:v>Ductile cast iron 65-45-12</x:v>
      </x:c>
      <x:c r="D27" s="32" t="str">
        <x:v>Ferrous metal</x:v>
      </x:c>
      <x:c r="E27" s="32" t="str">
        <x:v>Ductile cast iron</x:v>
      </x:c>
      <x:c r="F27" s="32" t="str">
        <x:v>ASTM A536 65-45-12</x:v>
      </x:c>
      <x:c r="G27" s="32" t="str">
        <x:v>Ferritic, as cast/annealed</x:v>
      </x:c>
      <x:c r="H27" s="32" t="str">
        <x:v>Isotropic</x:v>
      </x:c>
      <x:c r="I27" s="34" t="n">
        <x:v>7100</x:v>
      </x:c>
      <x:c r="J27" s="35" t="n">
        <x:v>169</x:v>
      </x:c>
      <x:c r="K27" s="35" t="n">
        <x:v>0.29</x:v>
      </x:c>
      <x:c r="L27" s="40"/>
      <x:c r="M27" s="40"/>
      <x:c r="N27" s="39" t="n">
        <x:f>IF(L27&lt;&gt;"",L27,IF(H27&lt;&gt;"Isotropic","",IF(OR(J27="",K27=""),"",J27/(2*(1+K27)))))</x:f>
        <x:v>65.50387596899225</x:v>
      </x:c>
      <x:c r="O27" s="39" t="n">
        <x:f>IF(M27&lt;&gt;"",M27,IF(H27&lt;&gt;"Isotropic","",IF(OR(J27="",K27="",K27&gt;=0.5),"",J27/(3*(1-2*K27)))))</x:f>
        <x:v>134.1269841269841</x:v>
      </x:c>
      <x:c r="P27" s="35" t="n">
        <x:v>310</x:v>
      </x:c>
      <x:c r="Q27" s="35" t="n">
        <x:v>450</x:v>
      </x:c>
      <x:c r="R27" s="35" t="n">
        <x:v>700</x:v>
      </x:c>
      <x:c r="S27" s="35"/>
      <x:c r="T27" s="36" t="n">
        <x:v>0.12</x:v>
      </x:c>
      <x:c r="U27" s="35" t="n">
        <x:v>35</x:v>
      </x:c>
      <x:c r="V27" s="35" t="n">
        <x:v>36</x:v>
      </x:c>
      <x:c r="W27" s="35" t="n">
        <x:v>460</x:v>
      </x:c>
      <x:c r="X27" s="35" t="n">
        <x:v>11</x:v>
      </x:c>
      <x:c r="Y27" s="37" t="n">
        <x:v>6e-7</x:v>
      </x:c>
      <x:c r="Z27" s="38" t="n">
        <x:v>1150</x:v>
      </x:c>
      <x:c r="AA27" s="38" t="n">
        <x:v>400</x:v>
      </x:c>
      <x:c r="AB27" s="38" t="n">
        <x:v>170</x:v>
      </x:c>
      <x:c r="AC27" s="32" t="n">
        <x:v>1</x:v>
      </x:c>
      <x:c r="AD27" s="32" t="str">
        <x:v>Representative</x:v>
      </x:c>
      <x:c r="AE27" s="8" t="str">
        <x:v>Minimum grade strengths are distinct from nominal screening values.</x:v>
      </x:c>
      <x:c r="AF27" s="8" t="str">
        <x:f>IFERROR(VLOOKUP(AC27,'Sources'!$A$2:$E$12,5,FALSE),"")</x:f>
        <x:v>https://www.matweb.com/search/MaterialGroupSearch.aspx</x:v>
      </x:c>
      <x:c r="AG27" s="32" t="b">
        <x:f>COUNTIF($A$2:$A$127,A27)&gt;1</x:f>
        <x:v>0</x:v>
      </x:c>
    </x:row>
    <x:row r="28">
      <x:c r="A28" s="33" t="n">
        <x:v>1203</x:v>
      </x:c>
      <x:c r="B28" s="32" t="str">
        <x:v>CAST_IRON_COMPACTED_GRAPHITE</x:v>
      </x:c>
      <x:c r="C28" s="32" t="str">
        <x:v>Compacted graphite iron</x:v>
      </x:c>
      <x:c r="D28" s="32" t="str">
        <x:v>Ferrous metal</x:v>
      </x:c>
      <x:c r="E28" s="32" t="str">
        <x:v>Compacted graphite iron</x:v>
      </x:c>
      <x:c r="F28" s="32" t="str">
        <x:v>Typical CGI</x:v>
      </x:c>
      <x:c r="G28" s="32" t="str">
        <x:v>As cast</x:v>
      </x:c>
      <x:c r="H28" s="32" t="str">
        <x:v>Isotropic</x:v>
      </x:c>
      <x:c r="I28" s="34" t="n">
        <x:v>7250</x:v>
      </x:c>
      <x:c r="J28" s="35" t="n">
        <x:v>150</x:v>
      </x:c>
      <x:c r="K28" s="35" t="n">
        <x:v>0.27</x:v>
      </x:c>
      <x:c r="L28" s="40"/>
      <x:c r="M28" s="40"/>
      <x:c r="N28" s="39" t="n">
        <x:f>IF(L28&lt;&gt;"",L28,IF(H28&lt;&gt;"Isotropic","",IF(OR(J28="",K28=""),"",J28/(2*(1+K28)))))</x:f>
        <x:v>59.05511811023622</x:v>
      </x:c>
      <x:c r="O28" s="39" t="n">
        <x:f>IF(M28&lt;&gt;"",M28,IF(H28&lt;&gt;"Isotropic","",IF(OR(J28="",K28="",K28&gt;=0.5),"",J28/(3*(1-2*K28)))))</x:f>
        <x:v>108.69565217391305</x:v>
      </x:c>
      <x:c r="P28" s="35" t="n">
        <x:v>350</x:v>
      </x:c>
      <x:c r="Q28" s="35" t="n">
        <x:v>500</x:v>
      </x:c>
      <x:c r="R28" s="35" t="n">
        <x:v>1000</x:v>
      </x:c>
      <x:c r="S28" s="35" t="n">
        <x:v>550</x:v>
      </x:c>
      <x:c r="T28" s="36" t="n">
        <x:v>0.03</x:v>
      </x:c>
      <x:c r="U28" s="35" t="n">
        <x:v>25</x:v>
      </x:c>
      <x:c r="V28" s="35" t="n">
        <x:v>42</x:v>
      </x:c>
      <x:c r="W28" s="35" t="n">
        <x:v>460</x:v>
      </x:c>
      <x:c r="X28" s="35" t="n">
        <x:v>11</x:v>
      </x:c>
      <x:c r="Y28" s="37" t="n">
        <x:v>7e-7</x:v>
      </x:c>
      <x:c r="Z28" s="38" t="n">
        <x:v>1150</x:v>
      </x:c>
      <x:c r="AA28" s="38" t="n">
        <x:v>450</x:v>
      </x:c>
      <x:c r="AB28" s="38" t="n">
        <x:v>220</x:v>
      </x:c>
      <x:c r="AC28" s="32" t="n">
        <x:v>1</x:v>
      </x:c>
      <x:c r="AD28" s="32" t="str">
        <x:v>Approximate</x:v>
      </x:c>
      <x:c r="AE28" s="8" t="str">
        <x:v>Grade and graphite morphology affect properties.</x:v>
      </x:c>
      <x:c r="AF28" s="8" t="str">
        <x:f>IFERROR(VLOOKUP(AC28,'Sources'!$A$2:$E$12,5,FALSE),"")</x:f>
        <x:v>https://www.matweb.com/search/MaterialGroupSearch.aspx</x:v>
      </x:c>
      <x:c r="AG28" s="32" t="b">
        <x:f>COUNTIF($A$2:$A$127,A28)&gt;1</x:f>
        <x:v>0</x:v>
      </x:c>
    </x:row>
    <x:row r="29">
      <x:c r="A29" s="33" t="n">
        <x:v>2001</x:v>
      </x:c>
      <x:c r="B29" s="32" t="str">
        <x:v>ALUMINUM_1100_H14</x:v>
      </x:c>
      <x:c r="C29" s="32" t="str">
        <x:v>Aluminum 1100-H14</x:v>
      </x:c>
      <x:c r="D29" s="32" t="str">
        <x:v>Nonferrous metal</x:v>
      </x:c>
      <x:c r="E29" s="32" t="str">
        <x:v>Aluminum alloy</x:v>
      </x:c>
      <x:c r="F29" s="32" t="str">
        <x:v>AA 1100-H14</x:v>
      </x:c>
      <x:c r="G29" s="32" t="str">
        <x:v>Strain hardened</x:v>
      </x:c>
      <x:c r="H29" s="32" t="str">
        <x:v>Isotropic</x:v>
      </x:c>
      <x:c r="I29" s="34" t="n">
        <x:v>2710</x:v>
      </x:c>
      <x:c r="J29" s="35" t="n">
        <x:v>69</x:v>
      </x:c>
      <x:c r="K29" s="35" t="n">
        <x:v>0.33</x:v>
      </x:c>
      <x:c r="L29" s="40"/>
      <x:c r="M29" s="40"/>
      <x:c r="N29" s="39" t="n">
        <x:f>IF(L29&lt;&gt;"",L29,IF(H29&lt;&gt;"Isotropic","",IF(OR(J29="",K29=""),"",J29/(2*(1+K29)))))</x:f>
        <x:v>25.939849624060148</x:v>
      </x:c>
      <x:c r="O29" s="39" t="n">
        <x:f>IF(M29&lt;&gt;"",M29,IF(H29&lt;&gt;"Isotropic","",IF(OR(J29="",K29="",K29&gt;=0.5),"",J29/(3*(1-2*K29)))))</x:f>
        <x:v>67.6470588235294</x:v>
      </x:c>
      <x:c r="P29" s="35" t="n">
        <x:v>95</x:v>
      </x:c>
      <x:c r="Q29" s="35" t="n">
        <x:v>110</x:v>
      </x:c>
      <x:c r="R29" s="35"/>
      <x:c r="S29" s="35"/>
      <x:c r="T29" s="36" t="n">
        <x:v>0.12</x:v>
      </x:c>
      <x:c r="U29" s="35" t="n">
        <x:v>25</x:v>
      </x:c>
      <x:c r="V29" s="35" t="n">
        <x:v>222</x:v>
      </x:c>
      <x:c r="W29" s="35" t="n">
        <x:v>904</x:v>
      </x:c>
      <x:c r="X29" s="35" t="n">
        <x:v>23.6</x:v>
      </x:c>
      <x:c r="Y29" s="37" t="n">
        <x:v>2.82e-8</x:v>
      </x:c>
      <x:c r="Z29" s="38" t="n">
        <x:v>657</x:v>
      </x:c>
      <x:c r="AA29" s="38" t="n">
        <x:v>200</x:v>
      </x:c>
      <x:c r="AB29" s="38" t="n">
        <x:v>32</x:v>
      </x:c>
      <x:c r="AC29" s="32" t="n">
        <x:v>10</x:v>
      </x:c>
      <x:c r="AD29" s="32" t="str">
        <x:v>Representative</x:v>
      </x:c>
      <x:c r="AE29" s="8" t="str">
        <x:v>Commercially pure aluminum.</x:v>
      </x:c>
      <x:c r="AF29" s="8" t="str">
        <x:f>IFERROR(VLOOKUP(AC29,'Sources'!$A$2:$E$12,5,FALSE),"")</x:f>
        <x:v>https://www.aluminum.org/industry-standards/aluminum-alloys-101</x:v>
      </x:c>
      <x:c r="AG29" s="32" t="b">
        <x:f>COUNTIF($A$2:$A$127,A29)&gt;1</x:f>
        <x:v>0</x:v>
      </x:c>
    </x:row>
    <x:row r="30">
      <x:c r="A30" s="33" t="n">
        <x:v>2002</x:v>
      </x:c>
      <x:c r="B30" s="32" t="str">
        <x:v>ALUMINUM_2024_T3</x:v>
      </x:c>
      <x:c r="C30" s="32" t="str">
        <x:v>Aluminum 2024-T3</x:v>
      </x:c>
      <x:c r="D30" s="32" t="str">
        <x:v>Nonferrous metal</x:v>
      </x:c>
      <x:c r="E30" s="32" t="str">
        <x:v>Aluminum alloy</x:v>
      </x:c>
      <x:c r="F30" s="32" t="str">
        <x:v>AA 2024-T3</x:v>
      </x:c>
      <x:c r="G30" s="32" t="str">
        <x:v>Solution heat-treated, cold worked, naturally aged</x:v>
      </x:c>
      <x:c r="H30" s="32" t="str">
        <x:v>Isotropic</x:v>
      </x:c>
      <x:c r="I30" s="34" t="n">
        <x:v>2780</x:v>
      </x:c>
      <x:c r="J30" s="35" t="n">
        <x:v>73.1</x:v>
      </x:c>
      <x:c r="K30" s="35" t="n">
        <x:v>0.33</x:v>
      </x:c>
      <x:c r="L30" s="40"/>
      <x:c r="M30" s="40"/>
      <x:c r="N30" s="39" t="n">
        <x:f>IF(L30&lt;&gt;"",L30,IF(H30&lt;&gt;"Isotropic","",IF(OR(J30="",K30=""),"",J30/(2*(1+K30)))))</x:f>
        <x:v>27.481203007518793</x:v>
      </x:c>
      <x:c r="O30" s="39" t="n">
        <x:f>IF(M30&lt;&gt;"",M30,IF(H30&lt;&gt;"Isotropic","",IF(OR(J30="",K30="",K30&gt;=0.5),"",J30/(3*(1-2*K30)))))</x:f>
        <x:v>71.66666666666666</x:v>
      </x:c>
      <x:c r="P30" s="35" t="n">
        <x:v>345</x:v>
      </x:c>
      <x:c r="Q30" s="35" t="n">
        <x:v>483</x:v>
      </x:c>
      <x:c r="R30" s="35"/>
      <x:c r="S30" s="35"/>
      <x:c r="T30" s="36" t="n">
        <x:v>0.18</x:v>
      </x:c>
      <x:c r="U30" s="35" t="n">
        <x:v>35</x:v>
      </x:c>
      <x:c r="V30" s="35" t="n">
        <x:v>121</x:v>
      </x:c>
      <x:c r="W30" s="35" t="n">
        <x:v>875</x:v>
      </x:c>
      <x:c r="X30" s="35" t="n">
        <x:v>23.2</x:v>
      </x:c>
      <x:c r="Y30" s="37" t="n">
        <x:v>5.8e-8</x:v>
      </x:c>
      <x:c r="Z30" s="38" t="n">
        <x:v>502</x:v>
      </x:c>
      <x:c r="AA30" s="38" t="n">
        <x:v>150</x:v>
      </x:c>
      <x:c r="AB30" s="38" t="n">
        <x:v>137</x:v>
      </x:c>
      <x:c r="AC30" s="32" t="n">
        <x:v>10</x:v>
      </x:c>
      <x:c r="AD30" s="32" t="str">
        <x:v>Representative</x:v>
      </x:c>
      <x:c r="AE30" s="8" t="str">
        <x:v>Clad and bare products differ; fatigue/corrosion require dedicated data.</x:v>
      </x:c>
      <x:c r="AF30" s="8" t="str">
        <x:f>IFERROR(VLOOKUP(AC30,'Sources'!$A$2:$E$12,5,FALSE),"")</x:f>
        <x:v>https://www.aluminum.org/industry-standards/aluminum-alloys-101</x:v>
      </x:c>
      <x:c r="AG30" s="32" t="b">
        <x:f>COUNTIF($A$2:$A$127,A30)&gt;1</x:f>
        <x:v>0</x:v>
      </x:c>
    </x:row>
    <x:row r="31">
      <x:c r="A31" s="33" t="n">
        <x:v>2003</x:v>
      </x:c>
      <x:c r="B31" s="32" t="str">
        <x:v>ALUMINUM_3003_H14</x:v>
      </x:c>
      <x:c r="C31" s="32" t="str">
        <x:v>Aluminum 3003-H14</x:v>
      </x:c>
      <x:c r="D31" s="32" t="str">
        <x:v>Nonferrous metal</x:v>
      </x:c>
      <x:c r="E31" s="32" t="str">
        <x:v>Aluminum alloy</x:v>
      </x:c>
      <x:c r="F31" s="32" t="str">
        <x:v>AA 3003-H14</x:v>
      </x:c>
      <x:c r="G31" s="32" t="str">
        <x:v>Strain hardened</x:v>
      </x:c>
      <x:c r="H31" s="32" t="str">
        <x:v>Isotropic</x:v>
      </x:c>
      <x:c r="I31" s="34" t="n">
        <x:v>2730</x:v>
      </x:c>
      <x:c r="J31" s="35" t="n">
        <x:v>69</x:v>
      </x:c>
      <x:c r="K31" s="35" t="n">
        <x:v>0.33</x:v>
      </x:c>
      <x:c r="L31" s="40"/>
      <x:c r="M31" s="40"/>
      <x:c r="N31" s="39" t="n">
        <x:f>IF(L31&lt;&gt;"",L31,IF(H31&lt;&gt;"Isotropic","",IF(OR(J31="",K31=""),"",J31/(2*(1+K31)))))</x:f>
        <x:v>25.939849624060148</x:v>
      </x:c>
      <x:c r="O31" s="39" t="n">
        <x:f>IF(M31&lt;&gt;"",M31,IF(H31&lt;&gt;"Isotropic","",IF(OR(J31="",K31="",K31&gt;=0.5),"",J31/(3*(1-2*K31)))))</x:f>
        <x:v>67.6470588235294</x:v>
      </x:c>
      <x:c r="P31" s="35" t="n">
        <x:v>145</x:v>
      </x:c>
      <x:c r="Q31" s="35" t="n">
        <x:v>152</x:v>
      </x:c>
      <x:c r="R31" s="35"/>
      <x:c r="S31" s="35"/>
      <x:c r="T31" s="36" t="n">
        <x:v>0.08</x:v>
      </x:c>
      <x:c r="U31" s="35" t="n">
        <x:v>25</x:v>
      </x:c>
      <x:c r="V31" s="35" t="n">
        <x:v>193</x:v>
      </x:c>
      <x:c r="W31" s="35" t="n">
        <x:v>893</x:v>
      </x:c>
      <x:c r="X31" s="35" t="n">
        <x:v>23.2</x:v>
      </x:c>
      <x:c r="Y31" s="37" t="n">
        <x:v>3.4e-8</x:v>
      </x:c>
      <x:c r="Z31" s="38" t="n">
        <x:v>643</x:v>
      </x:c>
      <x:c r="AA31" s="38" t="n">
        <x:v>175</x:v>
      </x:c>
      <x:c r="AB31" s="38" t="n">
        <x:v>40</x:v>
      </x:c>
      <x:c r="AC31" s="32" t="n">
        <x:v>10</x:v>
      </x:c>
      <x:c r="AD31" s="32" t="str">
        <x:v>Representative</x:v>
      </x:c>
      <x:c r="AE31" s="8" t="str">
        <x:v>Sheet typical values.</x:v>
      </x:c>
      <x:c r="AF31" s="8" t="str">
        <x:f>IFERROR(VLOOKUP(AC31,'Sources'!$A$2:$E$12,5,FALSE),"")</x:f>
        <x:v>https://www.aluminum.org/industry-standards/aluminum-alloys-101</x:v>
      </x:c>
      <x:c r="AG31" s="32" t="b">
        <x:f>COUNTIF($A$2:$A$127,A31)&gt;1</x:f>
        <x:v>0</x:v>
      </x:c>
    </x:row>
    <x:row r="32">
      <x:c r="A32" s="33" t="n">
        <x:v>2004</x:v>
      </x:c>
      <x:c r="B32" s="32" t="str">
        <x:v>ALUMINUM_5052_H32</x:v>
      </x:c>
      <x:c r="C32" s="32" t="str">
        <x:v>Aluminum 5052-H32</x:v>
      </x:c>
      <x:c r="D32" s="32" t="str">
        <x:v>Nonferrous metal</x:v>
      </x:c>
      <x:c r="E32" s="32" t="str">
        <x:v>Aluminum alloy</x:v>
      </x:c>
      <x:c r="F32" s="32" t="str">
        <x:v>AA 5052-H32</x:v>
      </x:c>
      <x:c r="G32" s="32" t="str">
        <x:v>Strain hardened and stabilized</x:v>
      </x:c>
      <x:c r="H32" s="32" t="str">
        <x:v>Isotropic</x:v>
      </x:c>
      <x:c r="I32" s="34" t="n">
        <x:v>2680</x:v>
      </x:c>
      <x:c r="J32" s="35" t="n">
        <x:v>70.3</x:v>
      </x:c>
      <x:c r="K32" s="35" t="n">
        <x:v>0.33</x:v>
      </x:c>
      <x:c r="L32" s="40"/>
      <x:c r="M32" s="40"/>
      <x:c r="N32" s="39" t="n">
        <x:f>IF(L32&lt;&gt;"",L32,IF(H32&lt;&gt;"Isotropic","",IF(OR(J32="",K32=""),"",J32/(2*(1+K32)))))</x:f>
        <x:v>26.428571428571427</x:v>
      </x:c>
      <x:c r="O32" s="39" t="n">
        <x:f>IF(M32&lt;&gt;"",M32,IF(H32&lt;&gt;"Isotropic","",IF(OR(J32="",K32="",K32&gt;=0.5),"",J32/(3*(1-2*K32)))))</x:f>
        <x:v>68.92156862745098</x:v>
      </x:c>
      <x:c r="P32" s="35" t="n">
        <x:v>193</x:v>
      </x:c>
      <x:c r="Q32" s="35" t="n">
        <x:v>228</x:v>
      </x:c>
      <x:c r="R32" s="35"/>
      <x:c r="S32" s="35"/>
      <x:c r="T32" s="36" t="n">
        <x:v>0.12</x:v>
      </x:c>
      <x:c r="U32" s="35" t="n">
        <x:v>30</x:v>
      </x:c>
      <x:c r="V32" s="35" t="n">
        <x:v>138</x:v>
      </x:c>
      <x:c r="W32" s="35" t="n">
        <x:v>880</x:v>
      </x:c>
      <x:c r="X32" s="35" t="n">
        <x:v>23.8</x:v>
      </x:c>
      <x:c r="Y32" s="37" t="n">
        <x:v>4.9e-8</x:v>
      </x:c>
      <x:c r="Z32" s="38" t="n">
        <x:v>607</x:v>
      </x:c>
      <x:c r="AA32" s="38" t="n">
        <x:v>150</x:v>
      </x:c>
      <x:c r="AB32" s="38" t="n">
        <x:v>68</x:v>
      </x:c>
      <x:c r="AC32" s="32" t="n">
        <x:v>10</x:v>
      </x:c>
      <x:c r="AD32" s="32" t="str">
        <x:v>Representative</x:v>
      </x:c>
      <x:c r="AE32" s="8" t="str">
        <x:v>Marine sheet alloy screening values.</x:v>
      </x:c>
      <x:c r="AF32" s="8" t="str">
        <x:f>IFERROR(VLOOKUP(AC32,'Sources'!$A$2:$E$12,5,FALSE),"")</x:f>
        <x:v>https://www.aluminum.org/industry-standards/aluminum-alloys-101</x:v>
      </x:c>
      <x:c r="AG32" s="32" t="b">
        <x:f>COUNTIF($A$2:$A$127,A32)&gt;1</x:f>
        <x:v>0</x:v>
      </x:c>
    </x:row>
    <x:row r="33">
      <x:c r="A33" s="33" t="n">
        <x:v>2005</x:v>
      </x:c>
      <x:c r="B33" s="32" t="str">
        <x:v>ALUMINUM_5083_H116</x:v>
      </x:c>
      <x:c r="C33" s="32" t="str">
        <x:v>Aluminum 5083-H116</x:v>
      </x:c>
      <x:c r="D33" s="32" t="str">
        <x:v>Nonferrous metal</x:v>
      </x:c>
      <x:c r="E33" s="32" t="str">
        <x:v>Aluminum alloy</x:v>
      </x:c>
      <x:c r="F33" s="32" t="str">
        <x:v>AA 5083-H116</x:v>
      </x:c>
      <x:c r="G33" s="32" t="str">
        <x:v>Marine plate temper</x:v>
      </x:c>
      <x:c r="H33" s="32" t="str">
        <x:v>Isotropic</x:v>
      </x:c>
      <x:c r="I33" s="34" t="n">
        <x:v>2660</x:v>
      </x:c>
      <x:c r="J33" s="35" t="n">
        <x:v>71</x:v>
      </x:c>
      <x:c r="K33" s="35" t="n">
        <x:v>0.33</x:v>
      </x:c>
      <x:c r="L33" s="40"/>
      <x:c r="M33" s="40"/>
      <x:c r="N33" s="39" t="n">
        <x:f>IF(L33&lt;&gt;"",L33,IF(H33&lt;&gt;"Isotropic","",IF(OR(J33="",K33=""),"",J33/(2*(1+K33)))))</x:f>
        <x:v>26.69172932330827</x:v>
      </x:c>
      <x:c r="O33" s="39" t="n">
        <x:f>IF(M33&lt;&gt;"",M33,IF(H33&lt;&gt;"Isotropic","",IF(OR(J33="",K33="",K33&gt;=0.5),"",J33/(3*(1-2*K33)))))</x:f>
        <x:v>69.6078431372549</x:v>
      </x:c>
      <x:c r="P33" s="35" t="n">
        <x:v>215</x:v>
      </x:c>
      <x:c r="Q33" s="35" t="n">
        <x:v>305</x:v>
      </x:c>
      <x:c r="R33" s="35"/>
      <x:c r="S33" s="35"/>
      <x:c r="T33" s="36" t="n">
        <x:v>0.12</x:v>
      </x:c>
      <x:c r="U33" s="35" t="n">
        <x:v>32</x:v>
      </x:c>
      <x:c r="V33" s="35" t="n">
        <x:v>117</x:v>
      </x:c>
      <x:c r="W33" s="35" t="n">
        <x:v>900</x:v>
      </x:c>
      <x:c r="X33" s="35" t="n">
        <x:v>23.5</x:v>
      </x:c>
      <x:c r="Y33" s="37" t="n">
        <x:v>5.9e-8</x:v>
      </x:c>
      <x:c r="Z33" s="38" t="n">
        <x:v>590</x:v>
      </x:c>
      <x:c r="AA33" s="38" t="n">
        <x:v>150</x:v>
      </x:c>
      <x:c r="AB33" s="38" t="n">
        <x:v>90</x:v>
      </x:c>
      <x:c r="AC33" s="32" t="n">
        <x:v>10</x:v>
      </x:c>
      <x:c r="AD33" s="32" t="str">
        <x:v>Representative</x:v>
      </x:c>
      <x:c r="AE33" s="8" t="str">
        <x:v>Plate thickness and welding reduce local strength.</x:v>
      </x:c>
      <x:c r="AF33" s="8" t="str">
        <x:f>IFERROR(VLOOKUP(AC33,'Sources'!$A$2:$E$12,5,FALSE),"")</x:f>
        <x:v>https://www.aluminum.org/industry-standards/aluminum-alloys-101</x:v>
      </x:c>
      <x:c r="AG33" s="32" t="b">
        <x:f>COUNTIF($A$2:$A$127,A33)&gt;1</x:f>
        <x:v>0</x:v>
      </x:c>
    </x:row>
    <x:row r="34">
      <x:c r="A34" s="33" t="n">
        <x:v>2006</x:v>
      </x:c>
      <x:c r="B34" s="32" t="str">
        <x:v>ALUMINUM_6061_T6</x:v>
      </x:c>
      <x:c r="C34" s="32" t="str">
        <x:v>Aluminum 6061-T6</x:v>
      </x:c>
      <x:c r="D34" s="32" t="str">
        <x:v>Nonferrous metal</x:v>
      </x:c>
      <x:c r="E34" s="32" t="str">
        <x:v>Aluminum alloy</x:v>
      </x:c>
      <x:c r="F34" s="32" t="str">
        <x:v>AA 6061-T6</x:v>
      </x:c>
      <x:c r="G34" s="32" t="str">
        <x:v>Solution heat-treated and artificially aged</x:v>
      </x:c>
      <x:c r="H34" s="32" t="str">
        <x:v>Isotropic</x:v>
      </x:c>
      <x:c r="I34" s="34" t="n">
        <x:v>2700</x:v>
      </x:c>
      <x:c r="J34" s="35" t="n">
        <x:v>68.9</x:v>
      </x:c>
      <x:c r="K34" s="35" t="n">
        <x:v>0.33</x:v>
      </x:c>
      <x:c r="L34" s="40"/>
      <x:c r="M34" s="40"/>
      <x:c r="N34" s="39" t="n">
        <x:f>IF(L34&lt;&gt;"",L34,IF(H34&lt;&gt;"Isotropic","",IF(OR(J34="",K34=""),"",J34/(2*(1+K34)))))</x:f>
        <x:v>25.902255639097746</x:v>
      </x:c>
      <x:c r="O34" s="39" t="n">
        <x:f>IF(M34&lt;&gt;"",M34,IF(H34&lt;&gt;"Isotropic","",IF(OR(J34="",K34="",K34&gt;=0.5),"",J34/(3*(1-2*K34)))))</x:f>
        <x:v>67.54901960784314</x:v>
      </x:c>
      <x:c r="P34" s="35" t="n">
        <x:v>276</x:v>
      </x:c>
      <x:c r="Q34" s="35" t="n">
        <x:v>310</x:v>
      </x:c>
      <x:c r="R34" s="35"/>
      <x:c r="S34" s="35"/>
      <x:c r="T34" s="36" t="n">
        <x:v>0.12</x:v>
      </x:c>
      <x:c r="U34" s="35" t="n">
        <x:v>29</x:v>
      </x:c>
      <x:c r="V34" s="35" t="n">
        <x:v>167</x:v>
      </x:c>
      <x:c r="W34" s="35" t="n">
        <x:v>896</x:v>
      </x:c>
      <x:c r="X34" s="35" t="n">
        <x:v>23.6</x:v>
      </x:c>
      <x:c r="Y34" s="37" t="n">
        <x:v>4e-8</x:v>
      </x:c>
      <x:c r="Z34" s="38" t="n">
        <x:v>582</x:v>
      </x:c>
      <x:c r="AA34" s="38" t="n">
        <x:v>150</x:v>
      </x:c>
      <x:c r="AB34" s="38" t="n">
        <x:v>107</x:v>
      </x:c>
      <x:c r="AC34" s="32" t="n">
        <x:v>10</x:v>
      </x:c>
      <x:c r="AD34" s="32" t="str">
        <x:v>Representative</x:v>
      </x:c>
      <x:c r="AE34" s="8" t="str">
        <x:v>Common wrought product screening values.</x:v>
      </x:c>
      <x:c r="AF34" s="8" t="str">
        <x:f>IFERROR(VLOOKUP(AC34,'Sources'!$A$2:$E$12,5,FALSE),"")</x:f>
        <x:v>https://www.aluminum.org/industry-standards/aluminum-alloys-101</x:v>
      </x:c>
      <x:c r="AG34" s="32" t="b">
        <x:f>COUNTIF($A$2:$A$127,A34)&gt;1</x:f>
        <x:v>0</x:v>
      </x:c>
    </x:row>
    <x:row r="35">
      <x:c r="A35" s="33" t="n">
        <x:v>2007</x:v>
      </x:c>
      <x:c r="B35" s="32" t="str">
        <x:v>ALUMINUM_6063_T5</x:v>
      </x:c>
      <x:c r="C35" s="32" t="str">
        <x:v>Aluminum 6063-T5</x:v>
      </x:c>
      <x:c r="D35" s="32" t="str">
        <x:v>Nonferrous metal</x:v>
      </x:c>
      <x:c r="E35" s="32" t="str">
        <x:v>Aluminum alloy</x:v>
      </x:c>
      <x:c r="F35" s="32" t="str">
        <x:v>AA 6063-T5</x:v>
      </x:c>
      <x:c r="G35" s="32" t="str">
        <x:v>Cooled from forming and artificially aged</x:v>
      </x:c>
      <x:c r="H35" s="32" t="str">
        <x:v>Isotropic</x:v>
      </x:c>
      <x:c r="I35" s="34" t="n">
        <x:v>2700</x:v>
      </x:c>
      <x:c r="J35" s="35" t="n">
        <x:v>68.9</x:v>
      </x:c>
      <x:c r="K35" s="35" t="n">
        <x:v>0.33</x:v>
      </x:c>
      <x:c r="L35" s="40"/>
      <x:c r="M35" s="40"/>
      <x:c r="N35" s="39" t="n">
        <x:f>IF(L35&lt;&gt;"",L35,IF(H35&lt;&gt;"Isotropic","",IF(OR(J35="",K35=""),"",J35/(2*(1+K35)))))</x:f>
        <x:v>25.902255639097746</x:v>
      </x:c>
      <x:c r="O35" s="39" t="n">
        <x:f>IF(M35&lt;&gt;"",M35,IF(H35&lt;&gt;"Isotropic","",IF(OR(J35="",K35="",K35&gt;=0.5),"",J35/(3*(1-2*K35)))))</x:f>
        <x:v>67.54901960784314</x:v>
      </x:c>
      <x:c r="P35" s="35" t="n">
        <x:v>145</x:v>
      </x:c>
      <x:c r="Q35" s="35" t="n">
        <x:v>186</x:v>
      </x:c>
      <x:c r="R35" s="35"/>
      <x:c r="S35" s="35"/>
      <x:c r="T35" s="36" t="n">
        <x:v>0.12</x:v>
      </x:c>
      <x:c r="U35" s="35" t="n">
        <x:v>25</x:v>
      </x:c>
      <x:c r="V35" s="35" t="n">
        <x:v>201</x:v>
      </x:c>
      <x:c r="W35" s="35" t="n">
        <x:v>900</x:v>
      </x:c>
      <x:c r="X35" s="35" t="n">
        <x:v>23.5</x:v>
      </x:c>
      <x:c r="Y35" s="37" t="n">
        <x:v>3.3e-8</x:v>
      </x:c>
      <x:c r="Z35" s="38" t="n">
        <x:v>616</x:v>
      </x:c>
      <x:c r="AA35" s="38" t="n">
        <x:v>150</x:v>
      </x:c>
      <x:c r="AB35" s="38" t="n">
        <x:v>60</x:v>
      </x:c>
      <x:c r="AC35" s="32" t="n">
        <x:v>10</x:v>
      </x:c>
      <x:c r="AD35" s="32" t="str">
        <x:v>Representative</x:v>
      </x:c>
      <x:c r="AE35" s="8" t="str">
        <x:v>Extrusion typical values.</x:v>
      </x:c>
      <x:c r="AF35" s="8" t="str">
        <x:f>IFERROR(VLOOKUP(AC35,'Sources'!$A$2:$E$12,5,FALSE),"")</x:f>
        <x:v>https://www.aluminum.org/industry-standards/aluminum-alloys-101</x:v>
      </x:c>
      <x:c r="AG35" s="32" t="b">
        <x:f>COUNTIF($A$2:$A$127,A35)&gt;1</x:f>
        <x:v>0</x:v>
      </x:c>
    </x:row>
    <x:row r="36">
      <x:c r="A36" s="33" t="n">
        <x:v>2008</x:v>
      </x:c>
      <x:c r="B36" s="32" t="str">
        <x:v>ALUMINUM_7075_T6</x:v>
      </x:c>
      <x:c r="C36" s="32" t="str">
        <x:v>Aluminum 7075-T6</x:v>
      </x:c>
      <x:c r="D36" s="32" t="str">
        <x:v>Nonferrous metal</x:v>
      </x:c>
      <x:c r="E36" s="32" t="str">
        <x:v>Aluminum alloy</x:v>
      </x:c>
      <x:c r="F36" s="32" t="str">
        <x:v>AA 7075-T6</x:v>
      </x:c>
      <x:c r="G36" s="32" t="str">
        <x:v>Solution heat-treated and artificially aged</x:v>
      </x:c>
      <x:c r="H36" s="32" t="str">
        <x:v>Isotropic</x:v>
      </x:c>
      <x:c r="I36" s="34" t="n">
        <x:v>2810</x:v>
      </x:c>
      <x:c r="J36" s="35" t="n">
        <x:v>71.7</x:v>
      </x:c>
      <x:c r="K36" s="35" t="n">
        <x:v>0.33</x:v>
      </x:c>
      <x:c r="L36" s="40"/>
      <x:c r="M36" s="40"/>
      <x:c r="N36" s="39" t="n">
        <x:f>IF(L36&lt;&gt;"",L36,IF(H36&lt;&gt;"Isotropic","",IF(OR(J36="",K36=""),"",J36/(2*(1+K36)))))</x:f>
        <x:v>26.954887218045112</x:v>
      </x:c>
      <x:c r="O36" s="39" t="n">
        <x:f>IF(M36&lt;&gt;"",M36,IF(H36&lt;&gt;"Isotropic","",IF(OR(J36="",K36="",K36&gt;=0.5),"",J36/(3*(1-2*K36)))))</x:f>
        <x:v>70.29411764705883</x:v>
      </x:c>
      <x:c r="P36" s="35" t="n">
        <x:v>503</x:v>
      </x:c>
      <x:c r="Q36" s="35" t="n">
        <x:v>572</x:v>
      </x:c>
      <x:c r="R36" s="35"/>
      <x:c r="S36" s="35"/>
      <x:c r="T36" s="36" t="n">
        <x:v>0.11</x:v>
      </x:c>
      <x:c r="U36" s="35" t="n">
        <x:v>25</x:v>
      </x:c>
      <x:c r="V36" s="35" t="n">
        <x:v>130</x:v>
      </x:c>
      <x:c r="W36" s="35" t="n">
        <x:v>960</x:v>
      </x:c>
      <x:c r="X36" s="35" t="n">
        <x:v>23.5</x:v>
      </x:c>
      <x:c r="Y36" s="37" t="n">
        <x:v>5.2e-8</x:v>
      </x:c>
      <x:c r="Z36" s="38" t="n">
        <x:v>477</x:v>
      </x:c>
      <x:c r="AA36" s="38" t="n">
        <x:v>120</x:v>
      </x:c>
      <x:c r="AB36" s="38" t="n">
        <x:v>175</x:v>
      </x:c>
      <x:c r="AC36" s="32" t="n">
        <x:v>10</x:v>
      </x:c>
      <x:c r="AD36" s="32" t="str">
        <x:v>Representative</x:v>
      </x:c>
      <x:c r="AE36" s="8" t="str">
        <x:v>High-strength temper; stress-corrosion and toughness require product-specific data.</x:v>
      </x:c>
      <x:c r="AF36" s="8" t="str">
        <x:f>IFERROR(VLOOKUP(AC36,'Sources'!$A$2:$E$12,5,FALSE),"")</x:f>
        <x:v>https://www.aluminum.org/industry-standards/aluminum-alloys-101</x:v>
      </x:c>
      <x:c r="AG36" s="32" t="b">
        <x:f>COUNTIF($A$2:$A$127,A36)&gt;1</x:f>
        <x:v>0</x:v>
      </x:c>
    </x:row>
    <x:row r="37">
      <x:c r="A37" s="33" t="n">
        <x:v>2009</x:v>
      </x:c>
      <x:c r="B37" s="32" t="str">
        <x:v>ALUMINUM_A356_T6</x:v>
      </x:c>
      <x:c r="C37" s="32" t="str">
        <x:v>A356-T6 cast aluminum</x:v>
      </x:c>
      <x:c r="D37" s="32" t="str">
        <x:v>Nonferrous metal</x:v>
      </x:c>
      <x:c r="E37" s="32" t="str">
        <x:v>Aluminum casting alloy</x:v>
      </x:c>
      <x:c r="F37" s="32" t="str">
        <x:v>A356-T6</x:v>
      </x:c>
      <x:c r="G37" s="32" t="str">
        <x:v>Solution heat-treated and aged casting</x:v>
      </x:c>
      <x:c r="H37" s="32" t="str">
        <x:v>Isotropic</x:v>
      </x:c>
      <x:c r="I37" s="34" t="n">
        <x:v>2680</x:v>
      </x:c>
      <x:c r="J37" s="35" t="n">
        <x:v>72.4</x:v>
      </x:c>
      <x:c r="K37" s="35" t="n">
        <x:v>0.33</x:v>
      </x:c>
      <x:c r="L37" s="40"/>
      <x:c r="M37" s="40"/>
      <x:c r="N37" s="39" t="n">
        <x:f>IF(L37&lt;&gt;"",L37,IF(H37&lt;&gt;"Isotropic","",IF(OR(J37="",K37=""),"",J37/(2*(1+K37)))))</x:f>
        <x:v>27.218045112781954</x:v>
      </x:c>
      <x:c r="O37" s="39" t="n">
        <x:f>IF(M37&lt;&gt;"",M37,IF(H37&lt;&gt;"Isotropic","",IF(OR(J37="",K37="",K37&gt;=0.5),"",J37/(3*(1-2*K37)))))</x:f>
        <x:v>70.98039215686275</x:v>
      </x:c>
      <x:c r="P37" s="35" t="n">
        <x:v>165</x:v>
      </x:c>
      <x:c r="Q37" s="35" t="n">
        <x:v>230</x:v>
      </x:c>
      <x:c r="R37" s="35"/>
      <x:c r="S37" s="35"/>
      <x:c r="T37" s="36" t="n">
        <x:v>0.035</x:v>
      </x:c>
      <x:c r="U37" s="35" t="n">
        <x:v>22</x:v>
      </x:c>
      <x:c r="V37" s="35" t="n">
        <x:v>151</x:v>
      </x:c>
      <x:c r="W37" s="35" t="n">
        <x:v>963</x:v>
      </x:c>
      <x:c r="X37" s="35" t="n">
        <x:v>21.5</x:v>
      </x:c>
      <x:c r="Y37" s="37" t="n">
        <x:v>4.5e-8</x:v>
      </x:c>
      <x:c r="Z37" s="38" t="n">
        <x:v>557</x:v>
      </x:c>
      <x:c r="AA37" s="38" t="n">
        <x:v>200</x:v>
      </x:c>
      <x:c r="AB37" s="38" t="n">
        <x:v>90</x:v>
      </x:c>
      <x:c r="AC37" s="32" t="n">
        <x:v>10</x:v>
      </x:c>
      <x:c r="AD37" s="32" t="str">
        <x:v>Approximate</x:v>
      </x:c>
      <x:c r="AE37" s="8" t="str">
        <x:v>Casting quality, porosity and section size materially affect properties.</x:v>
      </x:c>
      <x:c r="AF37" s="8" t="str">
        <x:f>IFERROR(VLOOKUP(AC37,'Sources'!$A$2:$E$12,5,FALSE),"")</x:f>
        <x:v>https://www.aluminum.org/industry-standards/aluminum-alloys-101</x:v>
      </x:c>
      <x:c r="AG37" s="32" t="b">
        <x:f>COUNTIF($A$2:$A$127,A37)&gt;1</x:f>
        <x:v>0</x:v>
      </x:c>
    </x:row>
    <x:row r="38">
      <x:c r="A38" s="33" t="n">
        <x:v>2101</x:v>
      </x:c>
      <x:c r="B38" s="32" t="str">
        <x:v>COPPER_C110_ANNEALED</x:v>
      </x:c>
      <x:c r="C38" s="32" t="str">
        <x:v>C110 electrolytic tough-pitch copper</x:v>
      </x:c>
      <x:c r="D38" s="32" t="str">
        <x:v>Nonferrous metal</x:v>
      </x:c>
      <x:c r="E38" s="32" t="str">
        <x:v>Copper alloy</x:v>
      </x:c>
      <x:c r="F38" s="32" t="str">
        <x:v>C11000</x:v>
      </x:c>
      <x:c r="G38" s="32" t="str">
        <x:v>Annealed</x:v>
      </x:c>
      <x:c r="H38" s="32" t="str">
        <x:v>Isotropic</x:v>
      </x:c>
      <x:c r="I38" s="34" t="n">
        <x:v>8940</x:v>
      </x:c>
      <x:c r="J38" s="35" t="n">
        <x:v>117</x:v>
      </x:c>
      <x:c r="K38" s="35" t="n">
        <x:v>0.34</x:v>
      </x:c>
      <x:c r="L38" s="40"/>
      <x:c r="M38" s="40"/>
      <x:c r="N38" s="39" t="n">
        <x:f>IF(L38&lt;&gt;"",L38,IF(H38&lt;&gt;"Isotropic","",IF(OR(J38="",K38=""),"",J38/(2*(1+K38)))))</x:f>
        <x:v>43.656716417910445</x:v>
      </x:c>
      <x:c r="O38" s="39" t="n">
        <x:f>IF(M38&lt;&gt;"",M38,IF(H38&lt;&gt;"Isotropic","",IF(OR(J38="",K38="",K38&gt;=0.5),"",J38/(3*(1-2*K38)))))</x:f>
        <x:v>121.87500000000001</x:v>
      </x:c>
      <x:c r="P38" s="35" t="n">
        <x:v>70</x:v>
      </x:c>
      <x:c r="Q38" s="35" t="n">
        <x:v>220</x:v>
      </x:c>
      <x:c r="R38" s="35"/>
      <x:c r="S38" s="35"/>
      <x:c r="T38" s="36" t="n">
        <x:v>0.45</x:v>
      </x:c>
      <x:c r="U38" s="35" t="n">
        <x:v>70</x:v>
      </x:c>
      <x:c r="V38" s="35" t="n">
        <x:v>391</x:v>
      </x:c>
      <x:c r="W38" s="35" t="n">
        <x:v>385</x:v>
      </x:c>
      <x:c r="X38" s="35" t="n">
        <x:v>16.5</x:v>
      </x:c>
      <x:c r="Y38" s="37" t="n">
        <x:v>1.72e-8</x:v>
      </x:c>
      <x:c r="Z38" s="38" t="n">
        <x:v>1083</x:v>
      </x:c>
      <x:c r="AA38" s="38" t="n">
        <x:v>200</x:v>
      </x:c>
      <x:c r="AB38" s="38" t="n">
        <x:v>50</x:v>
      </x:c>
      <x:c r="AC38" s="32" t="n">
        <x:v>3</x:v>
      </x:c>
      <x:c r="AD38" s="32" t="str">
        <x:v>Representative</x:v>
      </x:c>
      <x:c r="AE38" s="8" t="str">
        <x:v>Annealed high-conductivity copper.</x:v>
      </x:c>
      <x:c r="AF38" s="8" t="str">
        <x:f>IFERROR(VLOOKUP(AC38,'Sources'!$A$2:$E$12,5,FALSE),"")</x:f>
        <x:v>https://www.copper.org/resources/properties/db/</x:v>
      </x:c>
      <x:c r="AG38" s="32" t="b">
        <x:f>COUNTIF($A$2:$A$127,A38)&gt;1</x:f>
        <x:v>0</x:v>
      </x:c>
    </x:row>
    <x:row r="39">
      <x:c r="A39" s="33" t="n">
        <x:v>2102</x:v>
      </x:c>
      <x:c r="B39" s="32" t="str">
        <x:v>BRASS_C260_H02</x:v>
      </x:c>
      <x:c r="C39" s="32" t="str">
        <x:v>C260 cartridge brass</x:v>
      </x:c>
      <x:c r="D39" s="32" t="str">
        <x:v>Nonferrous metal</x:v>
      </x:c>
      <x:c r="E39" s="32" t="str">
        <x:v>Brass</x:v>
      </x:c>
      <x:c r="F39" s="32" t="str">
        <x:v>C26000</x:v>
      </x:c>
      <x:c r="G39" s="32" t="str">
        <x:v>Half hard H02</x:v>
      </x:c>
      <x:c r="H39" s="32" t="str">
        <x:v>Isotropic</x:v>
      </x:c>
      <x:c r="I39" s="34" t="n">
        <x:v>8530</x:v>
      </x:c>
      <x:c r="J39" s="35" t="n">
        <x:v>110</x:v>
      </x:c>
      <x:c r="K39" s="35" t="n">
        <x:v>0.34</x:v>
      </x:c>
      <x:c r="L39" s="40"/>
      <x:c r="M39" s="40"/>
      <x:c r="N39" s="39" t="n">
        <x:f>IF(L39&lt;&gt;"",L39,IF(H39&lt;&gt;"Isotropic","",IF(OR(J39="",K39=""),"",J39/(2*(1+K39)))))</x:f>
        <x:v>41.04477611940298</x:v>
      </x:c>
      <x:c r="O39" s="39" t="n">
        <x:f>IF(M39&lt;&gt;"",M39,IF(H39&lt;&gt;"Isotropic","",IF(OR(J39="",K39="",K39&gt;=0.5),"",J39/(3*(1-2*K39)))))</x:f>
        <x:v>114.58333333333336</x:v>
      </x:c>
      <x:c r="P39" s="35" t="n">
        <x:v>345</x:v>
      </x:c>
      <x:c r="Q39" s="35" t="n">
        <x:v>435</x:v>
      </x:c>
      <x:c r="R39" s="35"/>
      <x:c r="S39" s="35"/>
      <x:c r="T39" s="36" t="n">
        <x:v>0.15</x:v>
      </x:c>
      <x:c r="U39" s="35" t="n">
        <x:v>45</x:v>
      </x:c>
      <x:c r="V39" s="35" t="n">
        <x:v>120</x:v>
      </x:c>
      <x:c r="W39" s="35" t="n">
        <x:v>377</x:v>
      </x:c>
      <x:c r="X39" s="35" t="n">
        <x:v>20.5</x:v>
      </x:c>
      <x:c r="Y39" s="37" t="n">
        <x:v>6.4e-8</x:v>
      </x:c>
      <x:c r="Z39" s="38" t="n">
        <x:v>930</x:v>
      </x:c>
      <x:c r="AA39" s="38" t="n">
        <x:v>200</x:v>
      </x:c>
      <x:c r="AB39" s="38" t="n">
        <x:v>125</x:v>
      </x:c>
      <x:c r="AC39" s="32" t="n">
        <x:v>3</x:v>
      </x:c>
      <x:c r="AD39" s="32" t="str">
        <x:v>Representative</x:v>
      </x:c>
      <x:c r="AE39" s="8" t="str">
        <x:v>Temper affects strength and elongation.</x:v>
      </x:c>
      <x:c r="AF39" s="8" t="str">
        <x:f>IFERROR(VLOOKUP(AC39,'Sources'!$A$2:$E$12,5,FALSE),"")</x:f>
        <x:v>https://www.copper.org/resources/properties/db/</x:v>
      </x:c>
      <x:c r="AG39" s="32" t="b">
        <x:f>COUNTIF($A$2:$A$127,A39)&gt;1</x:f>
        <x:v>0</x:v>
      </x:c>
    </x:row>
    <x:row r="40">
      <x:c r="A40" s="33" t="n">
        <x:v>2103</x:v>
      </x:c>
      <x:c r="B40" s="32" t="str">
        <x:v>BRASS_C360</x:v>
      </x:c>
      <x:c r="C40" s="32" t="str">
        <x:v>C360 free-cutting brass</x:v>
      </x:c>
      <x:c r="D40" s="32" t="str">
        <x:v>Nonferrous metal</x:v>
      </x:c>
      <x:c r="E40" s="32" t="str">
        <x:v>Brass</x:v>
      </x:c>
      <x:c r="F40" s="32" t="str">
        <x:v>C36000</x:v>
      </x:c>
      <x:c r="G40" s="32" t="str">
        <x:v>Extruded/half hard typical</x:v>
      </x:c>
      <x:c r="H40" s="32" t="str">
        <x:v>Isotropic</x:v>
      </x:c>
      <x:c r="I40" s="34" t="n">
        <x:v>8500</x:v>
      </x:c>
      <x:c r="J40" s="35" t="n">
        <x:v>97</x:v>
      </x:c>
      <x:c r="K40" s="35" t="n">
        <x:v>0.31</x:v>
      </x:c>
      <x:c r="L40" s="40"/>
      <x:c r="M40" s="40"/>
      <x:c r="N40" s="39" t="n">
        <x:f>IF(L40&lt;&gt;"",L40,IF(H40&lt;&gt;"Isotropic","",IF(OR(J40="",K40=""),"",J40/(2*(1+K40)))))</x:f>
        <x:v>37.02290076335878</x:v>
      </x:c>
      <x:c r="O40" s="39" t="n">
        <x:f>IF(M40&lt;&gt;"",M40,IF(H40&lt;&gt;"Isotropic","",IF(OR(J40="",K40="",K40&gt;=0.5),"",J40/(3*(1-2*K40)))))</x:f>
        <x:v>85.0877192982456</x:v>
      </x:c>
      <x:c r="P40" s="35" t="n">
        <x:v>310</x:v>
      </x:c>
      <x:c r="Q40" s="35" t="n">
        <x:v>360</x:v>
      </x:c>
      <x:c r="R40" s="35"/>
      <x:c r="S40" s="35"/>
      <x:c r="T40" s="36" t="n">
        <x:v>0.18</x:v>
      </x:c>
      <x:c r="U40" s="35" t="n">
        <x:v>35</x:v>
      </x:c>
      <x:c r="V40" s="35" t="n">
        <x:v>115</x:v>
      </x:c>
      <x:c r="W40" s="35" t="n">
        <x:v>380</x:v>
      </x:c>
      <x:c r="X40" s="35" t="n">
        <x:v>20.5</x:v>
      </x:c>
      <x:c r="Y40" s="37" t="n">
        <x:v>6.6e-8</x:v>
      </x:c>
      <x:c r="Z40" s="38" t="n">
        <x:v>900</x:v>
      </x:c>
      <x:c r="AA40" s="38" t="n">
        <x:v>200</x:v>
      </x:c>
      <x:c r="AB40" s="38" t="n">
        <x:v>110</x:v>
      </x:c>
      <x:c r="AC40" s="32" t="n">
        <x:v>3</x:v>
      </x:c>
      <x:c r="AD40" s="32" t="str">
        <x:v>Representative</x:v>
      </x:c>
      <x:c r="AE40" s="8" t="str">
        <x:v>Machining brass; product temper varies.</x:v>
      </x:c>
      <x:c r="AF40" s="8" t="str">
        <x:f>IFERROR(VLOOKUP(AC40,'Sources'!$A$2:$E$12,5,FALSE),"")</x:f>
        <x:v>https://www.copper.org/resources/properties/db/</x:v>
      </x:c>
      <x:c r="AG40" s="32" t="b">
        <x:f>COUNTIF($A$2:$A$127,A40)&gt;1</x:f>
        <x:v>0</x:v>
      </x:c>
    </x:row>
    <x:row r="41">
      <x:c r="A41" s="33" t="n">
        <x:v>2104</x:v>
      </x:c>
      <x:c r="B41" s="32" t="str">
        <x:v>PHOSPHOR_BRONZE_C510</x:v>
      </x:c>
      <x:c r="C41" s="32" t="str">
        <x:v>C510 phosphor bronze</x:v>
      </x:c>
      <x:c r="D41" s="32" t="str">
        <x:v>Nonferrous metal</x:v>
      </x:c>
      <x:c r="E41" s="32" t="str">
        <x:v>Bronze</x:v>
      </x:c>
      <x:c r="F41" s="32" t="str">
        <x:v>C51000</x:v>
      </x:c>
      <x:c r="G41" s="32" t="str">
        <x:v>Half hard</x:v>
      </x:c>
      <x:c r="H41" s="32" t="str">
        <x:v>Isotropic</x:v>
      </x:c>
      <x:c r="I41" s="34" t="n">
        <x:v>8860</x:v>
      </x:c>
      <x:c r="J41" s="35" t="n">
        <x:v>110</x:v>
      </x:c>
      <x:c r="K41" s="35" t="n">
        <x:v>0.34</x:v>
      </x:c>
      <x:c r="L41" s="40"/>
      <x:c r="M41" s="40"/>
      <x:c r="N41" s="39" t="n">
        <x:f>IF(L41&lt;&gt;"",L41,IF(H41&lt;&gt;"Isotropic","",IF(OR(J41="",K41=""),"",J41/(2*(1+K41)))))</x:f>
        <x:v>41.04477611940298</x:v>
      </x:c>
      <x:c r="O41" s="39" t="n">
        <x:f>IF(M41&lt;&gt;"",M41,IF(H41&lt;&gt;"Isotropic","",IF(OR(J41="",K41="",K41&gt;=0.5),"",J41/(3*(1-2*K41)))))</x:f>
        <x:v>114.58333333333336</x:v>
      </x:c>
      <x:c r="P41" s="35" t="n">
        <x:v>380</x:v>
      </x:c>
      <x:c r="Q41" s="35" t="n">
        <x:v>550</x:v>
      </x:c>
      <x:c r="R41" s="35"/>
      <x:c r="S41" s="35"/>
      <x:c r="T41" s="36" t="n">
        <x:v>0.12</x:v>
      </x:c>
      <x:c r="U41" s="35" t="n">
        <x:v>40</x:v>
      </x:c>
      <x:c r="V41" s="35" t="n">
        <x:v>63</x:v>
      </x:c>
      <x:c r="W41" s="35" t="n">
        <x:v>377</x:v>
      </x:c>
      <x:c r="X41" s="35" t="n">
        <x:v>17.8</x:v>
      </x:c>
      <x:c r="Y41" s="37" t="n">
        <x:v>8.8e-8</x:v>
      </x:c>
      <x:c r="Z41" s="38" t="n">
        <x:v>1000</x:v>
      </x:c>
      <x:c r="AA41" s="38" t="n">
        <x:v>250</x:v>
      </x:c>
      <x:c r="AB41" s="38" t="n">
        <x:v>170</x:v>
      </x:c>
      <x:c r="AC41" s="32" t="n">
        <x:v>3</x:v>
      </x:c>
      <x:c r="AD41" s="32" t="str">
        <x:v>Representative</x:v>
      </x:c>
      <x:c r="AE41" s="8" t="str">
        <x:v>Temper strongly affects spring properties.</x:v>
      </x:c>
      <x:c r="AF41" s="8" t="str">
        <x:f>IFERROR(VLOOKUP(AC41,'Sources'!$A$2:$E$12,5,FALSE),"")</x:f>
        <x:v>https://www.copper.org/resources/properties/db/</x:v>
      </x:c>
      <x:c r="AG41" s="32" t="b">
        <x:f>COUNTIF($A$2:$A$127,A41)&gt;1</x:f>
        <x:v>0</x:v>
      </x:c>
    </x:row>
    <x:row r="42">
      <x:c r="A42" s="33" t="n">
        <x:v>2105</x:v>
      </x:c>
      <x:c r="B42" s="32" t="str">
        <x:v>BEARING_BRONZE_C932</x:v>
      </x:c>
      <x:c r="C42" s="32" t="str">
        <x:v>C932 bearing bronze</x:v>
      </x:c>
      <x:c r="D42" s="32" t="str">
        <x:v>Nonferrous metal</x:v>
      </x:c>
      <x:c r="E42" s="32" t="str">
        <x:v>Bronze</x:v>
      </x:c>
      <x:c r="F42" s="32" t="str">
        <x:v>C93200</x:v>
      </x:c>
      <x:c r="G42" s="32" t="str">
        <x:v>Continuous cast typical</x:v>
      </x:c>
      <x:c r="H42" s="32" t="str">
        <x:v>Isotropic</x:v>
      </x:c>
      <x:c r="I42" s="34" t="n">
        <x:v>8930</x:v>
      </x:c>
      <x:c r="J42" s="35" t="n">
        <x:v>103</x:v>
      </x:c>
      <x:c r="K42" s="35" t="n">
        <x:v>0.34</x:v>
      </x:c>
      <x:c r="L42" s="40"/>
      <x:c r="M42" s="40"/>
      <x:c r="N42" s="39" t="n">
        <x:f>IF(L42&lt;&gt;"",L42,IF(H42&lt;&gt;"Isotropic","",IF(OR(J42="",K42=""),"",J42/(2*(1+K42)))))</x:f>
        <x:v>38.43283582089552</x:v>
      </x:c>
      <x:c r="O42" s="39" t="n">
        <x:f>IF(M42&lt;&gt;"",M42,IF(H42&lt;&gt;"Isotropic","",IF(OR(J42="",K42="",K42&gt;=0.5),"",J42/(3*(1-2*K42)))))</x:f>
        <x:v>107.29166666666669</x:v>
      </x:c>
      <x:c r="P42" s="35" t="n">
        <x:v>145</x:v>
      </x:c>
      <x:c r="Q42" s="35" t="n">
        <x:v>240</x:v>
      </x:c>
      <x:c r="R42" s="35"/>
      <x:c r="S42" s="35"/>
      <x:c r="T42" s="36" t="n">
        <x:v>0.15</x:v>
      </x:c>
      <x:c r="U42" s="35" t="n">
        <x:v>25</x:v>
      </x:c>
      <x:c r="V42" s="35" t="n">
        <x:v>59</x:v>
      </x:c>
      <x:c r="W42" s="35" t="n">
        <x:v>380</x:v>
      </x:c>
      <x:c r="X42" s="35" t="n">
        <x:v>18</x:v>
      </x:c>
      <x:c r="Y42" s="37" t="n">
        <x:v>1.3e-7</x:v>
      </x:c>
      <x:c r="Z42" s="38" t="n">
        <x:v>900</x:v>
      </x:c>
      <x:c r="AA42" s="38" t="n">
        <x:v>260</x:v>
      </x:c>
      <x:c r="AB42" s="38" t="n">
        <x:v>75</x:v>
      </x:c>
      <x:c r="AC42" s="32" t="n">
        <x:v>3</x:v>
      </x:c>
      <x:c r="AD42" s="32" t="str">
        <x:v>Approximate</x:v>
      </x:c>
      <x:c r="AE42" s="8" t="str">
        <x:v>Bearing alloy; use supplier data for pressure-velocity limits.</x:v>
      </x:c>
      <x:c r="AF42" s="8" t="str">
        <x:f>IFERROR(VLOOKUP(AC42,'Sources'!$A$2:$E$12,5,FALSE),"")</x:f>
        <x:v>https://www.copper.org/resources/properties/db/</x:v>
      </x:c>
      <x:c r="AG42" s="32" t="b">
        <x:f>COUNTIF($A$2:$A$127,A42)&gt;1</x:f>
        <x:v>0</x:v>
      </x:c>
    </x:row>
    <x:row r="43">
      <x:c r="A43" s="33" t="n">
        <x:v>2106</x:v>
      </x:c>
      <x:c r="B43" s="32" t="str">
        <x:v>COPPER_NICKEL_C715</x:v>
      </x:c>
      <x:c r="C43" s="32" t="str">
        <x:v>C715 70-30 copper-nickel</x:v>
      </x:c>
      <x:c r="D43" s="32" t="str">
        <x:v>Nonferrous metal</x:v>
      </x:c>
      <x:c r="E43" s="32" t="str">
        <x:v>Copper-nickel alloy</x:v>
      </x:c>
      <x:c r="F43" s="32" t="str">
        <x:v>C71500</x:v>
      </x:c>
      <x:c r="G43" s="32" t="str">
        <x:v>Annealed</x:v>
      </x:c>
      <x:c r="H43" s="32" t="str">
        <x:v>Isotropic</x:v>
      </x:c>
      <x:c r="I43" s="34" t="n">
        <x:v>8940</x:v>
      </x:c>
      <x:c r="J43" s="35" t="n">
        <x:v>150</x:v>
      </x:c>
      <x:c r="K43" s="35" t="n">
        <x:v>0.32</x:v>
      </x:c>
      <x:c r="L43" s="40"/>
      <x:c r="M43" s="40"/>
      <x:c r="N43" s="39" t="n">
        <x:f>IF(L43&lt;&gt;"",L43,IF(H43&lt;&gt;"Isotropic","",IF(OR(J43="",K43=""),"",J43/(2*(1+K43)))))</x:f>
        <x:v>56.81818181818181</x:v>
      </x:c>
      <x:c r="O43" s="39" t="n">
        <x:f>IF(M43&lt;&gt;"",M43,IF(H43&lt;&gt;"Isotropic","",IF(OR(J43="",K43="",K43&gt;=0.5),"",J43/(3*(1-2*K43)))))</x:f>
        <x:v>138.88888888888889</x:v>
      </x:c>
      <x:c r="P43" s="35" t="n">
        <x:v>150</x:v>
      </x:c>
      <x:c r="Q43" s="35" t="n">
        <x:v>372</x:v>
      </x:c>
      <x:c r="R43" s="35"/>
      <x:c r="S43" s="35"/>
      <x:c r="T43" s="36" t="n">
        <x:v>0.35</x:v>
      </x:c>
      <x:c r="U43" s="35" t="n">
        <x:v>90</x:v>
      </x:c>
      <x:c r="V43" s="35" t="n">
        <x:v>29</x:v>
      </x:c>
      <x:c r="W43" s="35" t="n">
        <x:v>377</x:v>
      </x:c>
      <x:c r="X43" s="35" t="n">
        <x:v>16.2</x:v>
      </x:c>
      <x:c r="Y43" s="37" t="n">
        <x:v>3.7e-7</x:v>
      </x:c>
      <x:c r="Z43" s="38" t="n">
        <x:v>1170</x:v>
      </x:c>
      <x:c r="AA43" s="38" t="n">
        <x:v>315</x:v>
      </x:c>
      <x:c r="AB43" s="38" t="n">
        <x:v>100</x:v>
      </x:c>
      <x:c r="AC43" s="32" t="n">
        <x:v>3</x:v>
      </x:c>
      <x:c r="AD43" s="32" t="str">
        <x:v>Representative</x:v>
      </x:c>
      <x:c r="AE43" s="8" t="str">
        <x:v>Marine copper-nickel typical values.</x:v>
      </x:c>
      <x:c r="AF43" s="8" t="str">
        <x:f>IFERROR(VLOOKUP(AC43,'Sources'!$A$2:$E$12,5,FALSE),"")</x:f>
        <x:v>https://www.copper.org/resources/properties/db/</x:v>
      </x:c>
      <x:c r="AG43" s="32" t="b">
        <x:f>COUNTIF($A$2:$A$127,A43)&gt;1</x:f>
        <x:v>0</x:v>
      </x:c>
    </x:row>
    <x:row r="44">
      <x:c r="A44" s="33" t="n">
        <x:v>2201</x:v>
      </x:c>
      <x:c r="B44" s="32" t="str">
        <x:v>MAGNESIUM_AZ31B_H24</x:v>
      </x:c>
      <x:c r="C44" s="32" t="str">
        <x:v>Magnesium AZ31B-H24</x:v>
      </x:c>
      <x:c r="D44" s="32" t="str">
        <x:v>Nonferrous metal</x:v>
      </x:c>
      <x:c r="E44" s="32" t="str">
        <x:v>Magnesium alloy</x:v>
      </x:c>
      <x:c r="F44" s="32" t="str">
        <x:v>AZ31B-H24</x:v>
      </x:c>
      <x:c r="G44" s="32" t="str">
        <x:v>Strain hardened and partially annealed</x:v>
      </x:c>
      <x:c r="H44" s="32" t="str">
        <x:v>Isotropic</x:v>
      </x:c>
      <x:c r="I44" s="34" t="n">
        <x:v>1770</x:v>
      </x:c>
      <x:c r="J44" s="35" t="n">
        <x:v>45</x:v>
      </x:c>
      <x:c r="K44" s="35" t="n">
        <x:v>0.35</x:v>
      </x:c>
      <x:c r="L44" s="40"/>
      <x:c r="M44" s="40"/>
      <x:c r="N44" s="39" t="n">
        <x:f>IF(L44&lt;&gt;"",L44,IF(H44&lt;&gt;"Isotropic","",IF(OR(J44="",K44=""),"",J44/(2*(1+K44)))))</x:f>
        <x:v>16.666666666666664</x:v>
      </x:c>
      <x:c r="O44" s="39" t="n">
        <x:f>IF(M44&lt;&gt;"",M44,IF(H44&lt;&gt;"Isotropic","",IF(OR(J44="",K44="",K44&gt;=0.5),"",J44/(3*(1-2*K44)))))</x:f>
        <x:v>49.99999999999999</x:v>
      </x:c>
      <x:c r="P44" s="35" t="n">
        <x:v>220</x:v>
      </x:c>
      <x:c r="Q44" s="35" t="n">
        <x:v>290</x:v>
      </x:c>
      <x:c r="R44" s="35"/>
      <x:c r="S44" s="35"/>
      <x:c r="T44" s="36" t="n">
        <x:v>0.15</x:v>
      </x:c>
      <x:c r="U44" s="35" t="n">
        <x:v>18</x:v>
      </x:c>
      <x:c r="V44" s="35" t="n">
        <x:v>96</x:v>
      </x:c>
      <x:c r="W44" s="35" t="n">
        <x:v>1040</x:v>
      </x:c>
      <x:c r="X44" s="35" t="n">
        <x:v>26</x:v>
      </x:c>
      <x:c r="Y44" s="37" t="n">
        <x:v>9.2e-8</x:v>
      </x:c>
      <x:c r="Z44" s="38" t="n">
        <x:v>630</x:v>
      </x:c>
      <x:c r="AA44" s="38" t="n">
        <x:v>120</x:v>
      </x:c>
      <x:c r="AB44" s="38" t="n">
        <x:v>73</x:v>
      </x:c>
      <x:c r="AC44" s="32" t="n">
        <x:v>1</x:v>
      </x:c>
      <x:c r="AD44" s="32" t="str">
        <x:v>Representative</x:v>
      </x:c>
      <x:c r="AE44" s="8" t="str">
        <x:v>Wrought sheet typical values.</x:v>
      </x:c>
      <x:c r="AF44" s="8" t="str">
        <x:f>IFERROR(VLOOKUP(AC44,'Sources'!$A$2:$E$12,5,FALSE),"")</x:f>
        <x:v>https://www.matweb.com/search/MaterialGroupSearch.aspx</x:v>
      </x:c>
      <x:c r="AG44" s="32" t="b">
        <x:f>COUNTIF($A$2:$A$127,A44)&gt;1</x:f>
        <x:v>0</x:v>
      </x:c>
    </x:row>
    <x:row r="45">
      <x:c r="A45" s="33" t="n">
        <x:v>2202</x:v>
      </x:c>
      <x:c r="B45" s="32" t="str">
        <x:v>MAGNESIUM_AZ91D_T6</x:v>
      </x:c>
      <x:c r="C45" s="32" t="str">
        <x:v>Magnesium AZ91D-T6</x:v>
      </x:c>
      <x:c r="D45" s="32" t="str">
        <x:v>Nonferrous metal</x:v>
      </x:c>
      <x:c r="E45" s="32" t="str">
        <x:v>Magnesium alloy</x:v>
      </x:c>
      <x:c r="F45" s="32" t="str">
        <x:v>AZ91D-T6</x:v>
      </x:c>
      <x:c r="G45" s="32" t="str">
        <x:v>Heat-treated die casting</x:v>
      </x:c>
      <x:c r="H45" s="32" t="str">
        <x:v>Isotropic</x:v>
      </x:c>
      <x:c r="I45" s="34" t="n">
        <x:v>1810</x:v>
      </x:c>
      <x:c r="J45" s="35" t="n">
        <x:v>45</x:v>
      </x:c>
      <x:c r="K45" s="35" t="n">
        <x:v>0.35</x:v>
      </x:c>
      <x:c r="L45" s="40"/>
      <x:c r="M45" s="40"/>
      <x:c r="N45" s="39" t="n">
        <x:f>IF(L45&lt;&gt;"",L45,IF(H45&lt;&gt;"Isotropic","",IF(OR(J45="",K45=""),"",J45/(2*(1+K45)))))</x:f>
        <x:v>16.666666666666664</x:v>
      </x:c>
      <x:c r="O45" s="39" t="n">
        <x:f>IF(M45&lt;&gt;"",M45,IF(H45&lt;&gt;"Isotropic","",IF(OR(J45="",K45="",K45&gt;=0.5),"",J45/(3*(1-2*K45)))))</x:f>
        <x:v>49.99999999999999</x:v>
      </x:c>
      <x:c r="P45" s="35" t="n">
        <x:v>160</x:v>
      </x:c>
      <x:c r="Q45" s="35" t="n">
        <x:v>230</x:v>
      </x:c>
      <x:c r="R45" s="35"/>
      <x:c r="S45" s="35"/>
      <x:c r="T45" s="36" t="n">
        <x:v>0.03</x:v>
      </x:c>
      <x:c r="U45" s="35" t="n">
        <x:v>12</x:v>
      </x:c>
      <x:c r="V45" s="35" t="n">
        <x:v>72</x:v>
      </x:c>
      <x:c r="W45" s="35" t="n">
        <x:v>1020</x:v>
      </x:c>
      <x:c r="X45" s="35" t="n">
        <x:v>26</x:v>
      </x:c>
      <x:c r="Y45" s="37" t="n">
        <x:v>1.4e-7</x:v>
      </x:c>
      <x:c r="Z45" s="38" t="n">
        <x:v>595</x:v>
      </x:c>
      <x:c r="AA45" s="38" t="n">
        <x:v>120</x:v>
      </x:c>
      <x:c r="AB45" s="38" t="n">
        <x:v>75</x:v>
      </x:c>
      <x:c r="AC45" s="32" t="n">
        <x:v>1</x:v>
      </x:c>
      <x:c r="AD45" s="32" t="str">
        <x:v>Approximate</x:v>
      </x:c>
      <x:c r="AE45" s="8" t="str">
        <x:v>Die-casting porosity and heat treatment affect properties.</x:v>
      </x:c>
      <x:c r="AF45" s="8" t="str">
        <x:f>IFERROR(VLOOKUP(AC45,'Sources'!$A$2:$E$12,5,FALSE),"")</x:f>
        <x:v>https://www.matweb.com/search/MaterialGroupSearch.aspx</x:v>
      </x:c>
      <x:c r="AG45" s="32" t="b">
        <x:f>COUNTIF($A$2:$A$127,A45)&gt;1</x:f>
        <x:v>0</x:v>
      </x:c>
    </x:row>
    <x:row r="46">
      <x:c r="A46" s="33" t="n">
        <x:v>2301</x:v>
      </x:c>
      <x:c r="B46" s="32" t="str">
        <x:v>TITANIUM_GRADE_2</x:v>
      </x:c>
      <x:c r="C46" s="32" t="str">
        <x:v>Commercially pure titanium Grade 2</x:v>
      </x:c>
      <x:c r="D46" s="32" t="str">
        <x:v>Nonferrous metal</x:v>
      </x:c>
      <x:c r="E46" s="32" t="str">
        <x:v>Titanium alloy</x:v>
      </x:c>
      <x:c r="F46" s="32" t="str">
        <x:v>ASTM Grade 2</x:v>
      </x:c>
      <x:c r="G46" s="32" t="str">
        <x:v>Annealed</x:v>
      </x:c>
      <x:c r="H46" s="32" t="str">
        <x:v>Isotropic</x:v>
      </x:c>
      <x:c r="I46" s="34" t="n">
        <x:v>4510</x:v>
      </x:c>
      <x:c r="J46" s="35" t="n">
        <x:v>105</x:v>
      </x:c>
      <x:c r="K46" s="35" t="n">
        <x:v>0.34</x:v>
      </x:c>
      <x:c r="L46" s="40"/>
      <x:c r="M46" s="40"/>
      <x:c r="N46" s="39" t="n">
        <x:f>IF(L46&lt;&gt;"",L46,IF(H46&lt;&gt;"Isotropic","",IF(OR(J46="",K46=""),"",J46/(2*(1+K46)))))</x:f>
        <x:v>39.179104477611936</x:v>
      </x:c>
      <x:c r="O46" s="39" t="n">
        <x:f>IF(M46&lt;&gt;"",M46,IF(H46&lt;&gt;"Isotropic","",IF(OR(J46="",K46="",K46&gt;=0.5),"",J46/(3*(1-2*K46)))))</x:f>
        <x:v>109.37500000000001</x:v>
      </x:c>
      <x:c r="P46" s="35" t="n">
        <x:v>275</x:v>
      </x:c>
      <x:c r="Q46" s="35" t="n">
        <x:v>345</x:v>
      </x:c>
      <x:c r="R46" s="35"/>
      <x:c r="S46" s="35"/>
      <x:c r="T46" s="36" t="n">
        <x:v>0.2</x:v>
      </x:c>
      <x:c r="U46" s="35" t="n">
        <x:v>70</x:v>
      </x:c>
      <x:c r="V46" s="35" t="n">
        <x:v>16.4</x:v>
      </x:c>
      <x:c r="W46" s="35" t="n">
        <x:v>523</x:v>
      </x:c>
      <x:c r="X46" s="35" t="n">
        <x:v>8.6</x:v>
      </x:c>
      <x:c r="Y46" s="37" t="n">
        <x:v>4.2e-7</x:v>
      </x:c>
      <x:c r="Z46" s="38" t="n">
        <x:v>1665</x:v>
      </x:c>
      <x:c r="AA46" s="38" t="n">
        <x:v>540</x:v>
      </x:c>
      <x:c r="AB46" s="38" t="n">
        <x:v>145</x:v>
      </x:c>
      <x:c r="AC46" s="32" t="n">
        <x:v>1</x:v>
      </x:c>
      <x:c r="AD46" s="32" t="str">
        <x:v>Representative</x:v>
      </x:c>
      <x:c r="AE46" s="8" t="str">
        <x:v>Commercially pure titanium; product form affects minima.</x:v>
      </x:c>
      <x:c r="AF46" s="8" t="str">
        <x:f>IFERROR(VLOOKUP(AC46,'Sources'!$A$2:$E$12,5,FALSE),"")</x:f>
        <x:v>https://www.matweb.com/search/MaterialGroupSearch.aspx</x:v>
      </x:c>
      <x:c r="AG46" s="32" t="b">
        <x:f>COUNTIF($A$2:$A$127,A46)&gt;1</x:f>
        <x:v>0</x:v>
      </x:c>
    </x:row>
    <x:row r="47">
      <x:c r="A47" s="33" t="n">
        <x:v>2302</x:v>
      </x:c>
      <x:c r="B47" s="32" t="str">
        <x:v>TITANIUM_TI6AL4V_ANNEALED</x:v>
      </x:c>
      <x:c r="C47" s="32" t="str">
        <x:v>Ti-6Al-4V Grade 5</x:v>
      </x:c>
      <x:c r="D47" s="32" t="str">
        <x:v>Nonferrous metal</x:v>
      </x:c>
      <x:c r="E47" s="32" t="str">
        <x:v>Titanium alloy</x:v>
      </x:c>
      <x:c r="F47" s="32" t="str">
        <x:v>Ti-6Al-4V / Grade 5</x:v>
      </x:c>
      <x:c r="G47" s="32" t="str">
        <x:v>Annealed</x:v>
      </x:c>
      <x:c r="H47" s="32" t="str">
        <x:v>Isotropic</x:v>
      </x:c>
      <x:c r="I47" s="34" t="n">
        <x:v>4430</x:v>
      </x:c>
      <x:c r="J47" s="35" t="n">
        <x:v>114</x:v>
      </x:c>
      <x:c r="K47" s="35" t="n">
        <x:v>0.34</x:v>
      </x:c>
      <x:c r="L47" s="40"/>
      <x:c r="M47" s="40"/>
      <x:c r="N47" s="39" t="n">
        <x:f>IF(L47&lt;&gt;"",L47,IF(H47&lt;&gt;"Isotropic","",IF(OR(J47="",K47=""),"",J47/(2*(1+K47)))))</x:f>
        <x:v>42.537313432835816</x:v>
      </x:c>
      <x:c r="O47" s="39" t="n">
        <x:f>IF(M47&lt;&gt;"",M47,IF(H47&lt;&gt;"Isotropic","",IF(OR(J47="",K47="",K47&gt;=0.5),"",J47/(3*(1-2*K47)))))</x:f>
        <x:v>118.75000000000001</x:v>
      </x:c>
      <x:c r="P47" s="35" t="n">
        <x:v>880</x:v>
      </x:c>
      <x:c r="Q47" s="35" t="n">
        <x:v>950</x:v>
      </x:c>
      <x:c r="R47" s="35"/>
      <x:c r="S47" s="35"/>
      <x:c r="T47" s="36" t="n">
        <x:v>0.14</x:v>
      </x:c>
      <x:c r="U47" s="35" t="n">
        <x:v>75</x:v>
      </x:c>
      <x:c r="V47" s="35" t="n">
        <x:v>6.7</x:v>
      </x:c>
      <x:c r="W47" s="35" t="n">
        <x:v>526</x:v>
      </x:c>
      <x:c r="X47" s="35" t="n">
        <x:v>8.6</x:v>
      </x:c>
      <x:c r="Y47" s="37" t="n">
        <x:v>0.00000178</x:v>
      </x:c>
      <x:c r="Z47" s="38" t="n">
        <x:v>1604</x:v>
      </x:c>
      <x:c r="AA47" s="38" t="n">
        <x:v>400</x:v>
      </x:c>
      <x:c r="AB47" s="38" t="n">
        <x:v>349</x:v>
      </x:c>
      <x:c r="AC47" s="32" t="n">
        <x:v>1</x:v>
      </x:c>
      <x:c r="AD47" s="32" t="str">
        <x:v>Representative</x:v>
      </x:c>
      <x:c r="AE47" s="8" t="str">
        <x:v>Annealed wrought product; fatigue and fracture properties are process-sensitive.</x:v>
      </x:c>
      <x:c r="AF47" s="8" t="str">
        <x:f>IFERROR(VLOOKUP(AC47,'Sources'!$A$2:$E$12,5,FALSE),"")</x:f>
        <x:v>https://www.matweb.com/search/MaterialGroupSearch.aspx</x:v>
      </x:c>
      <x:c r="AG47" s="32" t="b">
        <x:f>COUNTIF($A$2:$A$127,A47)&gt;1</x:f>
        <x:v>0</x:v>
      </x:c>
    </x:row>
    <x:row r="48">
      <x:c r="A48" s="33" t="n">
        <x:v>2401</x:v>
      </x:c>
      <x:c r="B48" s="32" t="str">
        <x:v>NICKEL_200</x:v>
      </x:c>
      <x:c r="C48" s="32" t="str">
        <x:v>Nickel 200</x:v>
      </x:c>
      <x:c r="D48" s="32" t="str">
        <x:v>Nonferrous metal</x:v>
      </x:c>
      <x:c r="E48" s="32" t="str">
        <x:v>Nickel alloy</x:v>
      </x:c>
      <x:c r="F48" s="32" t="str">
        <x:v>UNS N02200</x:v>
      </x:c>
      <x:c r="G48" s="32" t="str">
        <x:v>Annealed</x:v>
      </x:c>
      <x:c r="H48" s="32" t="str">
        <x:v>Isotropic</x:v>
      </x:c>
      <x:c r="I48" s="34" t="n">
        <x:v>8890</x:v>
      </x:c>
      <x:c r="J48" s="35" t="n">
        <x:v>207</x:v>
      </x:c>
      <x:c r="K48" s="35" t="n">
        <x:v>0.31</x:v>
      </x:c>
      <x:c r="L48" s="40"/>
      <x:c r="M48" s="40"/>
      <x:c r="N48" s="39" t="n">
        <x:f>IF(L48&lt;&gt;"",L48,IF(H48&lt;&gt;"Isotropic","",IF(OR(J48="",K48=""),"",J48/(2*(1+K48)))))</x:f>
        <x:v>79.00763358778626</x:v>
      </x:c>
      <x:c r="O48" s="39" t="n">
        <x:f>IF(M48&lt;&gt;"",M48,IF(H48&lt;&gt;"Isotropic","",IF(OR(J48="",K48="",K48&gt;=0.5),"",J48/(3*(1-2*K48)))))</x:f>
        <x:v>181.57894736842104</x:v>
      </x:c>
      <x:c r="P48" s="35" t="n">
        <x:v>100</x:v>
      </x:c>
      <x:c r="Q48" s="35" t="n">
        <x:v>380</x:v>
      </x:c>
      <x:c r="R48" s="35"/>
      <x:c r="S48" s="35"/>
      <x:c r="T48" s="36" t="n">
        <x:v>0.45</x:v>
      </x:c>
      <x:c r="U48" s="35" t="n">
        <x:v>150</x:v>
      </x:c>
      <x:c r="V48" s="35" t="n">
        <x:v>90.9</x:v>
      </x:c>
      <x:c r="W48" s="35" t="n">
        <x:v>456</x:v>
      </x:c>
      <x:c r="X48" s="35" t="n">
        <x:v>13.3</x:v>
      </x:c>
      <x:c r="Y48" s="37" t="n">
        <x:v>9.6e-8</x:v>
      </x:c>
      <x:c r="Z48" s="38" t="n">
        <x:v>1455</x:v>
      </x:c>
      <x:c r="AA48" s="38" t="n">
        <x:v>600</x:v>
      </x:c>
      <x:c r="AB48" s="38" t="n">
        <x:v>100</x:v>
      </x:c>
      <x:c r="AC48" s="32" t="n">
        <x:v>4</x:v>
      </x:c>
      <x:c r="AD48" s="32" t="str">
        <x:v>Representative</x:v>
      </x:c>
      <x:c r="AE48" s="8" t="str">
        <x:v>Commercially pure nickel.</x:v>
      </x:c>
      <x:c r="AF48" s="8" t="str">
        <x:f>IFERROR(VLOOKUP(AC48,'Sources'!$A$2:$E$12,5,FALSE),"")</x:f>
        <x:v>https://www.specialmetals.com/documents/</x:v>
      </x:c>
      <x:c r="AG48" s="32" t="b">
        <x:f>COUNTIF($A$2:$A$127,A48)&gt;1</x:f>
        <x:v>0</x:v>
      </x:c>
    </x:row>
    <x:row r="49">
      <x:c r="A49" s="33" t="n">
        <x:v>2402</x:v>
      </x:c>
      <x:c r="B49" s="32" t="str">
        <x:v>MONEL_400</x:v>
      </x:c>
      <x:c r="C49" s="32" t="str">
        <x:v>MONEL alloy 400</x:v>
      </x:c>
      <x:c r="D49" s="32" t="str">
        <x:v>Nonferrous metal</x:v>
      </x:c>
      <x:c r="E49" s="32" t="str">
        <x:v>Nickel-copper alloy</x:v>
      </x:c>
      <x:c r="F49" s="32" t="str">
        <x:v>UNS N04400</x:v>
      </x:c>
      <x:c r="G49" s="32" t="str">
        <x:v>Annealed</x:v>
      </x:c>
      <x:c r="H49" s="32" t="str">
        <x:v>Isotropic</x:v>
      </x:c>
      <x:c r="I49" s="34" t="n">
        <x:v>8800</x:v>
      </x:c>
      <x:c r="J49" s="35" t="n">
        <x:v>179</x:v>
      </x:c>
      <x:c r="K49" s="35" t="n">
        <x:v>0.32</x:v>
      </x:c>
      <x:c r="L49" s="40"/>
      <x:c r="M49" s="40"/>
      <x:c r="N49" s="39" t="n">
        <x:f>IF(L49&lt;&gt;"",L49,IF(H49&lt;&gt;"Isotropic","",IF(OR(J49="",K49=""),"",J49/(2*(1+K49)))))</x:f>
        <x:v>67.8030303030303</x:v>
      </x:c>
      <x:c r="O49" s="39" t="n">
        <x:f>IF(M49&lt;&gt;"",M49,IF(H49&lt;&gt;"Isotropic","",IF(OR(J49="",K49="",K49&gt;=0.5),"",J49/(3*(1-2*K49)))))</x:f>
        <x:v>165.74074074074073</x:v>
      </x:c>
      <x:c r="P49" s="35" t="n">
        <x:v>240</x:v>
      </x:c>
      <x:c r="Q49" s="35" t="n">
        <x:v>550</x:v>
      </x:c>
      <x:c r="R49" s="35"/>
      <x:c r="S49" s="35"/>
      <x:c r="T49" s="36" t="n">
        <x:v>0.35</x:v>
      </x:c>
      <x:c r="U49" s="35" t="n">
        <x:v>150</x:v>
      </x:c>
      <x:c r="V49" s="35" t="n">
        <x:v>21.8</x:v>
      </x:c>
      <x:c r="W49" s="35" t="n">
        <x:v>427</x:v>
      </x:c>
      <x:c r="X49" s="35" t="n">
        <x:v>13.9</x:v>
      </x:c>
      <x:c r="Y49" s="37" t="n">
        <x:v>5.1e-7</x:v>
      </x:c>
      <x:c r="Z49" s="38" t="n">
        <x:v>1345</x:v>
      </x:c>
      <x:c r="AA49" s="38" t="n">
        <x:v>480</x:v>
      </x:c>
      <x:c r="AB49" s="38" t="n">
        <x:v>135</x:v>
      </x:c>
      <x:c r="AC49" s="32" t="n">
        <x:v>4</x:v>
      </x:c>
      <x:c r="AD49" s="32" t="str">
        <x:v>Representative</x:v>
      </x:c>
      <x:c r="AE49" s="8" t="str">
        <x:v>Annealed typical values.</x:v>
      </x:c>
      <x:c r="AF49" s="8" t="str">
        <x:f>IFERROR(VLOOKUP(AC49,'Sources'!$A$2:$E$12,5,FALSE),"")</x:f>
        <x:v>https://www.specialmetals.com/documents/</x:v>
      </x:c>
      <x:c r="AG49" s="32" t="b">
        <x:f>COUNTIF($A$2:$A$127,A49)&gt;1</x:f>
        <x:v>0</x:v>
      </x:c>
    </x:row>
    <x:row r="50">
      <x:c r="A50" s="33" t="n">
        <x:v>2403</x:v>
      </x:c>
      <x:c r="B50" s="32" t="str">
        <x:v>INCONEL_625</x:v>
      </x:c>
      <x:c r="C50" s="32" t="str">
        <x:v>INCONEL alloy 625</x:v>
      </x:c>
      <x:c r="D50" s="32" t="str">
        <x:v>Nonferrous metal</x:v>
      </x:c>
      <x:c r="E50" s="32" t="str">
        <x:v>Nickel superalloy</x:v>
      </x:c>
      <x:c r="F50" s="32" t="str">
        <x:v>UNS N06625</x:v>
      </x:c>
      <x:c r="G50" s="32" t="str">
        <x:v>Solution annealed</x:v>
      </x:c>
      <x:c r="H50" s="32" t="str">
        <x:v>Isotropic</x:v>
      </x:c>
      <x:c r="I50" s="34" t="n">
        <x:v>8440</x:v>
      </x:c>
      <x:c r="J50" s="35" t="n">
        <x:v>208</x:v>
      </x:c>
      <x:c r="K50" s="35" t="n">
        <x:v>0.3</x:v>
      </x:c>
      <x:c r="L50" s="40"/>
      <x:c r="M50" s="40"/>
      <x:c r="N50" s="39" t="n">
        <x:f>IF(L50&lt;&gt;"",L50,IF(H50&lt;&gt;"Isotropic","",IF(OR(J50="",K50=""),"",J50/(2*(1+K50)))))</x:f>
        <x:v>80</x:v>
      </x:c>
      <x:c r="O50" s="39" t="n">
        <x:f>IF(M50&lt;&gt;"",M50,IF(H50&lt;&gt;"Isotropic","",IF(OR(J50="",K50="",K50&gt;=0.5),"",J50/(3*(1-2*K50)))))</x:f>
        <x:v>173.33333333333331</x:v>
      </x:c>
      <x:c r="P50" s="35" t="n">
        <x:v>460</x:v>
      </x:c>
      <x:c r="Q50" s="35" t="n">
        <x:v>930</x:v>
      </x:c>
      <x:c r="R50" s="35"/>
      <x:c r="S50" s="35"/>
      <x:c r="T50" s="36" t="n">
        <x:v>0.5</x:v>
      </x:c>
      <x:c r="U50" s="35" t="n">
        <x:v>120</x:v>
      </x:c>
      <x:c r="V50" s="35" t="n">
        <x:v>9.8</x:v>
      </x:c>
      <x:c r="W50" s="35" t="n">
        <x:v>410</x:v>
      </x:c>
      <x:c r="X50" s="35" t="n">
        <x:v>12.8</x:v>
      </x:c>
      <x:c r="Y50" s="37" t="n">
        <x:v>0.00000129</x:v>
      </x:c>
      <x:c r="Z50" s="38" t="n">
        <x:v>1335</x:v>
      </x:c>
      <x:c r="AA50" s="38" t="n">
        <x:v>980</x:v>
      </x:c>
      <x:c r="AB50" s="38" t="n">
        <x:v>260</x:v>
      </x:c>
      <x:c r="AC50" s="32" t="n">
        <x:v>4</x:v>
      </x:c>
      <x:c r="AD50" s="32" t="str">
        <x:v>Representative</x:v>
      </x:c>
      <x:c r="AE50" s="8" t="str">
        <x:v>High-temperature strength depends on exposure and product condition.</x:v>
      </x:c>
      <x:c r="AF50" s="8" t="str">
        <x:f>IFERROR(VLOOKUP(AC50,'Sources'!$A$2:$E$12,5,FALSE),"")</x:f>
        <x:v>https://www.specialmetals.com/documents/</x:v>
      </x:c>
      <x:c r="AG50" s="32" t="b">
        <x:f>COUNTIF($A$2:$A$127,A50)&gt;1</x:f>
        <x:v>0</x:v>
      </x:c>
    </x:row>
    <x:row r="51">
      <x:c r="A51" s="33" t="n">
        <x:v>2404</x:v>
      </x:c>
      <x:c r="B51" s="32" t="str">
        <x:v>INCONEL_718_AGED</x:v>
      </x:c>
      <x:c r="C51" s="32" t="str">
        <x:v>INCONEL alloy 718</x:v>
      </x:c>
      <x:c r="D51" s="32" t="str">
        <x:v>Nonferrous metal</x:v>
      </x:c>
      <x:c r="E51" s="32" t="str">
        <x:v>Nickel superalloy</x:v>
      </x:c>
      <x:c r="F51" s="32" t="str">
        <x:v>UNS N07718</x:v>
      </x:c>
      <x:c r="G51" s="32" t="str">
        <x:v>Solution treated and aged</x:v>
      </x:c>
      <x:c r="H51" s="32" t="str">
        <x:v>Isotropic</x:v>
      </x:c>
      <x:c r="I51" s="34" t="n">
        <x:v>8190</x:v>
      </x:c>
      <x:c r="J51" s="35" t="n">
        <x:v>200</x:v>
      </x:c>
      <x:c r="K51" s="35" t="n">
        <x:v>0.29</x:v>
      </x:c>
      <x:c r="L51" s="40"/>
      <x:c r="M51" s="40"/>
      <x:c r="N51" s="39" t="n">
        <x:f>IF(L51&lt;&gt;"",L51,IF(H51&lt;&gt;"Isotropic","",IF(OR(J51="",K51=""),"",J51/(2*(1+K51)))))</x:f>
        <x:v>77.51937984496124</x:v>
      </x:c>
      <x:c r="O51" s="39" t="n">
        <x:f>IF(M51&lt;&gt;"",M51,IF(H51&lt;&gt;"Isotropic","",IF(OR(J51="",K51="",K51&gt;=0.5),"",J51/(3*(1-2*K51)))))</x:f>
        <x:v>158.7301587301587</x:v>
      </x:c>
      <x:c r="P51" s="35" t="n">
        <x:v>1035</x:v>
      </x:c>
      <x:c r="Q51" s="35" t="n">
        <x:v>1240</x:v>
      </x:c>
      <x:c r="R51" s="35"/>
      <x:c r="S51" s="35"/>
      <x:c r="T51" s="36" t="n">
        <x:v>0.12</x:v>
      </x:c>
      <x:c r="U51" s="35" t="n">
        <x:v>85</x:v>
      </x:c>
      <x:c r="V51" s="35" t="n">
        <x:v>11.4</x:v>
      </x:c>
      <x:c r="W51" s="35" t="n">
        <x:v>435</x:v>
      </x:c>
      <x:c r="X51" s="35" t="n">
        <x:v>13</x:v>
      </x:c>
      <x:c r="Y51" s="37" t="n">
        <x:v>0.00000125</x:v>
      </x:c>
      <x:c r="Z51" s="38" t="n">
        <x:v>1300</x:v>
      </x:c>
      <x:c r="AA51" s="38" t="n">
        <x:v>650</x:v>
      </x:c>
      <x:c r="AB51" s="38" t="n">
        <x:v>400</x:v>
      </x:c>
      <x:c r="AC51" s="32" t="n">
        <x:v>4</x:v>
      </x:c>
      <x:c r="AD51" s="32" t="str">
        <x:v>Representative</x:v>
      </x:c>
      <x:c r="AE51" s="8" t="str">
        <x:v>Aged condition; verify heat treatment and temperature-dependent allowables.</x:v>
      </x:c>
      <x:c r="AF51" s="8" t="str">
        <x:f>IFERROR(VLOOKUP(AC51,'Sources'!$A$2:$E$12,5,FALSE),"")</x:f>
        <x:v>https://www.specialmetals.com/documents/</x:v>
      </x:c>
      <x:c r="AG51" s="32" t="b">
        <x:f>COUNTIF($A$2:$A$127,A51)&gt;1</x:f>
        <x:v>0</x:v>
      </x:c>
    </x:row>
    <x:row r="52">
      <x:c r="A52" s="33" t="n">
        <x:v>2405</x:v>
      </x:c>
      <x:c r="B52" s="32" t="str">
        <x:v>HASTELLOY_C276</x:v>
      </x:c>
      <x:c r="C52" s="32" t="str">
        <x:v>HASTELLOY C-276</x:v>
      </x:c>
      <x:c r="D52" s="32" t="str">
        <x:v>Nonferrous metal</x:v>
      </x:c>
      <x:c r="E52" s="32" t="str">
        <x:v>Nickel superalloy</x:v>
      </x:c>
      <x:c r="F52" s="32" t="str">
        <x:v>UNS N10276</x:v>
      </x:c>
      <x:c r="G52" s="32" t="str">
        <x:v>Solution annealed</x:v>
      </x:c>
      <x:c r="H52" s="32" t="str">
        <x:v>Isotropic</x:v>
      </x:c>
      <x:c r="I52" s="34" t="n">
        <x:v>8890</x:v>
      </x:c>
      <x:c r="J52" s="35" t="n">
        <x:v>205</x:v>
      </x:c>
      <x:c r="K52" s="35" t="n">
        <x:v>0.31</x:v>
      </x:c>
      <x:c r="L52" s="40"/>
      <x:c r="M52" s="40"/>
      <x:c r="N52" s="39" t="n">
        <x:f>IF(L52&lt;&gt;"",L52,IF(H52&lt;&gt;"Isotropic","",IF(OR(J52="",K52=""),"",J52/(2*(1+K52)))))</x:f>
        <x:v>78.2442748091603</x:v>
      </x:c>
      <x:c r="O52" s="39" t="n">
        <x:f>IF(M52&lt;&gt;"",M52,IF(H52&lt;&gt;"Isotropic","",IF(OR(J52="",K52="",K52&gt;=0.5),"",J52/(3*(1-2*K52)))))</x:f>
        <x:v>179.82456140350874</x:v>
      </x:c>
      <x:c r="P52" s="35" t="n">
        <x:v>355</x:v>
      </x:c>
      <x:c r="Q52" s="35" t="n">
        <x:v>790</x:v>
      </x:c>
      <x:c r="R52" s="35"/>
      <x:c r="S52" s="35"/>
      <x:c r="T52" s="36" t="n">
        <x:v>0.4</x:v>
      </x:c>
      <x:c r="U52" s="35" t="n">
        <x:v>120</x:v>
      </x:c>
      <x:c r="V52" s="35" t="n">
        <x:v>10.2</x:v>
      </x:c>
      <x:c r="W52" s="35" t="n">
        <x:v>427</x:v>
      </x:c>
      <x:c r="X52" s="35" t="n">
        <x:v>11.2</x:v>
      </x:c>
      <x:c r="Y52" s="37" t="n">
        <x:v>0.0000013</x:v>
      </x:c>
      <x:c r="Z52" s="38" t="n">
        <x:v>1325</x:v>
      </x:c>
      <x:c r="AA52" s="38" t="n">
        <x:v>540</x:v>
      </x:c>
      <x:c r="AB52" s="38" t="n">
        <x:v>230</x:v>
      </x:c>
      <x:c r="AC52" s="32" t="n">
        <x:v>4</x:v>
      </x:c>
      <x:c r="AD52" s="32" t="str">
        <x:v>Representative</x:v>
      </x:c>
      <x:c r="AE52" s="8" t="str">
        <x:v>Corrosion-resistant alloy; use producer data for environment-specific selection.</x:v>
      </x:c>
      <x:c r="AF52" s="8" t="str">
        <x:f>IFERROR(VLOOKUP(AC52,'Sources'!$A$2:$E$12,5,FALSE),"")</x:f>
        <x:v>https://www.specialmetals.com/documents/</x:v>
      </x:c>
      <x:c r="AG52" s="32" t="b">
        <x:f>COUNTIF($A$2:$A$127,A52)&gt;1</x:f>
        <x:v>0</x:v>
      </x:c>
    </x:row>
    <x:row r="53">
      <x:c r="A53" s="33" t="n">
        <x:v>2501</x:v>
      </x:c>
      <x:c r="B53" s="32" t="str">
        <x:v>ZINC_ZAMAK_3</x:v>
      </x:c>
      <x:c r="C53" s="32" t="str">
        <x:v>Zamak 3 zinc die-casting alloy</x:v>
      </x:c>
      <x:c r="D53" s="32" t="str">
        <x:v>Nonferrous metal</x:v>
      </x:c>
      <x:c r="E53" s="32" t="str">
        <x:v>Zinc alloy</x:v>
      </x:c>
      <x:c r="F53" s="32" t="str">
        <x:v>Zamak 3</x:v>
      </x:c>
      <x:c r="G53" s="32" t="str">
        <x:v>Die cast</x:v>
      </x:c>
      <x:c r="H53" s="32" t="str">
        <x:v>Isotropic</x:v>
      </x:c>
      <x:c r="I53" s="34" t="n">
        <x:v>6600</x:v>
      </x:c>
      <x:c r="J53" s="35" t="n">
        <x:v>86</x:v>
      </x:c>
      <x:c r="K53" s="35" t="n">
        <x:v>0.27</x:v>
      </x:c>
      <x:c r="L53" s="40"/>
      <x:c r="M53" s="40"/>
      <x:c r="N53" s="39" t="n">
        <x:f>IF(L53&lt;&gt;"",L53,IF(H53&lt;&gt;"Isotropic","",IF(OR(J53="",K53=""),"",J53/(2*(1+K53)))))</x:f>
        <x:v>33.85826771653543</x:v>
      </x:c>
      <x:c r="O53" s="39" t="n">
        <x:f>IF(M53&lt;&gt;"",M53,IF(H53&lt;&gt;"Isotropic","",IF(OR(J53="",K53="",K53&gt;=0.5),"",J53/(3*(1-2*K53)))))</x:f>
        <x:v>62.31884057971015</x:v>
      </x:c>
      <x:c r="P53" s="35" t="n">
        <x:v>210</x:v>
      </x:c>
      <x:c r="Q53" s="35" t="n">
        <x:v>283</x:v>
      </x:c>
      <x:c r="R53" s="35"/>
      <x:c r="S53" s="35"/>
      <x:c r="T53" s="36" t="n">
        <x:v>0.1</x:v>
      </x:c>
      <x:c r="U53" s="35" t="n">
        <x:v>18</x:v>
      </x:c>
      <x:c r="V53" s="35" t="n">
        <x:v>113</x:v>
      </x:c>
      <x:c r="W53" s="35" t="n">
        <x:v>420</x:v>
      </x:c>
      <x:c r="X53" s="35" t="n">
        <x:v>27.4</x:v>
      </x:c>
      <x:c r="Y53" s="37" t="n">
        <x:v>6.4e-8</x:v>
      </x:c>
      <x:c r="Z53" s="38" t="n">
        <x:v>385</x:v>
      </x:c>
      <x:c r="AA53" s="38" t="n">
        <x:v>95</x:v>
      </x:c>
      <x:c r="AB53" s="38" t="n">
        <x:v>82</x:v>
      </x:c>
      <x:c r="AC53" s="32" t="n">
        <x:v>1</x:v>
      </x:c>
      <x:c r="AD53" s="32" t="str">
        <x:v>Approximate</x:v>
      </x:c>
      <x:c r="AE53" s="8" t="str">
        <x:v>Creep and temperature sensitivity are important for zinc castings.</x:v>
      </x:c>
      <x:c r="AF53" s="8" t="str">
        <x:f>IFERROR(VLOOKUP(AC53,'Sources'!$A$2:$E$12,5,FALSE),"")</x:f>
        <x:v>https://www.matweb.com/search/MaterialGroupSearch.aspx</x:v>
      </x:c>
      <x:c r="AG53" s="32" t="b">
        <x:f>COUNTIF($A$2:$A$127,A53)&gt;1</x:f>
        <x:v>0</x:v>
      </x:c>
    </x:row>
    <x:row r="54">
      <x:c r="A54" s="33" t="n">
        <x:v>2502</x:v>
      </x:c>
      <x:c r="B54" s="32" t="str">
        <x:v>LEAD_PURE</x:v>
      </x:c>
      <x:c r="C54" s="32" t="str">
        <x:v>Pure lead</x:v>
      </x:c>
      <x:c r="D54" s="32" t="str">
        <x:v>Nonferrous metal</x:v>
      </x:c>
      <x:c r="E54" s="32" t="str">
        <x:v>Lead</x:v>
      </x:c>
      <x:c r="F54" s="32" t="str">
        <x:v>Pb, commercially pure</x:v>
      </x:c>
      <x:c r="G54" s="32" t="str">
        <x:v>Annealed</x:v>
      </x:c>
      <x:c r="H54" s="32" t="str">
        <x:v>Isotropic</x:v>
      </x:c>
      <x:c r="I54" s="34" t="n">
        <x:v>11340</x:v>
      </x:c>
      <x:c r="J54" s="35" t="n">
        <x:v>16</x:v>
      </x:c>
      <x:c r="K54" s="35" t="n">
        <x:v>0.44</x:v>
      </x:c>
      <x:c r="L54" s="40"/>
      <x:c r="M54" s="40"/>
      <x:c r="N54" s="39" t="n">
        <x:f>IF(L54&lt;&gt;"",L54,IF(H54&lt;&gt;"Isotropic","",IF(OR(J54="",K54=""),"",J54/(2*(1+K54)))))</x:f>
        <x:v>5.555555555555555</x:v>
      </x:c>
      <x:c r="O54" s="39" t="n">
        <x:f>IF(M54&lt;&gt;"",M54,IF(H54&lt;&gt;"Isotropic","",IF(OR(J54="",K54="",K54&gt;=0.5),"",J54/(3*(1-2*K54)))))</x:f>
        <x:v>44.44444444444444</x:v>
      </x:c>
      <x:c r="P54" s="35" t="n">
        <x:v>12</x:v>
      </x:c>
      <x:c r="Q54" s="35" t="n">
        <x:v>18</x:v>
      </x:c>
      <x:c r="R54" s="35"/>
      <x:c r="S54" s="35"/>
      <x:c r="T54" s="36" t="n">
        <x:v>0.5</x:v>
      </x:c>
      <x:c r="U54" s="35" t="n">
        <x:v>8</x:v>
      </x:c>
      <x:c r="V54" s="35" t="n">
        <x:v>35</x:v>
      </x:c>
      <x:c r="W54" s="35" t="n">
        <x:v>128</x:v>
      </x:c>
      <x:c r="X54" s="35" t="n">
        <x:v>28.9</x:v>
      </x:c>
      <x:c r="Y54" s="37" t="n">
        <x:v>2.08e-7</x:v>
      </x:c>
      <x:c r="Z54" s="38" t="n">
        <x:v>327</x:v>
      </x:c>
      <x:c r="AA54" s="38" t="n">
        <x:v>100</x:v>
      </x:c>
      <x:c r="AB54" s="38" t="n">
        <x:v>5</x:v>
      </x:c>
      <x:c r="AC54" s="32" t="n">
        <x:v>1</x:v>
      </x:c>
      <x:c r="AD54" s="32" t="str">
        <x:v>Approximate</x:v>
      </x:c>
      <x:c r="AE54" s="8" t="str">
        <x:v>Very low strength with substantial creep at room temperature.</x:v>
      </x:c>
      <x:c r="AF54" s="8" t="str">
        <x:f>IFERROR(VLOOKUP(AC54,'Sources'!$A$2:$E$12,5,FALSE),"")</x:f>
        <x:v>https://www.matweb.com/search/MaterialGroupSearch.aspx</x:v>
      </x:c>
      <x:c r="AG54" s="32" t="b">
        <x:f>COUNTIF($A$2:$A$127,A54)&gt;1</x:f>
        <x:v>0</x:v>
      </x:c>
    </x:row>
    <x:row r="55">
      <x:c r="A55" s="33" t="n">
        <x:v>2503</x:v>
      </x:c>
      <x:c r="B55" s="32" t="str">
        <x:v>TIN_PURE</x:v>
      </x:c>
      <x:c r="C55" s="32" t="str">
        <x:v>Pure tin</x:v>
      </x:c>
      <x:c r="D55" s="32" t="str">
        <x:v>Nonferrous metal</x:v>
      </x:c>
      <x:c r="E55" s="32" t="str">
        <x:v>Tin</x:v>
      </x:c>
      <x:c r="F55" s="32" t="str">
        <x:v>Sn, commercially pure</x:v>
      </x:c>
      <x:c r="G55" s="32" t="str">
        <x:v>Annealed</x:v>
      </x:c>
      <x:c r="H55" s="32" t="str">
        <x:v>Isotropic</x:v>
      </x:c>
      <x:c r="I55" s="34" t="n">
        <x:v>7310</x:v>
      </x:c>
      <x:c r="J55" s="35" t="n">
        <x:v>50</x:v>
      </x:c>
      <x:c r="K55" s="35" t="n">
        <x:v>0.36</x:v>
      </x:c>
      <x:c r="L55" s="40"/>
      <x:c r="M55" s="40"/>
      <x:c r="N55" s="39" t="n">
        <x:f>IF(L55&lt;&gt;"",L55,IF(H55&lt;&gt;"Isotropic","",IF(OR(J55="",K55=""),"",J55/(2*(1+K55)))))</x:f>
        <x:v>18.38235294117647</x:v>
      </x:c>
      <x:c r="O55" s="39" t="n">
        <x:f>IF(M55&lt;&gt;"",M55,IF(H55&lt;&gt;"Isotropic","",IF(OR(J55="",K55="",K55&gt;=0.5),"",J55/(3*(1-2*K55)))))</x:f>
        <x:v>59.52380952380952</x:v>
      </x:c>
      <x:c r="P55" s="35" t="n">
        <x:v>11</x:v>
      </x:c>
      <x:c r="Q55" s="35" t="n">
        <x:v>20</x:v>
      </x:c>
      <x:c r="R55" s="35"/>
      <x:c r="S55" s="35"/>
      <x:c r="T55" s="36" t="n">
        <x:v>0.4</x:v>
      </x:c>
      <x:c r="U55" s="35" t="n">
        <x:v>15</x:v>
      </x:c>
      <x:c r="V55" s="35" t="n">
        <x:v>67</x:v>
      </x:c>
      <x:c r="W55" s="35" t="n">
        <x:v>230</x:v>
      </x:c>
      <x:c r="X55" s="35" t="n">
        <x:v>22</x:v>
      </x:c>
      <x:c r="Y55" s="37" t="n">
        <x:v>1.15e-7</x:v>
      </x:c>
      <x:c r="Z55" s="38" t="n">
        <x:v>232</x:v>
      </x:c>
      <x:c r="AA55" s="38" t="n">
        <x:v>100</x:v>
      </x:c>
      <x:c r="AB55" s="38" t="n">
        <x:v>9</x:v>
      </x:c>
      <x:c r="AC55" s="32" t="n">
        <x:v>1</x:v>
      </x:c>
      <x:c r="AD55" s="32" t="str">
        <x:v>Approximate</x:v>
      </x:c>
      <x:c r="AE55" s="8" t="str">
        <x:v>Allotropy and creep can be important.</x:v>
      </x:c>
      <x:c r="AF55" s="8" t="str">
        <x:f>IFERROR(VLOOKUP(AC55,'Sources'!$A$2:$E$12,5,FALSE),"")</x:f>
        <x:v>https://www.matweb.com/search/MaterialGroupSearch.aspx</x:v>
      </x:c>
      <x:c r="AG55" s="32" t="b">
        <x:f>COUNTIF($A$2:$A$127,A55)&gt;1</x:f>
        <x:v>0</x:v>
      </x:c>
    </x:row>
    <x:row r="56">
      <x:c r="A56" s="33" t="n">
        <x:v>3001</x:v>
      </x:c>
      <x:c r="B56" s="32" t="str">
        <x:v>POLYMER_ABS</x:v>
      </x:c>
      <x:c r="C56" s="32" t="str">
        <x:v>ABS, general purpose</x:v>
      </x:c>
      <x:c r="D56" s="32" t="str">
        <x:v>Polymer</x:v>
      </x:c>
      <x:c r="E56" s="32" t="str">
        <x:v>Thermoplastic</x:v>
      </x:c>
      <x:c r="F56" s="32" t="str">
        <x:v>ABS</x:v>
      </x:c>
      <x:c r="G56" s="32" t="str">
        <x:v>Injection molded, dry</x:v>
      </x:c>
      <x:c r="H56" s="32" t="str">
        <x:v>Isotropic</x:v>
      </x:c>
      <x:c r="I56" s="34" t="n">
        <x:v>1040</x:v>
      </x:c>
      <x:c r="J56" s="35" t="n">
        <x:v>2.1</x:v>
      </x:c>
      <x:c r="K56" s="35" t="n">
        <x:v>0.35</x:v>
      </x:c>
      <x:c r="L56" s="40"/>
      <x:c r="M56" s="40"/>
      <x:c r="N56" s="39" t="n">
        <x:f>IF(L56&lt;&gt;"",L56,IF(H56&lt;&gt;"Isotropic","",IF(OR(J56="",K56=""),"",J56/(2*(1+K56)))))</x:f>
        <x:v>0.7777777777777778</x:v>
      </x:c>
      <x:c r="O56" s="39" t="n">
        <x:f>IF(M56&lt;&gt;"",M56,IF(H56&lt;&gt;"Isotropic","",IF(OR(J56="",K56="",K56&gt;=0.5),"",J56/(3*(1-2*K56)))))</x:f>
        <x:v>2.333333333333333</x:v>
      </x:c>
      <x:c r="P56" s="35" t="n">
        <x:v>42</x:v>
      </x:c>
      <x:c r="Q56" s="35" t="n">
        <x:v>45</x:v>
      </x:c>
      <x:c r="R56" s="35" t="n">
        <x:v>65</x:v>
      </x:c>
      <x:c r="S56" s="35" t="n">
        <x:v>70</x:v>
      </x:c>
      <x:c r="T56" s="36" t="n">
        <x:v>0.2</x:v>
      </x:c>
      <x:c r="U56" s="35" t="n">
        <x:v>3</x:v>
      </x:c>
      <x:c r="V56" s="35" t="n">
        <x:v>0.18</x:v>
      </x:c>
      <x:c r="W56" s="35" t="n">
        <x:v>1300</x:v>
      </x:c>
      <x:c r="X56" s="35" t="n">
        <x:v>90</x:v>
      </x:c>
      <x:c r="Y56" s="37" t="n">
        <x:v>100000000000000</x:v>
      </x:c>
      <x:c r="Z56" s="38" t="n">
        <x:v>105</x:v>
      </x:c>
      <x:c r="AA56" s="38" t="n">
        <x:v>80</x:v>
      </x:c>
      <x:c r="AB56" s="38"/>
      <x:c r="AC56" s="32" t="n">
        <x:v>5</x:v>
      </x:c>
      <x:c r="AD56" s="32" t="str">
        <x:v>Approximate</x:v>
      </x:c>
      <x:c r="AE56" s="8" t="str">
        <x:v>Generic unfilled grade; value ranges across suppliers and processing.</x:v>
      </x:c>
      <x:c r="AF56" s="8" t="str">
        <x:f>IFERROR(VLOOKUP(AC56,'Sources'!$A$2:$E$12,5,FALSE),"")</x:f>
        <x:v>https://www.campusplastics.com/</x:v>
      </x:c>
      <x:c r="AG56" s="32" t="b">
        <x:f>COUNTIF($A$2:$A$127,A56)&gt;1</x:f>
        <x:v>0</x:v>
      </x:c>
    </x:row>
    <x:row r="57">
      <x:c r="A57" s="33" t="n">
        <x:v>3002</x:v>
      </x:c>
      <x:c r="B57" s="32" t="str">
        <x:v>POLYMER_PLA</x:v>
      </x:c>
      <x:c r="C57" s="32" t="str">
        <x:v>PLA, general purpose</x:v>
      </x:c>
      <x:c r="D57" s="32" t="str">
        <x:v>Polymer</x:v>
      </x:c>
      <x:c r="E57" s="32" t="str">
        <x:v>Thermoplastic</x:v>
      </x:c>
      <x:c r="F57" s="32" t="str">
        <x:v>PLA</x:v>
      </x:c>
      <x:c r="G57" s="32" t="str">
        <x:v>Injection molded/printed bulk screening</x:v>
      </x:c>
      <x:c r="H57" s="32" t="str">
        <x:v>Isotropic</x:v>
      </x:c>
      <x:c r="I57" s="34" t="n">
        <x:v>1240</x:v>
      </x:c>
      <x:c r="J57" s="35" t="n">
        <x:v>3.5</x:v>
      </x:c>
      <x:c r="K57" s="35" t="n">
        <x:v>0.36</x:v>
      </x:c>
      <x:c r="L57" s="40"/>
      <x:c r="M57" s="40"/>
      <x:c r="N57" s="39" t="n">
        <x:f>IF(L57&lt;&gt;"",L57,IF(H57&lt;&gt;"Isotropic","",IF(OR(J57="",K57=""),"",J57/(2*(1+K57)))))</x:f>
        <x:v>1.286764705882353</x:v>
      </x:c>
      <x:c r="O57" s="39" t="n">
        <x:f>IF(M57&lt;&gt;"",M57,IF(H57&lt;&gt;"Isotropic","",IF(OR(J57="",K57="",K57&gt;=0.5),"",J57/(3*(1-2*K57)))))</x:f>
        <x:v>4.166666666666666</x:v>
      </x:c>
      <x:c r="P57" s="35" t="n">
        <x:v>60</x:v>
      </x:c>
      <x:c r="Q57" s="35" t="n">
        <x:v>60</x:v>
      </x:c>
      <x:c r="R57" s="35" t="n">
        <x:v>80</x:v>
      </x:c>
      <x:c r="S57" s="35" t="n">
        <x:v>95</x:v>
      </x:c>
      <x:c r="T57" s="36" t="n">
        <x:v>0.06</x:v>
      </x:c>
      <x:c r="U57" s="35" t="n">
        <x:v>2.5</x:v>
      </x:c>
      <x:c r="V57" s="35" t="n">
        <x:v>0.13</x:v>
      </x:c>
      <x:c r="W57" s="35" t="n">
        <x:v>1800</x:v>
      </x:c>
      <x:c r="X57" s="35" t="n">
        <x:v>68</x:v>
      </x:c>
      <x:c r="Y57" s="37" t="n">
        <x:v>100000000000000</x:v>
      </x:c>
      <x:c r="Z57" s="38" t="n">
        <x:v>160</x:v>
      </x:c>
      <x:c r="AA57" s="38" t="n">
        <x:v>50</x:v>
      </x:c>
      <x:c r="AB57" s="38"/>
      <x:c r="AC57" s="32" t="n">
        <x:v>5</x:v>
      </x:c>
      <x:c r="AD57" s="32" t="str">
        <x:v>Approximate</x:v>
      </x:c>
      <x:c r="AE57" s="8" t="str">
        <x:v>Printing orientation and crystallinity can dominate properties.</x:v>
      </x:c>
      <x:c r="AF57" s="8" t="str">
        <x:f>IFERROR(VLOOKUP(AC57,'Sources'!$A$2:$E$12,5,FALSE),"")</x:f>
        <x:v>https://www.campusplastics.com/</x:v>
      </x:c>
      <x:c r="AG57" s="32" t="b">
        <x:f>COUNTIF($A$2:$A$127,A57)&gt;1</x:f>
        <x:v>0</x:v>
      </x:c>
    </x:row>
    <x:row r="58">
      <x:c r="A58" s="33" t="n">
        <x:v>3003</x:v>
      </x:c>
      <x:c r="B58" s="32" t="str">
        <x:v>POLYMER_HIPS</x:v>
      </x:c>
      <x:c r="C58" s="32" t="str">
        <x:v>High-impact polystyrene</x:v>
      </x:c>
      <x:c r="D58" s="32" t="str">
        <x:v>Polymer</x:v>
      </x:c>
      <x:c r="E58" s="32" t="str">
        <x:v>Thermoplastic</x:v>
      </x:c>
      <x:c r="F58" s="32" t="str">
        <x:v>HIPS</x:v>
      </x:c>
      <x:c r="G58" s="32" t="str">
        <x:v>Injection molded</x:v>
      </x:c>
      <x:c r="H58" s="32" t="str">
        <x:v>Isotropic</x:v>
      </x:c>
      <x:c r="I58" s="34" t="n">
        <x:v>1040</x:v>
      </x:c>
      <x:c r="J58" s="35" t="n">
        <x:v>2</x:v>
      </x:c>
      <x:c r="K58" s="35" t="n">
        <x:v>0.34</x:v>
      </x:c>
      <x:c r="L58" s="40"/>
      <x:c r="M58" s="40"/>
      <x:c r="N58" s="39" t="n">
        <x:f>IF(L58&lt;&gt;"",L58,IF(H58&lt;&gt;"Isotropic","",IF(OR(J58="",K58=""),"",J58/(2*(1+K58)))))</x:f>
        <x:v>0.7462686567164178</x:v>
      </x:c>
      <x:c r="O58" s="39" t="n">
        <x:f>IF(M58&lt;&gt;"",M58,IF(H58&lt;&gt;"Isotropic","",IF(OR(J58="",K58="",K58&gt;=0.5),"",J58/(3*(1-2*K58)))))</x:f>
        <x:v>2.0833333333333335</x:v>
      </x:c>
      <x:c r="P58" s="35" t="n">
        <x:v>25</x:v>
      </x:c>
      <x:c r="Q58" s="35" t="n">
        <x:v>32</x:v>
      </x:c>
      <x:c r="R58" s="35" t="n">
        <x:v>55</x:v>
      </x:c>
      <x:c r="S58" s="35" t="n">
        <x:v>45</x:v>
      </x:c>
      <x:c r="T58" s="36" t="n">
        <x:v>0.4</x:v>
      </x:c>
      <x:c r="U58" s="35" t="n">
        <x:v>2.5</x:v>
      </x:c>
      <x:c r="V58" s="35" t="n">
        <x:v>0.17</x:v>
      </x:c>
      <x:c r="W58" s="35" t="n">
        <x:v>1300</x:v>
      </x:c>
      <x:c r="X58" s="35" t="n">
        <x:v>80</x:v>
      </x:c>
      <x:c r="Y58" s="37" t="n">
        <x:v>100000000000000</x:v>
      </x:c>
      <x:c r="Z58" s="38" t="n">
        <x:v>95</x:v>
      </x:c>
      <x:c r="AA58" s="38" t="n">
        <x:v>75</x:v>
      </x:c>
      <x:c r="AB58" s="38"/>
      <x:c r="AC58" s="32" t="n">
        <x:v>5</x:v>
      </x:c>
      <x:c r="AD58" s="32" t="str">
        <x:v>Approximate</x:v>
      </x:c>
      <x:c r="AE58" s="8" t="str">
        <x:v>Generic unfilled grade.</x:v>
      </x:c>
      <x:c r="AF58" s="8" t="str">
        <x:f>IFERROR(VLOOKUP(AC58,'Sources'!$A$2:$E$12,5,FALSE),"")</x:f>
        <x:v>https://www.campusplastics.com/</x:v>
      </x:c>
      <x:c r="AG58" s="32" t="b">
        <x:f>COUNTIF($A$2:$A$127,A58)&gt;1</x:f>
        <x:v>0</x:v>
      </x:c>
    </x:row>
    <x:row r="59">
      <x:c r="A59" s="33" t="n">
        <x:v>3004</x:v>
      </x:c>
      <x:c r="B59" s="32" t="str">
        <x:v>POLYMER_HDPE</x:v>
      </x:c>
      <x:c r="C59" s="32" t="str">
        <x:v>High-density polyethylene</x:v>
      </x:c>
      <x:c r="D59" s="32" t="str">
        <x:v>Polymer</x:v>
      </x:c>
      <x:c r="E59" s="32" t="str">
        <x:v>Thermoplastic</x:v>
      </x:c>
      <x:c r="F59" s="32" t="str">
        <x:v>HDPE</x:v>
      </x:c>
      <x:c r="G59" s="32" t="str">
        <x:v>Molded, unfilled</x:v>
      </x:c>
      <x:c r="H59" s="32" t="str">
        <x:v>Isotropic</x:v>
      </x:c>
      <x:c r="I59" s="34" t="n">
        <x:v>950</x:v>
      </x:c>
      <x:c r="J59" s="35" t="n">
        <x:v>1</x:v>
      </x:c>
      <x:c r="K59" s="35" t="n">
        <x:v>0.46</x:v>
      </x:c>
      <x:c r="L59" s="40"/>
      <x:c r="M59" s="40"/>
      <x:c r="N59" s="39" t="n">
        <x:f>IF(L59&lt;&gt;"",L59,IF(H59&lt;&gt;"Isotropic","",IF(OR(J59="",K59=""),"",J59/(2*(1+K59)))))</x:f>
        <x:v>0.3424657534246575</x:v>
      </x:c>
      <x:c r="O59" s="39" t="n">
        <x:f>IF(M59&lt;&gt;"",M59,IF(H59&lt;&gt;"Isotropic","",IF(OR(J59="",K59="",K59&gt;=0.5),"",J59/(3*(1-2*K59)))))</x:f>
        <x:v>4.166666666666669</x:v>
      </x:c>
      <x:c r="P59" s="35" t="n">
        <x:v>26</x:v>
      </x:c>
      <x:c r="Q59" s="35" t="n">
        <x:v>32</x:v>
      </x:c>
      <x:c r="R59" s="35" t="n">
        <x:v>22</x:v>
      </x:c>
      <x:c r="S59" s="35" t="n">
        <x:v>30</x:v>
      </x:c>
      <x:c r="T59" s="36" t="n">
        <x:v>6</x:v>
      </x:c>
      <x:c r="U59" s="35" t="n">
        <x:v>3</x:v>
      </x:c>
      <x:c r="V59" s="35" t="n">
        <x:v>0.5</x:v>
      </x:c>
      <x:c r="W59" s="35" t="n">
        <x:v>1900</x:v>
      </x:c>
      <x:c r="X59" s="35" t="n">
        <x:v>120</x:v>
      </x:c>
      <x:c r="Y59" s="37" t="n">
        <x:v>10000000000000000</x:v>
      </x:c>
      <x:c r="Z59" s="38" t="n">
        <x:v>130</x:v>
      </x:c>
      <x:c r="AA59" s="38" t="n">
        <x:v>80</x:v>
      </x:c>
      <x:c r="AB59" s="38"/>
      <x:c r="AC59" s="32" t="n">
        <x:v>5</x:v>
      </x:c>
      <x:c r="AD59" s="32" t="str">
        <x:v>Approximate</x:v>
      </x:c>
      <x:c r="AE59" s="8" t="str">
        <x:v>Viscoelastic; modulus and strength depend strongly on time and temperature.</x:v>
      </x:c>
      <x:c r="AF59" s="8" t="str">
        <x:f>IFERROR(VLOOKUP(AC59,'Sources'!$A$2:$E$12,5,FALSE),"")</x:f>
        <x:v>https://www.campusplastics.com/</x:v>
      </x:c>
      <x:c r="AG59" s="32" t="b">
        <x:f>COUNTIF($A$2:$A$127,A59)&gt;1</x:f>
        <x:v>0</x:v>
      </x:c>
    </x:row>
    <x:row r="60">
      <x:c r="A60" s="33" t="n">
        <x:v>3005</x:v>
      </x:c>
      <x:c r="B60" s="32" t="str">
        <x:v>POLYMER_LDPE</x:v>
      </x:c>
      <x:c r="C60" s="32" t="str">
        <x:v>Low-density polyethylene</x:v>
      </x:c>
      <x:c r="D60" s="32" t="str">
        <x:v>Polymer</x:v>
      </x:c>
      <x:c r="E60" s="32" t="str">
        <x:v>Thermoplastic</x:v>
      </x:c>
      <x:c r="F60" s="32" t="str">
        <x:v>LDPE</x:v>
      </x:c>
      <x:c r="G60" s="32" t="str">
        <x:v>Molded, unfilled</x:v>
      </x:c>
      <x:c r="H60" s="32" t="str">
        <x:v>Isotropic</x:v>
      </x:c>
      <x:c r="I60" s="34" t="n">
        <x:v>920</x:v>
      </x:c>
      <x:c r="J60" s="35" t="n">
        <x:v>0.25</x:v>
      </x:c>
      <x:c r="K60" s="35" t="n">
        <x:v>0.46</x:v>
      </x:c>
      <x:c r="L60" s="40"/>
      <x:c r="M60" s="40"/>
      <x:c r="N60" s="39" t="n">
        <x:f>IF(L60&lt;&gt;"",L60,IF(H60&lt;&gt;"Isotropic","",IF(OR(J60="",K60=""),"",J60/(2*(1+K60)))))</x:f>
        <x:v>0.08561643835616438</x:v>
      </x:c>
      <x:c r="O60" s="39" t="n">
        <x:f>IF(M60&lt;&gt;"",M60,IF(H60&lt;&gt;"Isotropic","",IF(OR(J60="",K60="",K60&gt;=0.5),"",J60/(3*(1-2*K60)))))</x:f>
        <x:v>1.0416666666666672</x:v>
      </x:c>
      <x:c r="P60" s="35" t="n">
        <x:v>10</x:v>
      </x:c>
      <x:c r="Q60" s="35" t="n">
        <x:v>15</x:v>
      </x:c>
      <x:c r="R60" s="35" t="n">
        <x:v>12</x:v>
      </x:c>
      <x:c r="S60" s="35" t="n">
        <x:v>10</x:v>
      </x:c>
      <x:c r="T60" s="36" t="n">
        <x:v>5</x:v>
      </x:c>
      <x:c r="U60" s="35" t="n">
        <x:v>2</x:v>
      </x:c>
      <x:c r="V60" s="35" t="n">
        <x:v>0.33</x:v>
      </x:c>
      <x:c r="W60" s="35" t="n">
        <x:v>2300</x:v>
      </x:c>
      <x:c r="X60" s="35" t="n">
        <x:v>180</x:v>
      </x:c>
      <x:c r="Y60" s="37" t="n">
        <x:v>10000000000000000</x:v>
      </x:c>
      <x:c r="Z60" s="38" t="n">
        <x:v>110</x:v>
      </x:c>
      <x:c r="AA60" s="38" t="n">
        <x:v>65</x:v>
      </x:c>
      <x:c r="AB60" s="38"/>
      <x:c r="AC60" s="32" t="n">
        <x:v>5</x:v>
      </x:c>
      <x:c r="AD60" s="32" t="str">
        <x:v>Approximate</x:v>
      </x:c>
      <x:c r="AE60" s="8" t="str">
        <x:v>Viscoelastic generic grade.</x:v>
      </x:c>
      <x:c r="AF60" s="8" t="str">
        <x:f>IFERROR(VLOOKUP(AC60,'Sources'!$A$2:$E$12,5,FALSE),"")</x:f>
        <x:v>https://www.campusplastics.com/</x:v>
      </x:c>
      <x:c r="AG60" s="32" t="b">
        <x:f>COUNTIF($A$2:$A$127,A60)&gt;1</x:f>
        <x:v>0</x:v>
      </x:c>
    </x:row>
    <x:row r="61">
      <x:c r="A61" s="33" t="n">
        <x:v>3006</x:v>
      </x:c>
      <x:c r="B61" s="32" t="str">
        <x:v>POLYMER_UHMWPE</x:v>
      </x:c>
      <x:c r="C61" s="32" t="str">
        <x:v>Ultra-high-molecular-weight polyethylene</x:v>
      </x:c>
      <x:c r="D61" s="32" t="str">
        <x:v>Polymer</x:v>
      </x:c>
      <x:c r="E61" s="32" t="str">
        <x:v>Thermoplastic</x:v>
      </x:c>
      <x:c r="F61" s="32" t="str">
        <x:v>UHMWPE</x:v>
      </x:c>
      <x:c r="G61" s="32" t="str">
        <x:v>Compression molded</x:v>
      </x:c>
      <x:c r="H61" s="32" t="str">
        <x:v>Isotropic</x:v>
      </x:c>
      <x:c r="I61" s="34" t="n">
        <x:v>940</x:v>
      </x:c>
      <x:c r="J61" s="35" t="n">
        <x:v>0.8</x:v>
      </x:c>
      <x:c r="K61" s="35" t="n">
        <x:v>0.46</x:v>
      </x:c>
      <x:c r="L61" s="40"/>
      <x:c r="M61" s="40"/>
      <x:c r="N61" s="39" t="n">
        <x:f>IF(L61&lt;&gt;"",L61,IF(H61&lt;&gt;"Isotropic","",IF(OR(J61="",K61=""),"",J61/(2*(1+K61)))))</x:f>
        <x:v>0.27397260273972607</x:v>
      </x:c>
      <x:c r="O61" s="39" t="n">
        <x:f>IF(M61&lt;&gt;"",M61,IF(H61&lt;&gt;"Isotropic","",IF(OR(J61="",K61="",K61&gt;=0.5),"",J61/(3*(1-2*K61)))))</x:f>
        <x:v>3.3333333333333353</x:v>
      </x:c>
      <x:c r="P61" s="35" t="n">
        <x:v>21</x:v>
      </x:c>
      <x:c r="Q61" s="35" t="n">
        <x:v>40</x:v>
      </x:c>
      <x:c r="R61" s="35" t="n">
        <x:v>20</x:v>
      </x:c>
      <x:c r="S61" s="35" t="n">
        <x:v>25</x:v>
      </x:c>
      <x:c r="T61" s="36" t="n">
        <x:v>3</x:v>
      </x:c>
      <x:c r="U61" s="35" t="n">
        <x:v>4</x:v>
      </x:c>
      <x:c r="V61" s="35" t="n">
        <x:v>0.42</x:v>
      </x:c>
      <x:c r="W61" s="35" t="n">
        <x:v>1900</x:v>
      </x:c>
      <x:c r="X61" s="35" t="n">
        <x:v>150</x:v>
      </x:c>
      <x:c r="Y61" s="37" t="n">
        <x:v>10000000000000000</x:v>
      </x:c>
      <x:c r="Z61" s="38" t="n">
        <x:v>135</x:v>
      </x:c>
      <x:c r="AA61" s="38" t="n">
        <x:v>80</x:v>
      </x:c>
      <x:c r="AB61" s="38"/>
      <x:c r="AC61" s="32" t="n">
        <x:v>5</x:v>
      </x:c>
      <x:c r="AD61" s="32" t="str">
        <x:v>Approximate</x:v>
      </x:c>
      <x:c r="AE61" s="8" t="str">
        <x:v>Wear-grade properties vary with molecular weight and processing.</x:v>
      </x:c>
      <x:c r="AF61" s="8" t="str">
        <x:f>IFERROR(VLOOKUP(AC61,'Sources'!$A$2:$E$12,5,FALSE),"")</x:f>
        <x:v>https://www.campusplastics.com/</x:v>
      </x:c>
      <x:c r="AG61" s="32" t="b">
        <x:f>COUNTIF($A$2:$A$127,A61)&gt;1</x:f>
        <x:v>0</x:v>
      </x:c>
    </x:row>
    <x:row r="62">
      <x:c r="A62" s="33" t="n">
        <x:v>3007</x:v>
      </x:c>
      <x:c r="B62" s="32" t="str">
        <x:v>POLYMER_PP_HOMOPOLYMER</x:v>
      </x:c>
      <x:c r="C62" s="32" t="str">
        <x:v>Polypropylene homopolymer</x:v>
      </x:c>
      <x:c r="D62" s="32" t="str">
        <x:v>Polymer</x:v>
      </x:c>
      <x:c r="E62" s="32" t="str">
        <x:v>Thermoplastic</x:v>
      </x:c>
      <x:c r="F62" s="32" t="str">
        <x:v>PP-H</x:v>
      </x:c>
      <x:c r="G62" s="32" t="str">
        <x:v>Injection molded, unfilled</x:v>
      </x:c>
      <x:c r="H62" s="32" t="str">
        <x:v>Isotropic</x:v>
      </x:c>
      <x:c r="I62" s="34" t="n">
        <x:v>905</x:v>
      </x:c>
      <x:c r="J62" s="35" t="n">
        <x:v>1.5</x:v>
      </x:c>
      <x:c r="K62" s="35" t="n">
        <x:v>0.42</x:v>
      </x:c>
      <x:c r="L62" s="40"/>
      <x:c r="M62" s="40"/>
      <x:c r="N62" s="39" t="n">
        <x:f>IF(L62&lt;&gt;"",L62,IF(H62&lt;&gt;"Isotropic","",IF(OR(J62="",K62=""),"",J62/(2*(1+K62)))))</x:f>
        <x:v>0.5281690140845071</x:v>
      </x:c>
      <x:c r="O62" s="39" t="n">
        <x:f>IF(M62&lt;&gt;"",M62,IF(H62&lt;&gt;"Isotropic","",IF(OR(J62="",K62="",K62&gt;=0.5),"",J62/(3*(1-2*K62)))))</x:f>
        <x:v>3.1249999999999996</x:v>
      </x:c>
      <x:c r="P62" s="35" t="n">
        <x:v>35</x:v>
      </x:c>
      <x:c r="Q62" s="35" t="n">
        <x:v>38</x:v>
      </x:c>
      <x:c r="R62" s="35" t="n">
        <x:v>50</x:v>
      </x:c>
      <x:c r="S62" s="35" t="n">
        <x:v>50</x:v>
      </x:c>
      <x:c r="T62" s="36" t="n">
        <x:v>2</x:v>
      </x:c>
      <x:c r="U62" s="35" t="n">
        <x:v>3</x:v>
      </x:c>
      <x:c r="V62" s="35" t="n">
        <x:v>0.22</x:v>
      </x:c>
      <x:c r="W62" s="35" t="n">
        <x:v>1900</x:v>
      </x:c>
      <x:c r="X62" s="35" t="n">
        <x:v>100</x:v>
      </x:c>
      <x:c r="Y62" s="37" t="n">
        <x:v>1000000000000000</x:v>
      </x:c>
      <x:c r="Z62" s="38" t="n">
        <x:v>165</x:v>
      </x:c>
      <x:c r="AA62" s="38" t="n">
        <x:v>100</x:v>
      </x:c>
      <x:c r="AB62" s="38"/>
      <x:c r="AC62" s="32" t="n">
        <x:v>5</x:v>
      </x:c>
      <x:c r="AD62" s="32" t="str">
        <x:v>Approximate</x:v>
      </x:c>
      <x:c r="AE62" s="8" t="str">
        <x:v>Generic unfilled grade; creep is significant.</x:v>
      </x:c>
      <x:c r="AF62" s="8" t="str">
        <x:f>IFERROR(VLOOKUP(AC62,'Sources'!$A$2:$E$12,5,FALSE),"")</x:f>
        <x:v>https://www.campusplastics.com/</x:v>
      </x:c>
      <x:c r="AG62" s="32" t="b">
        <x:f>COUNTIF($A$2:$A$127,A62)&gt;1</x:f>
        <x:v>0</x:v>
      </x:c>
    </x:row>
    <x:row r="63">
      <x:c r="A63" s="33" t="n">
        <x:v>3008</x:v>
      </x:c>
      <x:c r="B63" s="32" t="str">
        <x:v>POLYMER_PVC_RIGID</x:v>
      </x:c>
      <x:c r="C63" s="32" t="str">
        <x:v>Rigid PVC</x:v>
      </x:c>
      <x:c r="D63" s="32" t="str">
        <x:v>Polymer</x:v>
      </x:c>
      <x:c r="E63" s="32" t="str">
        <x:v>Thermoplastic</x:v>
      </x:c>
      <x:c r="F63" s="32" t="str">
        <x:v>uPVC</x:v>
      </x:c>
      <x:c r="G63" s="32" t="str">
        <x:v>Extruded/molded, unplasticized</x:v>
      </x:c>
      <x:c r="H63" s="32" t="str">
        <x:v>Isotropic</x:v>
      </x:c>
      <x:c r="I63" s="34" t="n">
        <x:v>1400</x:v>
      </x:c>
      <x:c r="J63" s="35" t="n">
        <x:v>3</x:v>
      </x:c>
      <x:c r="K63" s="35" t="n">
        <x:v>0.38</x:v>
      </x:c>
      <x:c r="L63" s="40"/>
      <x:c r="M63" s="40"/>
      <x:c r="N63" s="39" t="n">
        <x:f>IF(L63&lt;&gt;"",L63,IF(H63&lt;&gt;"Isotropic","",IF(OR(J63="",K63=""),"",J63/(2*(1+K63)))))</x:f>
        <x:v>1.0869565217391306</x:v>
      </x:c>
      <x:c r="O63" s="39" t="n">
        <x:f>IF(M63&lt;&gt;"",M63,IF(H63&lt;&gt;"Isotropic","",IF(OR(J63="",K63="",K63&gt;=0.5),"",J63/(3*(1-2*K63)))))</x:f>
        <x:v>4.166666666666667</x:v>
      </x:c>
      <x:c r="P63" s="35" t="n">
        <x:v>50</x:v>
      </x:c>
      <x:c r="Q63" s="35" t="n">
        <x:v>55</x:v>
      </x:c>
      <x:c r="R63" s="35" t="n">
        <x:v>70</x:v>
      </x:c>
      <x:c r="S63" s="35" t="n">
        <x:v>80</x:v>
      </x:c>
      <x:c r="T63" s="36" t="n">
        <x:v>0.4</x:v>
      </x:c>
      <x:c r="U63" s="35" t="n">
        <x:v>2.5</x:v>
      </x:c>
      <x:c r="V63" s="35" t="n">
        <x:v>0.19</x:v>
      </x:c>
      <x:c r="W63" s="35" t="n">
        <x:v>900</x:v>
      </x:c>
      <x:c r="X63" s="35" t="n">
        <x:v>55</x:v>
      </x:c>
      <x:c r="Y63" s="37" t="n">
        <x:v>10000000000000</x:v>
      </x:c>
      <x:c r="Z63" s="38" t="n">
        <x:v>82</x:v>
      </x:c>
      <x:c r="AA63" s="38" t="n">
        <x:v>60</x:v>
      </x:c>
      <x:c r="AB63" s="38"/>
      <x:c r="AC63" s="32" t="n">
        <x:v>5</x:v>
      </x:c>
      <x:c r="AD63" s="32" t="str">
        <x:v>Approximate</x:v>
      </x:c>
      <x:c r="AE63" s="8" t="str">
        <x:v>Primary transition listed is Vicat/softening-type screening value.</x:v>
      </x:c>
      <x:c r="AF63" s="8" t="str">
        <x:f>IFERROR(VLOOKUP(AC63,'Sources'!$A$2:$E$12,5,FALSE),"")</x:f>
        <x:v>https://www.campusplastics.com/</x:v>
      </x:c>
      <x:c r="AG63" s="32" t="b">
        <x:f>COUNTIF($A$2:$A$127,A63)&gt;1</x:f>
        <x:v>0</x:v>
      </x:c>
    </x:row>
    <x:row r="64">
      <x:c r="A64" s="33" t="n">
        <x:v>3009</x:v>
      </x:c>
      <x:c r="B64" s="32" t="str">
        <x:v>POLYMER_CPVC</x:v>
      </x:c>
      <x:c r="C64" s="32" t="str">
        <x:v>Chlorinated PVC</x:v>
      </x:c>
      <x:c r="D64" s="32" t="str">
        <x:v>Polymer</x:v>
      </x:c>
      <x:c r="E64" s="32" t="str">
        <x:v>Thermoplastic</x:v>
      </x:c>
      <x:c r="F64" s="32" t="str">
        <x:v>CPVC</x:v>
      </x:c>
      <x:c r="G64" s="32" t="str">
        <x:v>Extruded/molded</x:v>
      </x:c>
      <x:c r="H64" s="32" t="str">
        <x:v>Isotropic</x:v>
      </x:c>
      <x:c r="I64" s="34" t="n">
        <x:v>1550</x:v>
      </x:c>
      <x:c r="J64" s="35" t="n">
        <x:v>2.8</x:v>
      </x:c>
      <x:c r="K64" s="35" t="n">
        <x:v>0.38</x:v>
      </x:c>
      <x:c r="L64" s="40"/>
      <x:c r="M64" s="40"/>
      <x:c r="N64" s="39" t="n">
        <x:f>IF(L64&lt;&gt;"",L64,IF(H64&lt;&gt;"Isotropic","",IF(OR(J64="",K64=""),"",J64/(2*(1+K64)))))</x:f>
        <x:v>1.0144927536231885</x:v>
      </x:c>
      <x:c r="O64" s="39" t="n">
        <x:f>IF(M64&lt;&gt;"",M64,IF(H64&lt;&gt;"Isotropic","",IF(OR(J64="",K64="",K64&gt;=0.5),"",J64/(3*(1-2*K64)))))</x:f>
        <x:v>3.888888888888889</x:v>
      </x:c>
      <x:c r="P64" s="35" t="n">
        <x:v>55</x:v>
      </x:c>
      <x:c r="Q64" s="35" t="n">
        <x:v>60</x:v>
      </x:c>
      <x:c r="R64" s="35" t="n">
        <x:v>80</x:v>
      </x:c>
      <x:c r="S64" s="35" t="n">
        <x:v>90</x:v>
      </x:c>
      <x:c r="T64" s="36" t="n">
        <x:v>0.3</x:v>
      </x:c>
      <x:c r="U64" s="35" t="n">
        <x:v>2.5</x:v>
      </x:c>
      <x:c r="V64" s="35" t="n">
        <x:v>0.14</x:v>
      </x:c>
      <x:c r="W64" s="35" t="n">
        <x:v>1000</x:v>
      </x:c>
      <x:c r="X64" s="35" t="n">
        <x:v>65</x:v>
      </x:c>
      <x:c r="Y64" s="37" t="n">
        <x:v>10000000000000</x:v>
      </x:c>
      <x:c r="Z64" s="38" t="n">
        <x:v>110</x:v>
      </x:c>
      <x:c r="AA64" s="38" t="n">
        <x:v>95</x:v>
      </x:c>
      <x:c r="AB64" s="38"/>
      <x:c r="AC64" s="32" t="n">
        <x:v>5</x:v>
      </x:c>
      <x:c r="AD64" s="32" t="str">
        <x:v>Approximate</x:v>
      </x:c>
      <x:c r="AE64" s="8" t="str">
        <x:v>Pressure-rating temperature limits require product standards.</x:v>
      </x:c>
      <x:c r="AF64" s="8" t="str">
        <x:f>IFERROR(VLOOKUP(AC64,'Sources'!$A$2:$E$12,5,FALSE),"")</x:f>
        <x:v>https://www.campusplastics.com/</x:v>
      </x:c>
      <x:c r="AG64" s="32" t="b">
        <x:f>COUNTIF($A$2:$A$127,A64)&gt;1</x:f>
        <x:v>0</x:v>
      </x:c>
    </x:row>
    <x:row r="65">
      <x:c r="A65" s="33" t="n">
        <x:v>3010</x:v>
      </x:c>
      <x:c r="B65" s="32" t="str">
        <x:v>POLYMER_PET</x:v>
      </x:c>
      <x:c r="C65" s="32" t="str">
        <x:v>Polyethylene terephthalate</x:v>
      </x:c>
      <x:c r="D65" s="32" t="str">
        <x:v>Polymer</x:v>
      </x:c>
      <x:c r="E65" s="32" t="str">
        <x:v>Thermoplastic</x:v>
      </x:c>
      <x:c r="F65" s="32" t="str">
        <x:v>PET</x:v>
      </x:c>
      <x:c r="G65" s="32" t="str">
        <x:v>Molded, semicrystalline</x:v>
      </x:c>
      <x:c r="H65" s="32" t="str">
        <x:v>Isotropic</x:v>
      </x:c>
      <x:c r="I65" s="34" t="n">
        <x:v>1380</x:v>
      </x:c>
      <x:c r="J65" s="35" t="n">
        <x:v>2.8</x:v>
      </x:c>
      <x:c r="K65" s="35" t="n">
        <x:v>0.38</x:v>
      </x:c>
      <x:c r="L65" s="40"/>
      <x:c r="M65" s="40"/>
      <x:c r="N65" s="39" t="n">
        <x:f>IF(L65&lt;&gt;"",L65,IF(H65&lt;&gt;"Isotropic","",IF(OR(J65="",K65=""),"",J65/(2*(1+K65)))))</x:f>
        <x:v>1.0144927536231885</x:v>
      </x:c>
      <x:c r="O65" s="39" t="n">
        <x:f>IF(M65&lt;&gt;"",M65,IF(H65&lt;&gt;"Isotropic","",IF(OR(J65="",K65="",K65&gt;=0.5),"",J65/(3*(1-2*K65)))))</x:f>
        <x:v>3.888888888888889</x:v>
      </x:c>
      <x:c r="P65" s="35" t="n">
        <x:v>55</x:v>
      </x:c>
      <x:c r="Q65" s="35" t="n">
        <x:v>65</x:v>
      </x:c>
      <x:c r="R65" s="35" t="n">
        <x:v>80</x:v>
      </x:c>
      <x:c r="S65" s="35" t="n">
        <x:v>90</x:v>
      </x:c>
      <x:c r="T65" s="36" t="n">
        <x:v>0.7</x:v>
      </x:c>
      <x:c r="U65" s="35" t="n">
        <x:v>4</x:v>
      </x:c>
      <x:c r="V65" s="35" t="n">
        <x:v>0.24</x:v>
      </x:c>
      <x:c r="W65" s="35" t="n">
        <x:v>1200</x:v>
      </x:c>
      <x:c r="X65" s="35" t="n">
        <x:v>65</x:v>
      </x:c>
      <x:c r="Y65" s="37" t="n">
        <x:v>100000000000000</x:v>
      </x:c>
      <x:c r="Z65" s="38" t="n">
        <x:v>250</x:v>
      </x:c>
      <x:c r="AA65" s="38" t="n">
        <x:v>120</x:v>
      </x:c>
      <x:c r="AB65" s="38"/>
      <x:c r="AC65" s="32" t="n">
        <x:v>5</x:v>
      </x:c>
      <x:c r="AD65" s="32" t="str">
        <x:v>Approximate</x:v>
      </x:c>
      <x:c r="AE65" s="8" t="str">
        <x:v>Crystallinity and orientation materially affect properties.</x:v>
      </x:c>
      <x:c r="AF65" s="8" t="str">
        <x:f>IFERROR(VLOOKUP(AC65,'Sources'!$A$2:$E$12,5,FALSE),"")</x:f>
        <x:v>https://www.campusplastics.com/</x:v>
      </x:c>
      <x:c r="AG65" s="32" t="b">
        <x:f>COUNTIF($A$2:$A$127,A65)&gt;1</x:f>
        <x:v>0</x:v>
      </x:c>
    </x:row>
    <x:row r="66">
      <x:c r="A66" s="33" t="n">
        <x:v>3011</x:v>
      </x:c>
      <x:c r="B66" s="32" t="str">
        <x:v>POLYMER_PETG</x:v>
      </x:c>
      <x:c r="C66" s="32" t="str">
        <x:v>PETG copolyester</x:v>
      </x:c>
      <x:c r="D66" s="32" t="str">
        <x:v>Polymer</x:v>
      </x:c>
      <x:c r="E66" s="32" t="str">
        <x:v>Thermoplastic</x:v>
      </x:c>
      <x:c r="F66" s="32" t="str">
        <x:v>PETG</x:v>
      </x:c>
      <x:c r="G66" s="32" t="str">
        <x:v>Amorphous molded/printed screening</x:v>
      </x:c>
      <x:c r="H66" s="32" t="str">
        <x:v>Isotropic</x:v>
      </x:c>
      <x:c r="I66" s="34" t="n">
        <x:v>1270</x:v>
      </x:c>
      <x:c r="J66" s="35" t="n">
        <x:v>2.1</x:v>
      </x:c>
      <x:c r="K66" s="35" t="n">
        <x:v>0.38</x:v>
      </x:c>
      <x:c r="L66" s="40"/>
      <x:c r="M66" s="40"/>
      <x:c r="N66" s="39" t="n">
        <x:f>IF(L66&lt;&gt;"",L66,IF(H66&lt;&gt;"Isotropic","",IF(OR(J66="",K66=""),"",J66/(2*(1+K66)))))</x:f>
        <x:v>0.7608695652173914</x:v>
      </x:c>
      <x:c r="O66" s="39" t="n">
        <x:f>IF(M66&lt;&gt;"",M66,IF(H66&lt;&gt;"Isotropic","",IF(OR(J66="",K66="",K66&gt;=0.5),"",J66/(3*(1-2*K66)))))</x:f>
        <x:v>2.916666666666667</x:v>
      </x:c>
      <x:c r="P66" s="35" t="n">
        <x:v>50</x:v>
      </x:c>
      <x:c r="Q66" s="35" t="n">
        <x:v>53</x:v>
      </x:c>
      <x:c r="R66" s="35" t="n">
        <x:v>70</x:v>
      </x:c>
      <x:c r="S66" s="35" t="n">
        <x:v>70</x:v>
      </x:c>
      <x:c r="T66" s="36" t="n">
        <x:v>0.25</x:v>
      </x:c>
      <x:c r="U66" s="35" t="n">
        <x:v>3.5</x:v>
      </x:c>
      <x:c r="V66" s="35" t="n">
        <x:v>0.2</x:v>
      </x:c>
      <x:c r="W66" s="35" t="n">
        <x:v>1200</x:v>
      </x:c>
      <x:c r="X66" s="35" t="n">
        <x:v>68</x:v>
      </x:c>
      <x:c r="Y66" s="37" t="n">
        <x:v>100000000000000</x:v>
      </x:c>
      <x:c r="Z66" s="38" t="n">
        <x:v>80</x:v>
      </x:c>
      <x:c r="AA66" s="38" t="n">
        <x:v>70</x:v>
      </x:c>
      <x:c r="AB66" s="38"/>
      <x:c r="AC66" s="32" t="n">
        <x:v>5</x:v>
      </x:c>
      <x:c r="AD66" s="32" t="str">
        <x:v>Approximate</x:v>
      </x:c>
      <x:c r="AE66" s="8" t="str">
        <x:v>Primary transition is glass transition; print orientation can dominate.</x:v>
      </x:c>
      <x:c r="AF66" s="8" t="str">
        <x:f>IFERROR(VLOOKUP(AC66,'Sources'!$A$2:$E$12,5,FALSE),"")</x:f>
        <x:v>https://www.campusplastics.com/</x:v>
      </x:c>
      <x:c r="AG66" s="32" t="b">
        <x:f>COUNTIF($A$2:$A$127,A66)&gt;1</x:f>
        <x:v>0</x:v>
      </x:c>
    </x:row>
    <x:row r="67">
      <x:c r="A67" s="33" t="n">
        <x:v>3012</x:v>
      </x:c>
      <x:c r="B67" s="32" t="str">
        <x:v>POLYMER_PA6_DRY</x:v>
      </x:c>
      <x:c r="C67" s="32" t="str">
        <x:v>Nylon 6, dry</x:v>
      </x:c>
      <x:c r="D67" s="32" t="str">
        <x:v>Polymer</x:v>
      </x:c>
      <x:c r="E67" s="32" t="str">
        <x:v>Thermoplastic</x:v>
      </x:c>
      <x:c r="F67" s="32" t="str">
        <x:v>PA6</x:v>
      </x:c>
      <x:c r="G67" s="32" t="str">
        <x:v>Injection molded, dry as molded</x:v>
      </x:c>
      <x:c r="H67" s="32" t="str">
        <x:v>Isotropic</x:v>
      </x:c>
      <x:c r="I67" s="34" t="n">
        <x:v>1130</x:v>
      </x:c>
      <x:c r="J67" s="35" t="n">
        <x:v>2.8</x:v>
      </x:c>
      <x:c r="K67" s="35" t="n">
        <x:v>0.39</x:v>
      </x:c>
      <x:c r="L67" s="40"/>
      <x:c r="M67" s="40"/>
      <x:c r="N67" s="39" t="n">
        <x:f>IF(L67&lt;&gt;"",L67,IF(H67&lt;&gt;"Isotropic","",IF(OR(J67="",K67=""),"",J67/(2*(1+K67)))))</x:f>
        <x:v>1.0071942446043165</x:v>
      </x:c>
      <x:c r="O67" s="39" t="n">
        <x:f>IF(M67&lt;&gt;"",M67,IF(H67&lt;&gt;"Isotropic","",IF(OR(J67="",K67="",K67&gt;=0.5),"",J67/(3*(1-2*K67)))))</x:f>
        <x:v>4.242424242424243</x:v>
      </x:c>
      <x:c r="P67" s="35" t="n">
        <x:v>75</x:v>
      </x:c>
      <x:c r="Q67" s="35" t="n">
        <x:v>80</x:v>
      </x:c>
      <x:c r="R67" s="35" t="n">
        <x:v>90</x:v>
      </x:c>
      <x:c r="S67" s="35" t="n">
        <x:v>105</x:v>
      </x:c>
      <x:c r="T67" s="36" t="n">
        <x:v>0.5</x:v>
      </x:c>
      <x:c r="U67" s="35" t="n">
        <x:v>4</x:v>
      </x:c>
      <x:c r="V67" s="35" t="n">
        <x:v>0.25</x:v>
      </x:c>
      <x:c r="W67" s="35" t="n">
        <x:v>1700</x:v>
      </x:c>
      <x:c r="X67" s="35" t="n">
        <x:v>85</x:v>
      </x:c>
      <x:c r="Y67" s="37" t="n">
        <x:v>1000000000000</x:v>
      </x:c>
      <x:c r="Z67" s="38" t="n">
        <x:v>220</x:v>
      </x:c>
      <x:c r="AA67" s="38" t="n">
        <x:v>105</x:v>
      </x:c>
      <x:c r="AB67" s="38"/>
      <x:c r="AC67" s="32" t="n">
        <x:v>5</x:v>
      </x:c>
      <x:c r="AD67" s="32" t="str">
        <x:v>Approximate</x:v>
      </x:c>
      <x:c r="AE67" s="8" t="str">
        <x:v>Moisture conditioning substantially reduces modulus and increases ductility.</x:v>
      </x:c>
      <x:c r="AF67" s="8" t="str">
        <x:f>IFERROR(VLOOKUP(AC67,'Sources'!$A$2:$E$12,5,FALSE),"")</x:f>
        <x:v>https://www.campusplastics.com/</x:v>
      </x:c>
      <x:c r="AG67" s="32" t="b">
        <x:f>COUNTIF($A$2:$A$127,A67)&gt;1</x:f>
        <x:v>0</x:v>
      </x:c>
    </x:row>
    <x:row r="68">
      <x:c r="A68" s="33" t="n">
        <x:v>3013</x:v>
      </x:c>
      <x:c r="B68" s="32" t="str">
        <x:v>POLYMER_PA66_DRY</x:v>
      </x:c>
      <x:c r="C68" s="32" t="str">
        <x:v>Nylon 66, dry</x:v>
      </x:c>
      <x:c r="D68" s="32" t="str">
        <x:v>Polymer</x:v>
      </x:c>
      <x:c r="E68" s="32" t="str">
        <x:v>Thermoplastic</x:v>
      </x:c>
      <x:c r="F68" s="32" t="str">
        <x:v>PA66</x:v>
      </x:c>
      <x:c r="G68" s="32" t="str">
        <x:v>Injection molded, dry as molded</x:v>
      </x:c>
      <x:c r="H68" s="32" t="str">
        <x:v>Isotropic</x:v>
      </x:c>
      <x:c r="I68" s="34" t="n">
        <x:v>1140</x:v>
      </x:c>
      <x:c r="J68" s="35" t="n">
        <x:v>3</x:v>
      </x:c>
      <x:c r="K68" s="35" t="n">
        <x:v>0.39</x:v>
      </x:c>
      <x:c r="L68" s="40"/>
      <x:c r="M68" s="40"/>
      <x:c r="N68" s="39" t="n">
        <x:f>IF(L68&lt;&gt;"",L68,IF(H68&lt;&gt;"Isotropic","",IF(OR(J68="",K68=""),"",J68/(2*(1+K68)))))</x:f>
        <x:v>1.079136690647482</x:v>
      </x:c>
      <x:c r="O68" s="39" t="n">
        <x:f>IF(M68&lt;&gt;"",M68,IF(H68&lt;&gt;"Isotropic","",IF(OR(J68="",K68="",K68&gt;=0.5),"",J68/(3*(1-2*K68)))))</x:f>
        <x:v>4.545454545454546</x:v>
      </x:c>
      <x:c r="P68" s="35" t="n">
        <x:v>85</x:v>
      </x:c>
      <x:c r="Q68" s="35" t="n">
        <x:v>90</x:v>
      </x:c>
      <x:c r="R68" s="35" t="n">
        <x:v>100</x:v>
      </x:c>
      <x:c r="S68" s="35" t="n">
        <x:v>115</x:v>
      </x:c>
      <x:c r="T68" s="36" t="n">
        <x:v>0.35</x:v>
      </x:c>
      <x:c r="U68" s="35" t="n">
        <x:v>4.5</x:v>
      </x:c>
      <x:c r="V68" s="35" t="n">
        <x:v>0.25</x:v>
      </x:c>
      <x:c r="W68" s="35" t="n">
        <x:v>1670</x:v>
      </x:c>
      <x:c r="X68" s="35" t="n">
        <x:v>80</x:v>
      </x:c>
      <x:c r="Y68" s="37" t="n">
        <x:v>1000000000000</x:v>
      </x:c>
      <x:c r="Z68" s="38" t="n">
        <x:v>260</x:v>
      </x:c>
      <x:c r="AA68" s="38" t="n">
        <x:v>120</x:v>
      </x:c>
      <x:c r="AB68" s="38"/>
      <x:c r="AC68" s="32" t="n">
        <x:v>5</x:v>
      </x:c>
      <x:c r="AD68" s="32" t="str">
        <x:v>Approximate</x:v>
      </x:c>
      <x:c r="AE68" s="8" t="str">
        <x:v>Moisture conditioning substantially changes properties.</x:v>
      </x:c>
      <x:c r="AF68" s="8" t="str">
        <x:f>IFERROR(VLOOKUP(AC68,'Sources'!$A$2:$E$12,5,FALSE),"")</x:f>
        <x:v>https://www.campusplastics.com/</x:v>
      </x:c>
      <x:c r="AG68" s="32" t="b">
        <x:f>COUNTIF($A$2:$A$127,A68)&gt;1</x:f>
        <x:v>0</x:v>
      </x:c>
    </x:row>
    <x:row r="69">
      <x:c r="A69" s="33" t="n">
        <x:v>3014</x:v>
      </x:c>
      <x:c r="B69" s="32" t="str">
        <x:v>POLYMER_POM</x:v>
      </x:c>
      <x:c r="C69" s="32" t="str">
        <x:v>Acetal homopolymer (POM)</x:v>
      </x:c>
      <x:c r="D69" s="32" t="str">
        <x:v>Polymer</x:v>
      </x:c>
      <x:c r="E69" s="32" t="str">
        <x:v>Thermoplastic</x:v>
      </x:c>
      <x:c r="F69" s="32" t="str">
        <x:v>POM-H</x:v>
      </x:c>
      <x:c r="G69" s="32" t="str">
        <x:v>Injection molded, unfilled</x:v>
      </x:c>
      <x:c r="H69" s="32" t="str">
        <x:v>Isotropic</x:v>
      </x:c>
      <x:c r="I69" s="34" t="n">
        <x:v>1420</x:v>
      </x:c>
      <x:c r="J69" s="35" t="n">
        <x:v>3.1</x:v>
      </x:c>
      <x:c r="K69" s="35" t="n">
        <x:v>0.35</x:v>
      </x:c>
      <x:c r="L69" s="40"/>
      <x:c r="M69" s="40"/>
      <x:c r="N69" s="39" t="n">
        <x:f>IF(L69&lt;&gt;"",L69,IF(H69&lt;&gt;"Isotropic","",IF(OR(J69="",K69=""),"",J69/(2*(1+K69)))))</x:f>
        <x:v>1.1481481481481481</x:v>
      </x:c>
      <x:c r="O69" s="39" t="n">
        <x:f>IF(M69&lt;&gt;"",M69,IF(H69&lt;&gt;"Isotropic","",IF(OR(J69="",K69="",K69&gt;=0.5),"",J69/(3*(1-2*K69)))))</x:f>
        <x:v>3.444444444444444</x:v>
      </x:c>
      <x:c r="P69" s="35" t="n">
        <x:v>69</x:v>
      </x:c>
      <x:c r="Q69" s="35" t="n">
        <x:v>75</x:v>
      </x:c>
      <x:c r="R69" s="35" t="n">
        <x:v>110</x:v>
      </x:c>
      <x:c r="S69" s="35" t="n">
        <x:v>95</x:v>
      </x:c>
      <x:c r="T69" s="36" t="n">
        <x:v>0.3</x:v>
      </x:c>
      <x:c r="U69" s="35" t="n">
        <x:v>5</x:v>
      </x:c>
      <x:c r="V69" s="35" t="n">
        <x:v>0.31</x:v>
      </x:c>
      <x:c r="W69" s="35" t="n">
        <x:v>1470</x:v>
      </x:c>
      <x:c r="X69" s="35" t="n">
        <x:v>100</x:v>
      </x:c>
      <x:c r="Y69" s="37" t="n">
        <x:v>10000000000000</x:v>
      </x:c>
      <x:c r="Z69" s="38" t="n">
        <x:v>175</x:v>
      </x:c>
      <x:c r="AA69" s="38" t="n">
        <x:v>105</x:v>
      </x:c>
      <x:c r="AB69" s="38"/>
      <x:c r="AC69" s="32" t="n">
        <x:v>5</x:v>
      </x:c>
      <x:c r="AD69" s="32" t="str">
        <x:v>Approximate</x:v>
      </x:c>
      <x:c r="AE69" s="8" t="str">
        <x:v>Generic unfilled acetal.</x:v>
      </x:c>
      <x:c r="AF69" s="8" t="str">
        <x:f>IFERROR(VLOOKUP(AC69,'Sources'!$A$2:$E$12,5,FALSE),"")</x:f>
        <x:v>https://www.campusplastics.com/</x:v>
      </x:c>
      <x:c r="AG69" s="32" t="b">
        <x:f>COUNTIF($A$2:$A$127,A69)&gt;1</x:f>
        <x:v>0</x:v>
      </x:c>
    </x:row>
    <x:row r="70">
      <x:c r="A70" s="33" t="n">
        <x:v>3015</x:v>
      </x:c>
      <x:c r="B70" s="32" t="str">
        <x:v>POLYMER_PC</x:v>
      </x:c>
      <x:c r="C70" s="32" t="str">
        <x:v>Polycarbonate</x:v>
      </x:c>
      <x:c r="D70" s="32" t="str">
        <x:v>Polymer</x:v>
      </x:c>
      <x:c r="E70" s="32" t="str">
        <x:v>Thermoplastic</x:v>
      </x:c>
      <x:c r="F70" s="32" t="str">
        <x:v>PC</x:v>
      </x:c>
      <x:c r="G70" s="32" t="str">
        <x:v>Injection molded, unfilled</x:v>
      </x:c>
      <x:c r="H70" s="32" t="str">
        <x:v>Isotropic</x:v>
      </x:c>
      <x:c r="I70" s="34" t="n">
        <x:v>1200</x:v>
      </x:c>
      <x:c r="J70" s="35" t="n">
        <x:v>2.3</x:v>
      </x:c>
      <x:c r="K70" s="35" t="n">
        <x:v>0.37</x:v>
      </x:c>
      <x:c r="L70" s="40"/>
      <x:c r="M70" s="40"/>
      <x:c r="N70" s="39" t="n">
        <x:f>IF(L70&lt;&gt;"",L70,IF(H70&lt;&gt;"Isotropic","",IF(OR(J70="",K70=""),"",J70/(2*(1+K70)))))</x:f>
        <x:v>0.8394160583941604</x:v>
      </x:c>
      <x:c r="O70" s="39" t="n">
        <x:f>IF(M70&lt;&gt;"",M70,IF(H70&lt;&gt;"Isotropic","",IF(OR(J70="",K70="",K70&gt;=0.5),"",J70/(3*(1-2*K70)))))</x:f>
        <x:v>2.9487179487179485</x:v>
      </x:c>
      <x:c r="P70" s="35" t="n">
        <x:v>62</x:v>
      </x:c>
      <x:c r="Q70" s="35" t="n">
        <x:v>65</x:v>
      </x:c>
      <x:c r="R70" s="35" t="n">
        <x:v>80</x:v>
      </x:c>
      <x:c r="S70" s="35" t="n">
        <x:v>90</x:v>
      </x:c>
      <x:c r="T70" s="36" t="n">
        <x:v>1</x:v>
      </x:c>
      <x:c r="U70" s="35" t="n">
        <x:v>4</x:v>
      </x:c>
      <x:c r="V70" s="35" t="n">
        <x:v>0.2</x:v>
      </x:c>
      <x:c r="W70" s="35" t="n">
        <x:v>1200</x:v>
      </x:c>
      <x:c r="X70" s="35" t="n">
        <x:v>65</x:v>
      </x:c>
      <x:c r="Y70" s="37" t="n">
        <x:v>100000000000000</x:v>
      </x:c>
      <x:c r="Z70" s="38" t="n">
        <x:v>147</x:v>
      </x:c>
      <x:c r="AA70" s="38" t="n">
        <x:v>120</x:v>
      </x:c>
      <x:c r="AB70" s="38"/>
      <x:c r="AC70" s="32" t="n">
        <x:v>5</x:v>
      </x:c>
      <x:c r="AD70" s="32" t="str">
        <x:v>Approximate</x:v>
      </x:c>
      <x:c r="AE70" s="8" t="str">
        <x:v>Primary transition is glass transition; solvent stress cracking is application-specific.</x:v>
      </x:c>
      <x:c r="AF70" s="8" t="str">
        <x:f>IFERROR(VLOOKUP(AC70,'Sources'!$A$2:$E$12,5,FALSE),"")</x:f>
        <x:v>https://www.campusplastics.com/</x:v>
      </x:c>
      <x:c r="AG70" s="32" t="b">
        <x:f>COUNTIF($A$2:$A$127,A70)&gt;1</x:f>
        <x:v>0</x:v>
      </x:c>
    </x:row>
    <x:row r="71">
      <x:c r="A71" s="33" t="n">
        <x:v>3016</x:v>
      </x:c>
      <x:c r="B71" s="32" t="str">
        <x:v>POLYMER_PMMA</x:v>
      </x:c>
      <x:c r="C71" s="32" t="str">
        <x:v>PMMA acrylic</x:v>
      </x:c>
      <x:c r="D71" s="32" t="str">
        <x:v>Polymer</x:v>
      </x:c>
      <x:c r="E71" s="32" t="str">
        <x:v>Thermoplastic</x:v>
      </x:c>
      <x:c r="F71" s="32" t="str">
        <x:v>PMMA</x:v>
      </x:c>
      <x:c r="G71" s="32" t="str">
        <x:v>Cast/molded, unfilled</x:v>
      </x:c>
      <x:c r="H71" s="32" t="str">
        <x:v>Isotropic</x:v>
      </x:c>
      <x:c r="I71" s="34" t="n">
        <x:v>1180</x:v>
      </x:c>
      <x:c r="J71" s="35" t="n">
        <x:v>3.2</x:v>
      </x:c>
      <x:c r="K71" s="35" t="n">
        <x:v>0.35</x:v>
      </x:c>
      <x:c r="L71" s="40"/>
      <x:c r="M71" s="40"/>
      <x:c r="N71" s="39" t="n">
        <x:f>IF(L71&lt;&gt;"",L71,IF(H71&lt;&gt;"Isotropic","",IF(OR(J71="",K71=""),"",J71/(2*(1+K71)))))</x:f>
        <x:v>1.1851851851851851</x:v>
      </x:c>
      <x:c r="O71" s="39" t="n">
        <x:f>IF(M71&lt;&gt;"",M71,IF(H71&lt;&gt;"Isotropic","",IF(OR(J71="",K71="",K71&gt;=0.5),"",J71/(3*(1-2*K71)))))</x:f>
        <x:v>3.5555555555555554</x:v>
      </x:c>
      <x:c r="P71" s="35" t="n">
        <x:v>65</x:v>
      </x:c>
      <x:c r="Q71" s="35" t="n">
        <x:v>70</x:v>
      </x:c>
      <x:c r="R71" s="35" t="n">
        <x:v>100</x:v>
      </x:c>
      <x:c r="S71" s="35" t="n">
        <x:v>110</x:v>
      </x:c>
      <x:c r="T71" s="36" t="n">
        <x:v>0.05</x:v>
      </x:c>
      <x:c r="U71" s="35" t="n">
        <x:v>1.5</x:v>
      </x:c>
      <x:c r="V71" s="35" t="n">
        <x:v>0.19</x:v>
      </x:c>
      <x:c r="W71" s="35" t="n">
        <x:v>1470</x:v>
      </x:c>
      <x:c r="X71" s="35" t="n">
        <x:v>70</x:v>
      </x:c>
      <x:c r="Y71" s="37" t="n">
        <x:v>100000000000000</x:v>
      </x:c>
      <x:c r="Z71" s="38" t="n">
        <x:v>105</x:v>
      </x:c>
      <x:c r="AA71" s="38" t="n">
        <x:v>80</x:v>
      </x:c>
      <x:c r="AB71" s="38"/>
      <x:c r="AC71" s="32" t="n">
        <x:v>5</x:v>
      </x:c>
      <x:c r="AD71" s="32" t="str">
        <x:v>Approximate</x:v>
      </x:c>
      <x:c r="AE71" s="8" t="str">
        <x:v>Brittle transparent polymer; notch sensitivity is important.</x:v>
      </x:c>
      <x:c r="AF71" s="8" t="str">
        <x:f>IFERROR(VLOOKUP(AC71,'Sources'!$A$2:$E$12,5,FALSE),"")</x:f>
        <x:v>https://www.campusplastics.com/</x:v>
      </x:c>
      <x:c r="AG71" s="32" t="b">
        <x:f>COUNTIF($A$2:$A$127,A71)&gt;1</x:f>
        <x:v>0</x:v>
      </x:c>
    </x:row>
    <x:row r="72">
      <x:c r="A72" s="33" t="n">
        <x:v>3017</x:v>
      </x:c>
      <x:c r="B72" s="32" t="str">
        <x:v>POLYMER_PTFE</x:v>
      </x:c>
      <x:c r="C72" s="32" t="str">
        <x:v>PTFE</x:v>
      </x:c>
      <x:c r="D72" s="32" t="str">
        <x:v>Polymer</x:v>
      </x:c>
      <x:c r="E72" s="32" t="str">
        <x:v>Fluoropolymer</x:v>
      </x:c>
      <x:c r="F72" s="32" t="str">
        <x:v>PTFE</x:v>
      </x:c>
      <x:c r="G72" s="32" t="str">
        <x:v>Molded, unfilled</x:v>
      </x:c>
      <x:c r="H72" s="32" t="str">
        <x:v>Isotropic</x:v>
      </x:c>
      <x:c r="I72" s="34" t="n">
        <x:v>2200</x:v>
      </x:c>
      <x:c r="J72" s="35" t="n">
        <x:v>0.5</x:v>
      </x:c>
      <x:c r="K72" s="35" t="n">
        <x:v>0.46</x:v>
      </x:c>
      <x:c r="L72" s="40"/>
      <x:c r="M72" s="40"/>
      <x:c r="N72" s="39" t="n">
        <x:f>IF(L72&lt;&gt;"",L72,IF(H72&lt;&gt;"Isotropic","",IF(OR(J72="",K72=""),"",J72/(2*(1+K72)))))</x:f>
        <x:v>0.17123287671232876</x:v>
      </x:c>
      <x:c r="O72" s="39" t="n">
        <x:f>IF(M72&lt;&gt;"",M72,IF(H72&lt;&gt;"Isotropic","",IF(OR(J72="",K72="",K72&gt;=0.5),"",J72/(3*(1-2*K72)))))</x:f>
        <x:v>2.0833333333333344</x:v>
      </x:c>
      <x:c r="P72" s="35" t="n">
        <x:v>23</x:v>
      </x:c>
      <x:c r="Q72" s="35" t="n">
        <x:v>30</x:v>
      </x:c>
      <x:c r="R72" s="35" t="n">
        <x:v>12</x:v>
      </x:c>
      <x:c r="S72" s="35" t="n">
        <x:v>18</x:v>
      </x:c>
      <x:c r="T72" s="36" t="n">
        <x:v>3</x:v>
      </x:c>
      <x:c r="U72" s="35" t="n">
        <x:v>2.5</x:v>
      </x:c>
      <x:c r="V72" s="35" t="n">
        <x:v>0.25</x:v>
      </x:c>
      <x:c r="W72" s="35" t="n">
        <x:v>1000</x:v>
      </x:c>
      <x:c r="X72" s="35" t="n">
        <x:v>120</x:v>
      </x:c>
      <x:c r="Y72" s="37" t="n">
        <x:v>1000000000000000000</x:v>
      </x:c>
      <x:c r="Z72" s="38" t="n">
        <x:v>327</x:v>
      </x:c>
      <x:c r="AA72" s="38" t="n">
        <x:v>260</x:v>
      </x:c>
      <x:c r="AB72" s="38"/>
      <x:c r="AC72" s="32" t="n">
        <x:v>5</x:v>
      </x:c>
      <x:c r="AD72" s="32" t="str">
        <x:v>Approximate</x:v>
      </x:c>
      <x:c r="AE72" s="8" t="str">
        <x:v>High creep; modulus depends strongly on rate and temperature.</x:v>
      </x:c>
      <x:c r="AF72" s="8" t="str">
        <x:f>IFERROR(VLOOKUP(AC72,'Sources'!$A$2:$E$12,5,FALSE),"")</x:f>
        <x:v>https://www.campusplastics.com/</x:v>
      </x:c>
      <x:c r="AG72" s="32" t="b">
        <x:f>COUNTIF($A$2:$A$127,A72)&gt;1</x:f>
        <x:v>0</x:v>
      </x:c>
    </x:row>
    <x:row r="73">
      <x:c r="A73" s="33" t="n">
        <x:v>3018</x:v>
      </x:c>
      <x:c r="B73" s="32" t="str">
        <x:v>POLYMER_PEEK</x:v>
      </x:c>
      <x:c r="C73" s="32" t="str">
        <x:v>PEEK, unfilled</x:v>
      </x:c>
      <x:c r="D73" s="32" t="str">
        <x:v>Polymer</x:v>
      </x:c>
      <x:c r="E73" s="32" t="str">
        <x:v>High-performance thermoplastic</x:v>
      </x:c>
      <x:c r="F73" s="32" t="str">
        <x:v>PEEK</x:v>
      </x:c>
      <x:c r="G73" s="32" t="str">
        <x:v>Injection molded, unfilled</x:v>
      </x:c>
      <x:c r="H73" s="32" t="str">
        <x:v>Isotropic</x:v>
      </x:c>
      <x:c r="I73" s="34" t="n">
        <x:v>1320</x:v>
      </x:c>
      <x:c r="J73" s="35" t="n">
        <x:v>3.6</x:v>
      </x:c>
      <x:c r="K73" s="35" t="n">
        <x:v>0.38</x:v>
      </x:c>
      <x:c r="L73" s="40"/>
      <x:c r="M73" s="40"/>
      <x:c r="N73" s="39" t="n">
        <x:f>IF(L73&lt;&gt;"",L73,IF(H73&lt;&gt;"Isotropic","",IF(OR(J73="",K73=""),"",J73/(2*(1+K73)))))</x:f>
        <x:v>1.3043478260869568</x:v>
      </x:c>
      <x:c r="O73" s="39" t="n">
        <x:f>IF(M73&lt;&gt;"",M73,IF(H73&lt;&gt;"Isotropic","",IF(OR(J73="",K73="",K73&gt;=0.5),"",J73/(3*(1-2*K73)))))</x:f>
        <x:v>5</x:v>
      </x:c>
      <x:c r="P73" s="35" t="n">
        <x:v>100</x:v>
      </x:c>
      <x:c r="Q73" s="35" t="n">
        <x:v>100</x:v>
      </x:c>
      <x:c r="R73" s="35" t="n">
        <x:v>125</x:v>
      </x:c>
      <x:c r="S73" s="35" t="n">
        <x:v>165</x:v>
      </x:c>
      <x:c r="T73" s="36" t="n">
        <x:v>0.2</x:v>
      </x:c>
      <x:c r="U73" s="35" t="n">
        <x:v>5</x:v>
      </x:c>
      <x:c r="V73" s="35" t="n">
        <x:v>0.25</x:v>
      </x:c>
      <x:c r="W73" s="35" t="n">
        <x:v>1300</x:v>
      </x:c>
      <x:c r="X73" s="35" t="n">
        <x:v>47</x:v>
      </x:c>
      <x:c r="Y73" s="37" t="n">
        <x:v>1000000000000000</x:v>
      </x:c>
      <x:c r="Z73" s="38" t="n">
        <x:v>343</x:v>
      </x:c>
      <x:c r="AA73" s="38" t="n">
        <x:v>250</x:v>
      </x:c>
      <x:c r="AB73" s="38"/>
      <x:c r="AC73" s="32" t="n">
        <x:v>5</x:v>
      </x:c>
      <x:c r="AD73" s="32" t="str">
        <x:v>Approximate</x:v>
      </x:c>
      <x:c r="AE73" s="8" t="str">
        <x:v>Generic unfilled grade; crystallinity affects values.</x:v>
      </x:c>
      <x:c r="AF73" s="8" t="str">
        <x:f>IFERROR(VLOOKUP(AC73,'Sources'!$A$2:$E$12,5,FALSE),"")</x:f>
        <x:v>https://www.campusplastics.com/</x:v>
      </x:c>
      <x:c r="AG73" s="32" t="b">
        <x:f>COUNTIF($A$2:$A$127,A73)&gt;1</x:f>
        <x:v>0</x:v>
      </x:c>
    </x:row>
    <x:row r="74">
      <x:c r="A74" s="33" t="n">
        <x:v>3019</x:v>
      </x:c>
      <x:c r="B74" s="32" t="str">
        <x:v>POLYMER_PEI</x:v>
      </x:c>
      <x:c r="C74" s="32" t="str">
        <x:v>Polyetherimide</x:v>
      </x:c>
      <x:c r="D74" s="32" t="str">
        <x:v>Polymer</x:v>
      </x:c>
      <x:c r="E74" s="32" t="str">
        <x:v>High-performance thermoplastic</x:v>
      </x:c>
      <x:c r="F74" s="32" t="str">
        <x:v>PEI</x:v>
      </x:c>
      <x:c r="G74" s="32" t="str">
        <x:v>Injection molded, unfilled</x:v>
      </x:c>
      <x:c r="H74" s="32" t="str">
        <x:v>Isotropic</x:v>
      </x:c>
      <x:c r="I74" s="34" t="n">
        <x:v>1270</x:v>
      </x:c>
      <x:c r="J74" s="35" t="n">
        <x:v>3.2</x:v>
      </x:c>
      <x:c r="K74" s="35" t="n">
        <x:v>0.36</x:v>
      </x:c>
      <x:c r="L74" s="40"/>
      <x:c r="M74" s="40"/>
      <x:c r="N74" s="39" t="n">
        <x:f>IF(L74&lt;&gt;"",L74,IF(H74&lt;&gt;"Isotropic","",IF(OR(J74="",K74=""),"",J74/(2*(1+K74)))))</x:f>
        <x:v>1.1764705882352944</x:v>
      </x:c>
      <x:c r="O74" s="39" t="n">
        <x:f>IF(M74&lt;&gt;"",M74,IF(H74&lt;&gt;"Isotropic","",IF(OR(J74="",K74="",K74&gt;=0.5),"",J74/(3*(1-2*K74)))))</x:f>
        <x:v>3.8095238095238093</x:v>
      </x:c>
      <x:c r="P74" s="35" t="n">
        <x:v>105</x:v>
      </x:c>
      <x:c r="Q74" s="35" t="n">
        <x:v>105</x:v>
      </x:c>
      <x:c r="R74" s="35" t="n">
        <x:v>140</x:v>
      </x:c>
      <x:c r="S74" s="35" t="n">
        <x:v>150</x:v>
      </x:c>
      <x:c r="T74" s="36" t="n">
        <x:v>0.6</x:v>
      </x:c>
      <x:c r="U74" s="35" t="n">
        <x:v>4</x:v>
      </x:c>
      <x:c r="V74" s="35" t="n">
        <x:v>0.22</x:v>
      </x:c>
      <x:c r="W74" s="35" t="n">
        <x:v>1250</x:v>
      </x:c>
      <x:c r="X74" s="35" t="n">
        <x:v>56</x:v>
      </x:c>
      <x:c r="Y74" s="37" t="n">
        <x:v>1000000000000000</x:v>
      </x:c>
      <x:c r="Z74" s="38" t="n">
        <x:v>217</x:v>
      </x:c>
      <x:c r="AA74" s="38" t="n">
        <x:v>170</x:v>
      </x:c>
      <x:c r="AB74" s="38"/>
      <x:c r="AC74" s="32" t="n">
        <x:v>5</x:v>
      </x:c>
      <x:c r="AD74" s="32" t="str">
        <x:v>Approximate</x:v>
      </x:c>
      <x:c r="AE74" s="8" t="str">
        <x:v>Primary transition is glass transition.</x:v>
      </x:c>
      <x:c r="AF74" s="8" t="str">
        <x:f>IFERROR(VLOOKUP(AC74,'Sources'!$A$2:$E$12,5,FALSE),"")</x:f>
        <x:v>https://www.campusplastics.com/</x:v>
      </x:c>
      <x:c r="AG74" s="32" t="b">
        <x:f>COUNTIF($A$2:$A$127,A74)&gt;1</x:f>
        <x:v>0</x:v>
      </x:c>
    </x:row>
    <x:row r="75">
      <x:c r="A75" s="33" t="n">
        <x:v>3020</x:v>
      </x:c>
      <x:c r="B75" s="32" t="str">
        <x:v>POLYMER_PPS</x:v>
      </x:c>
      <x:c r="C75" s="32" t="str">
        <x:v>Polyphenylene sulfide</x:v>
      </x:c>
      <x:c r="D75" s="32" t="str">
        <x:v>Polymer</x:v>
      </x:c>
      <x:c r="E75" s="32" t="str">
        <x:v>High-performance thermoplastic</x:v>
      </x:c>
      <x:c r="F75" s="32" t="str">
        <x:v>PPS</x:v>
      </x:c>
      <x:c r="G75" s="32" t="str">
        <x:v>Injection molded, unfilled</x:v>
      </x:c>
      <x:c r="H75" s="32" t="str">
        <x:v>Isotropic</x:v>
      </x:c>
      <x:c r="I75" s="34" t="n">
        <x:v>1350</x:v>
      </x:c>
      <x:c r="J75" s="35" t="n">
        <x:v>3.5</x:v>
      </x:c>
      <x:c r="K75" s="35" t="n">
        <x:v>0.36</x:v>
      </x:c>
      <x:c r="L75" s="40"/>
      <x:c r="M75" s="40"/>
      <x:c r="N75" s="39" t="n">
        <x:f>IF(L75&lt;&gt;"",L75,IF(H75&lt;&gt;"Isotropic","",IF(OR(J75="",K75=""),"",J75/(2*(1+K75)))))</x:f>
        <x:v>1.286764705882353</x:v>
      </x:c>
      <x:c r="O75" s="39" t="n">
        <x:f>IF(M75&lt;&gt;"",M75,IF(H75&lt;&gt;"Isotropic","",IF(OR(J75="",K75="",K75&gt;=0.5),"",J75/(3*(1-2*K75)))))</x:f>
        <x:v>4.166666666666666</x:v>
      </x:c>
      <x:c r="P75" s="35" t="n">
        <x:v>75</x:v>
      </x:c>
      <x:c r="Q75" s="35" t="n">
        <x:v>80</x:v>
      </x:c>
      <x:c r="R75" s="35" t="n">
        <x:v>120</x:v>
      </x:c>
      <x:c r="S75" s="35" t="n">
        <x:v>120</x:v>
      </x:c>
      <x:c r="T75" s="36" t="n">
        <x:v>0.04</x:v>
      </x:c>
      <x:c r="U75" s="35" t="n">
        <x:v>3</x:v>
      </x:c>
      <x:c r="V75" s="35" t="n">
        <x:v>0.3</x:v>
      </x:c>
      <x:c r="W75" s="35" t="n">
        <x:v>1100</x:v>
      </x:c>
      <x:c r="X75" s="35" t="n">
        <x:v>55</x:v>
      </x:c>
      <x:c r="Y75" s="37" t="n">
        <x:v>100000000000000</x:v>
      </x:c>
      <x:c r="Z75" s="38" t="n">
        <x:v>285</x:v>
      </x:c>
      <x:c r="AA75" s="38" t="n">
        <x:v>200</x:v>
      </x:c>
      <x:c r="AB75" s="38"/>
      <x:c r="AC75" s="32" t="n">
        <x:v>5</x:v>
      </x:c>
      <x:c r="AD75" s="32" t="str">
        <x:v>Approximate</x:v>
      </x:c>
      <x:c r="AE75" s="8" t="str">
        <x:v>Brittle unfilled grade; filled compounds differ substantially.</x:v>
      </x:c>
      <x:c r="AF75" s="8" t="str">
        <x:f>IFERROR(VLOOKUP(AC75,'Sources'!$A$2:$E$12,5,FALSE),"")</x:f>
        <x:v>https://www.campusplastics.com/</x:v>
      </x:c>
      <x:c r="AG75" s="32" t="b">
        <x:f>COUNTIF($A$2:$A$127,A75)&gt;1</x:f>
        <x:v>0</x:v>
      </x:c>
    </x:row>
    <x:row r="76">
      <x:c r="A76" s="33" t="n">
        <x:v>3021</x:v>
      </x:c>
      <x:c r="B76" s="32" t="str">
        <x:v>POLYMER_PSU</x:v>
      </x:c>
      <x:c r="C76" s="32" t="str">
        <x:v>Polysulfone</x:v>
      </x:c>
      <x:c r="D76" s="32" t="str">
        <x:v>Polymer</x:v>
      </x:c>
      <x:c r="E76" s="32" t="str">
        <x:v>High-performance thermoplastic</x:v>
      </x:c>
      <x:c r="F76" s="32" t="str">
        <x:v>PSU</x:v>
      </x:c>
      <x:c r="G76" s="32" t="str">
        <x:v>Injection molded, unfilled</x:v>
      </x:c>
      <x:c r="H76" s="32" t="str">
        <x:v>Isotropic</x:v>
      </x:c>
      <x:c r="I76" s="34" t="n">
        <x:v>1240</x:v>
      </x:c>
      <x:c r="J76" s="35" t="n">
        <x:v>2.5</x:v>
      </x:c>
      <x:c r="K76" s="35" t="n">
        <x:v>0.37</x:v>
      </x:c>
      <x:c r="L76" s="40"/>
      <x:c r="M76" s="40"/>
      <x:c r="N76" s="39" t="n">
        <x:f>IF(L76&lt;&gt;"",L76,IF(H76&lt;&gt;"Isotropic","",IF(OR(J76="",K76=""),"",J76/(2*(1+K76)))))</x:f>
        <x:v>0.9124087591240875</x:v>
      </x:c>
      <x:c r="O76" s="39" t="n">
        <x:f>IF(M76&lt;&gt;"",M76,IF(H76&lt;&gt;"Isotropic","",IF(OR(J76="",K76="",K76&gt;=0.5),"",J76/(3*(1-2*K76)))))</x:f>
        <x:v>3.205128205128205</x:v>
      </x:c>
      <x:c r="P76" s="35" t="n">
        <x:v>70</x:v>
      </x:c>
      <x:c r="Q76" s="35" t="n">
        <x:v>75</x:v>
      </x:c>
      <x:c r="R76" s="35" t="n">
        <x:v>100</x:v>
      </x:c>
      <x:c r="S76" s="35" t="n">
        <x:v>105</x:v>
      </x:c>
      <x:c r="T76" s="36" t="n">
        <x:v>0.5</x:v>
      </x:c>
      <x:c r="U76" s="35" t="n">
        <x:v>3.5</x:v>
      </x:c>
      <x:c r="V76" s="35" t="n">
        <x:v>0.26</x:v>
      </x:c>
      <x:c r="W76" s="35" t="n">
        <x:v>1200</x:v>
      </x:c>
      <x:c r="X76" s="35" t="n">
        <x:v>55</x:v>
      </x:c>
      <x:c r="Y76" s="37" t="n">
        <x:v>100000000000000</x:v>
      </x:c>
      <x:c r="Z76" s="38" t="n">
        <x:v>185</x:v>
      </x:c>
      <x:c r="AA76" s="38" t="n">
        <x:v>150</x:v>
      </x:c>
      <x:c r="AB76" s="38"/>
      <x:c r="AC76" s="32" t="n">
        <x:v>5</x:v>
      </x:c>
      <x:c r="AD76" s="32" t="str">
        <x:v>Approximate</x:v>
      </x:c>
      <x:c r="AE76" s="8" t="str">
        <x:v>Primary transition is glass transition.</x:v>
      </x:c>
      <x:c r="AF76" s="8" t="str">
        <x:f>IFERROR(VLOOKUP(AC76,'Sources'!$A$2:$E$12,5,FALSE),"")</x:f>
        <x:v>https://www.campusplastics.com/</x:v>
      </x:c>
      <x:c r="AG76" s="32" t="b">
        <x:f>COUNTIF($A$2:$A$127,A76)&gt;1</x:f>
        <x:v>0</x:v>
      </x:c>
    </x:row>
    <x:row r="77">
      <x:c r="A77" s="33" t="n">
        <x:v>3022</x:v>
      </x:c>
      <x:c r="B77" s="32" t="str">
        <x:v>POLYMER_EPOXY_CAST</x:v>
      </x:c>
      <x:c r="C77" s="32" t="str">
        <x:v>Cast epoxy resin</x:v>
      </x:c>
      <x:c r="D77" s="32" t="str">
        <x:v>Polymer</x:v>
      </x:c>
      <x:c r="E77" s="32" t="str">
        <x:v>Thermoset</x:v>
      </x:c>
      <x:c r="F77" s="32" t="str">
        <x:v>Unfilled epoxy</x:v>
      </x:c>
      <x:c r="G77" s="32" t="str">
        <x:v>Cured, room-temperature generic</x:v>
      </x:c>
      <x:c r="H77" s="32" t="str">
        <x:v>Isotropic</x:v>
      </x:c>
      <x:c r="I77" s="34" t="n">
        <x:v>1150</x:v>
      </x:c>
      <x:c r="J77" s="35" t="n">
        <x:v>3</x:v>
      </x:c>
      <x:c r="K77" s="35" t="n">
        <x:v>0.35</x:v>
      </x:c>
      <x:c r="L77" s="40"/>
      <x:c r="M77" s="40"/>
      <x:c r="N77" s="39" t="n">
        <x:f>IF(L77&lt;&gt;"",L77,IF(H77&lt;&gt;"Isotropic","",IF(OR(J77="",K77=""),"",J77/(2*(1+K77)))))</x:f>
        <x:v>1.111111111111111</x:v>
      </x:c>
      <x:c r="O77" s="39" t="n">
        <x:f>IF(M77&lt;&gt;"",M77,IF(H77&lt;&gt;"Isotropic","",IF(OR(J77="",K77="",K77&gt;=0.5),"",J77/(3*(1-2*K77)))))</x:f>
        <x:v>3.333333333333333</x:v>
      </x:c>
      <x:c r="P77" s="35" t="n">
        <x:v>55</x:v>
      </x:c>
      <x:c r="Q77" s="35" t="n">
        <x:v>70</x:v>
      </x:c>
      <x:c r="R77" s="35" t="n">
        <x:v>120</x:v>
      </x:c>
      <x:c r="S77" s="35" t="n">
        <x:v>100</x:v>
      </x:c>
      <x:c r="T77" s="36" t="n">
        <x:v>0.04</x:v>
      </x:c>
      <x:c r="U77" s="35" t="n">
        <x:v>1.2</x:v>
      </x:c>
      <x:c r="V77" s="35" t="n">
        <x:v>0.2</x:v>
      </x:c>
      <x:c r="W77" s="35" t="n">
        <x:v>1100</x:v>
      </x:c>
      <x:c r="X77" s="35" t="n">
        <x:v>55</x:v>
      </x:c>
      <x:c r="Y77" s="37" t="n">
        <x:v>100000000000000</x:v>
      </x:c>
      <x:c r="Z77" s="38" t="n">
        <x:v>120</x:v>
      </x:c>
      <x:c r="AA77" s="38" t="n">
        <x:v>100</x:v>
      </x:c>
      <x:c r="AB77" s="38"/>
      <x:c r="AC77" s="32" t="n">
        <x:v>5</x:v>
      </x:c>
      <x:c r="AD77" s="32" t="str">
        <x:v>Approximate</x:v>
      </x:c>
      <x:c r="AE77" s="8" t="str">
        <x:v>Cure chemistry and cycle control properties; transition is representative Tg.</x:v>
      </x:c>
      <x:c r="AF77" s="8" t="str">
        <x:f>IFERROR(VLOOKUP(AC77,'Sources'!$A$2:$E$12,5,FALSE),"")</x:f>
        <x:v>https://www.campusplastics.com/</x:v>
      </x:c>
      <x:c r="AG77" s="32" t="b">
        <x:f>COUNTIF($A$2:$A$127,A77)&gt;1</x:f>
        <x:v>0</x:v>
      </x:c>
    </x:row>
    <x:row r="78">
      <x:c r="A78" s="33" t="n">
        <x:v>3023</x:v>
      </x:c>
      <x:c r="B78" s="32" t="str">
        <x:v>POLYMER_PHENOLIC</x:v>
      </x:c>
      <x:c r="C78" s="32" t="str">
        <x:v>Phenolic resin, unfilled</x:v>
      </x:c>
      <x:c r="D78" s="32" t="str">
        <x:v>Polymer</x:v>
      </x:c>
      <x:c r="E78" s="32" t="str">
        <x:v>Thermoset</x:v>
      </x:c>
      <x:c r="F78" s="32" t="str">
        <x:v>Phenolic</x:v>
      </x:c>
      <x:c r="G78" s="32" t="str">
        <x:v>Molded/cured generic</x:v>
      </x:c>
      <x:c r="H78" s="32" t="str">
        <x:v>Isotropic</x:v>
      </x:c>
      <x:c r="I78" s="34" t="n">
        <x:v>1300</x:v>
      </x:c>
      <x:c r="J78" s="35" t="n">
        <x:v>5</x:v>
      </x:c>
      <x:c r="K78" s="35" t="n">
        <x:v>0.32</x:v>
      </x:c>
      <x:c r="L78" s="40"/>
      <x:c r="M78" s="40"/>
      <x:c r="N78" s="39" t="n">
        <x:f>IF(L78&lt;&gt;"",L78,IF(H78&lt;&gt;"Isotropic","",IF(OR(J78="",K78=""),"",J78/(2*(1+K78)))))</x:f>
        <x:v>1.8939393939393938</x:v>
      </x:c>
      <x:c r="O78" s="39" t="n">
        <x:f>IF(M78&lt;&gt;"",M78,IF(H78&lt;&gt;"Isotropic","",IF(OR(J78="",K78="",K78&gt;=0.5),"",J78/(3*(1-2*K78)))))</x:f>
        <x:v>4.62962962962963</x:v>
      </x:c>
      <x:c r="P78" s="35" t="n">
        <x:v>45</x:v>
      </x:c>
      <x:c r="Q78" s="35" t="n">
        <x:v>55</x:v>
      </x:c>
      <x:c r="R78" s="35" t="n">
        <x:v>150</x:v>
      </x:c>
      <x:c r="S78" s="35" t="n">
        <x:v>90</x:v>
      </x:c>
      <x:c r="T78" s="36" t="n">
        <x:v>0.015</x:v>
      </x:c>
      <x:c r="U78" s="35" t="n">
        <x:v>1</x:v>
      </x:c>
      <x:c r="V78" s="35" t="n">
        <x:v>0.25</x:v>
      </x:c>
      <x:c r="W78" s="35" t="n">
        <x:v>1400</x:v>
      </x:c>
      <x:c r="X78" s="35" t="n">
        <x:v>35</x:v>
      </x:c>
      <x:c r="Y78" s="37" t="n">
        <x:v>1000000000000</x:v>
      </x:c>
      <x:c r="Z78" s="38" t="n">
        <x:v>160</x:v>
      </x:c>
      <x:c r="AA78" s="38" t="n">
        <x:v>150</x:v>
      </x:c>
      <x:c r="AB78" s="38"/>
      <x:c r="AC78" s="32" t="n">
        <x:v>5</x:v>
      </x:c>
      <x:c r="AD78" s="32" t="str">
        <x:v>Approximate</x:v>
      </x:c>
      <x:c r="AE78" s="8" t="str">
        <x:v>Generic unfilled thermoset; molded compounds commonly contain reinforcement/filler.</x:v>
      </x:c>
      <x:c r="AF78" s="8" t="str">
        <x:f>IFERROR(VLOOKUP(AC78,'Sources'!$A$2:$E$12,5,FALSE),"")</x:f>
        <x:v>https://www.campusplastics.com/</x:v>
      </x:c>
      <x:c r="AG78" s="32" t="b">
        <x:f>COUNTIF($A$2:$A$127,A78)&gt;1</x:f>
        <x:v>0</x:v>
      </x:c>
    </x:row>
    <x:row r="79">
      <x:c r="A79" s="33" t="n">
        <x:v>3024</x:v>
      </x:c>
      <x:c r="B79" s="32" t="str">
        <x:v>POLYMER_PBT</x:v>
      </x:c>
      <x:c r="C79" s="32" t="str">
        <x:v>Polybutylene terephthalate</x:v>
      </x:c>
      <x:c r="D79" s="32" t="str">
        <x:v>Polymer</x:v>
      </x:c>
      <x:c r="E79" s="32" t="str">
        <x:v>Thermoplastic</x:v>
      </x:c>
      <x:c r="F79" s="32" t="str">
        <x:v>PBT</x:v>
      </x:c>
      <x:c r="G79" s="32" t="str">
        <x:v>Injection molded, unfilled</x:v>
      </x:c>
      <x:c r="H79" s="32" t="str">
        <x:v>Isotropic</x:v>
      </x:c>
      <x:c r="I79" s="34" t="n">
        <x:v>1310</x:v>
      </x:c>
      <x:c r="J79" s="35" t="n">
        <x:v>2.6</x:v>
      </x:c>
      <x:c r="K79" s="35" t="n">
        <x:v>0.38</x:v>
      </x:c>
      <x:c r="L79" s="40"/>
      <x:c r="M79" s="40"/>
      <x:c r="N79" s="39" t="n">
        <x:f>IF(L79&lt;&gt;"",L79,IF(H79&lt;&gt;"Isotropic","",IF(OR(J79="",K79=""),"",J79/(2*(1+K79)))))</x:f>
        <x:v>0.9420289855072465</x:v>
      </x:c>
      <x:c r="O79" s="39" t="n">
        <x:f>IF(M79&lt;&gt;"",M79,IF(H79&lt;&gt;"Isotropic","",IF(OR(J79="",K79="",K79&gt;=0.5),"",J79/(3*(1-2*K79)))))</x:f>
        <x:v>3.611111111111111</x:v>
      </x:c>
      <x:c r="P79" s="35" t="n">
        <x:v>55</x:v>
      </x:c>
      <x:c r="Q79" s="35" t="n">
        <x:v>60</x:v>
      </x:c>
      <x:c r="R79" s="35" t="n">
        <x:v>85</x:v>
      </x:c>
      <x:c r="S79" s="35" t="n">
        <x:v>85</x:v>
      </x:c>
      <x:c r="T79" s="36" t="n">
        <x:v>0.3</x:v>
      </x:c>
      <x:c r="U79" s="35" t="n">
        <x:v>3</x:v>
      </x:c>
      <x:c r="V79" s="35" t="n">
        <x:v>0.29</x:v>
      </x:c>
      <x:c r="W79" s="35" t="n">
        <x:v>1200</x:v>
      </x:c>
      <x:c r="X79" s="35" t="n">
        <x:v>90</x:v>
      </x:c>
      <x:c r="Y79" s="37" t="n">
        <x:v>100000000000000</x:v>
      </x:c>
      <x:c r="Z79" s="38" t="n">
        <x:v>225</x:v>
      </x:c>
      <x:c r="AA79" s="38" t="n">
        <x:v>120</x:v>
      </x:c>
      <x:c r="AB79" s="38"/>
      <x:c r="AC79" s="32" t="n">
        <x:v>5</x:v>
      </x:c>
      <x:c r="AD79" s="32" t="str">
        <x:v>Approximate</x:v>
      </x:c>
      <x:c r="AE79" s="8" t="str">
        <x:v>Generic unfilled grade.</x:v>
      </x:c>
      <x:c r="AF79" s="8" t="str">
        <x:f>IFERROR(VLOOKUP(AC79,'Sources'!$A$2:$E$12,5,FALSE),"")</x:f>
        <x:v>https://www.campusplastics.com/</x:v>
      </x:c>
      <x:c r="AG79" s="32" t="b">
        <x:f>COUNTIF($A$2:$A$127,A79)&gt;1</x:f>
        <x:v>0</x:v>
      </x:c>
    </x:row>
    <x:row r="80">
      <x:c r="A80" s="33" t="n">
        <x:v>3025</x:v>
      </x:c>
      <x:c r="B80" s="32" t="str">
        <x:v>POLYMER_PVDF</x:v>
      </x:c>
      <x:c r="C80" s="32" t="str">
        <x:v>PVDF</x:v>
      </x:c>
      <x:c r="D80" s="32" t="str">
        <x:v>Polymer</x:v>
      </x:c>
      <x:c r="E80" s="32" t="str">
        <x:v>Fluoropolymer</x:v>
      </x:c>
      <x:c r="F80" s="32" t="str">
        <x:v>PVDF</x:v>
      </x:c>
      <x:c r="G80" s="32" t="str">
        <x:v>Molded, unfilled</x:v>
      </x:c>
      <x:c r="H80" s="32" t="str">
        <x:v>Isotropic</x:v>
      </x:c>
      <x:c r="I80" s="34" t="n">
        <x:v>1780</x:v>
      </x:c>
      <x:c r="J80" s="35" t="n">
        <x:v>2</x:v>
      </x:c>
      <x:c r="K80" s="35" t="n">
        <x:v>0.35</x:v>
      </x:c>
      <x:c r="L80" s="40"/>
      <x:c r="M80" s="40"/>
      <x:c r="N80" s="39" t="n">
        <x:f>IF(L80&lt;&gt;"",L80,IF(H80&lt;&gt;"Isotropic","",IF(OR(J80="",K80=""),"",J80/(2*(1+K80)))))</x:f>
        <x:v>0.7407407407407407</x:v>
      </x:c>
      <x:c r="O80" s="39" t="n">
        <x:f>IF(M80&lt;&gt;"",M80,IF(H80&lt;&gt;"Isotropic","",IF(OR(J80="",K80="",K80&gt;=0.5),"",J80/(3*(1-2*K80)))))</x:f>
        <x:v>2.222222222222222</x:v>
      </x:c>
      <x:c r="P80" s="35" t="n">
        <x:v>45</x:v>
      </x:c>
      <x:c r="Q80" s="35" t="n">
        <x:v>50</x:v>
      </x:c>
      <x:c r="R80" s="35" t="n">
        <x:v>70</x:v>
      </x:c>
      <x:c r="S80" s="35" t="n">
        <x:v>70</x:v>
      </x:c>
      <x:c r="T80" s="36" t="n">
        <x:v>0.4</x:v>
      </x:c>
      <x:c r="U80" s="35" t="n">
        <x:v>3</x:v>
      </x:c>
      <x:c r="V80" s="35" t="n">
        <x:v>0.19</x:v>
      </x:c>
      <x:c r="W80" s="35" t="n">
        <x:v>1200</x:v>
      </x:c>
      <x:c r="X80" s="35" t="n">
        <x:v>130</x:v>
      </x:c>
      <x:c r="Y80" s="37" t="n">
        <x:v>1000000000000</x:v>
      </x:c>
      <x:c r="Z80" s="38" t="n">
        <x:v>170</x:v>
      </x:c>
      <x:c r="AA80" s="38" t="n">
        <x:v>140</x:v>
      </x:c>
      <x:c r="AB80" s="38"/>
      <x:c r="AC80" s="32" t="n">
        <x:v>5</x:v>
      </x:c>
      <x:c r="AD80" s="32" t="str">
        <x:v>Approximate</x:v>
      </x:c>
      <x:c r="AE80" s="8" t="str">
        <x:v>Generic unfilled fluoropolymer.</x:v>
      </x:c>
      <x:c r="AF80" s="8" t="str">
        <x:f>IFERROR(VLOOKUP(AC80,'Sources'!$A$2:$E$12,5,FALSE),"")</x:f>
        <x:v>https://www.campusplastics.com/</x:v>
      </x:c>
      <x:c r="AG80" s="32" t="b">
        <x:f>COUNTIF($A$2:$A$127,A80)&gt;1</x:f>
        <x:v>0</x:v>
      </x:c>
    </x:row>
    <x:row r="81">
      <x:c r="A81" s="33" t="n">
        <x:v>3101</x:v>
      </x:c>
      <x:c r="B81" s="32" t="str">
        <x:v>ELASTOMER_NATURAL_RUBBER</x:v>
      </x:c>
      <x:c r="C81" s="32" t="str">
        <x:v>Natural rubber</x:v>
      </x:c>
      <x:c r="D81" s="32" t="str">
        <x:v>Polymer</x:v>
      </x:c>
      <x:c r="E81" s="32" t="str">
        <x:v>Elastomer</x:v>
      </x:c>
      <x:c r="F81" s="32" t="str">
        <x:v>NR</x:v>
      </x:c>
      <x:c r="G81" s="32" t="str">
        <x:v>Vulcanized, generic</x:v>
      </x:c>
      <x:c r="H81" s="32" t="str">
        <x:v>Nearly incompressible</x:v>
      </x:c>
      <x:c r="I81" s="34" t="n">
        <x:v>930</x:v>
      </x:c>
      <x:c r="J81" s="35" t="n">
        <x:v>0.01</x:v>
      </x:c>
      <x:c r="K81" s="35" t="n">
        <x:v>0.49</x:v>
      </x:c>
      <x:c r="L81" s="40" t="n">
        <x:v>0.0034</x:v>
      </x:c>
      <x:c r="M81" s="40" t="n">
        <x:v>1</x:v>
      </x:c>
      <x:c r="N81" s="39" t="n">
        <x:f>IF(L81&lt;&gt;"",L81,IF(H81&lt;&gt;"Isotropic","",IF(OR(J81="",K81=""),"",J81/(2*(1+K81)))))</x:f>
        <x:v>0.0034</x:v>
      </x:c>
      <x:c r="O81" s="39" t="n">
        <x:f>IF(M81&lt;&gt;"",M81,IF(H81&lt;&gt;"Isotropic","",IF(OR(J81="",K81="",K81&gt;=0.5),"",J81/(3*(1-2*K81)))))</x:f>
        <x:v>1</x:v>
      </x:c>
      <x:c r="P81" s="35"/>
      <x:c r="Q81" s="35" t="n">
        <x:v>25</x:v>
      </x:c>
      <x:c r="R81" s="35"/>
      <x:c r="S81" s="35"/>
      <x:c r="T81" s="36" t="n">
        <x:v>6</x:v>
      </x:c>
      <x:c r="U81" s="35"/>
      <x:c r="V81" s="35" t="n">
        <x:v>0.13</x:v>
      </x:c>
      <x:c r="W81" s="35" t="n">
        <x:v>1900</x:v>
      </x:c>
      <x:c r="X81" s="35" t="n">
        <x:v>200</x:v>
      </x:c>
      <x:c r="Y81" s="37" t="n">
        <x:v>10000000000000</x:v>
      </x:c>
      <x:c r="Z81" s="38" t="n">
        <x:v>180</x:v>
      </x:c>
      <x:c r="AA81" s="38" t="n">
        <x:v>80</x:v>
      </x:c>
      <x:c r="AB81" s="38"/>
      <x:c r="AC81" s="32" t="n">
        <x:v>5</x:v>
      </x:c>
      <x:c r="AD81" s="32" t="str">
        <x:v>Approximate</x:v>
      </x:c>
      <x:c r="AE81" s="8" t="str">
        <x:v>Highly formulation-, strain-, rate- and temperature-dependent.</x:v>
      </x:c>
      <x:c r="AF81" s="8" t="str">
        <x:f>IFERROR(VLOOKUP(AC81,'Sources'!$A$2:$E$12,5,FALSE),"")</x:f>
        <x:v>https://www.campusplastics.com/</x:v>
      </x:c>
      <x:c r="AG81" s="32" t="b">
        <x:f>COUNTIF($A$2:$A$127,A81)&gt;1</x:f>
        <x:v>0</x:v>
      </x:c>
    </x:row>
    <x:row r="82">
      <x:c r="A82" s="33" t="n">
        <x:v>3102</x:v>
      </x:c>
      <x:c r="B82" s="32" t="str">
        <x:v>ELASTOMER_NEOPRENE</x:v>
      </x:c>
      <x:c r="C82" s="32" t="str">
        <x:v>Neoprene rubber</x:v>
      </x:c>
      <x:c r="D82" s="32" t="str">
        <x:v>Polymer</x:v>
      </x:c>
      <x:c r="E82" s="32" t="str">
        <x:v>Elastomer</x:v>
      </x:c>
      <x:c r="F82" s="32" t="str">
        <x:v>CR</x:v>
      </x:c>
      <x:c r="G82" s="32" t="str">
        <x:v>Vulcanized, generic</x:v>
      </x:c>
      <x:c r="H82" s="32" t="str">
        <x:v>Nearly incompressible</x:v>
      </x:c>
      <x:c r="I82" s="34" t="n">
        <x:v>1230</x:v>
      </x:c>
      <x:c r="J82" s="35" t="n">
        <x:v>0.015</x:v>
      </x:c>
      <x:c r="K82" s="35" t="n">
        <x:v>0.49</x:v>
      </x:c>
      <x:c r="L82" s="40" t="n">
        <x:v>0.005</x:v>
      </x:c>
      <x:c r="M82" s="40" t="n">
        <x:v>1.2</x:v>
      </x:c>
      <x:c r="N82" s="39" t="n">
        <x:f>IF(L82&lt;&gt;"",L82,IF(H82&lt;&gt;"Isotropic","",IF(OR(J82="",K82=""),"",J82/(2*(1+K82)))))</x:f>
        <x:v>0.005</x:v>
      </x:c>
      <x:c r="O82" s="39" t="n">
        <x:f>IF(M82&lt;&gt;"",M82,IF(H82&lt;&gt;"Isotropic","",IF(OR(J82="",K82="",K82&gt;=0.5),"",J82/(3*(1-2*K82)))))</x:f>
        <x:v>1.2</x:v>
      </x:c>
      <x:c r="P82" s="35"/>
      <x:c r="Q82" s="35" t="n">
        <x:v>15</x:v>
      </x:c>
      <x:c r="R82" s="35"/>
      <x:c r="S82" s="35"/>
      <x:c r="T82" s="36" t="n">
        <x:v>4</x:v>
      </x:c>
      <x:c r="U82" s="35"/>
      <x:c r="V82" s="35" t="n">
        <x:v>0.19</x:v>
      </x:c>
      <x:c r="W82" s="35" t="n">
        <x:v>1900</x:v>
      </x:c>
      <x:c r="X82" s="35" t="n">
        <x:v>180</x:v>
      </x:c>
      <x:c r="Y82" s="37" t="n">
        <x:v>100000000000</x:v>
      </x:c>
      <x:c r="Z82" s="38" t="n">
        <x:v>200</x:v>
      </x:c>
      <x:c r="AA82" s="38" t="n">
        <x:v>100</x:v>
      </x:c>
      <x:c r="AB82" s="38"/>
      <x:c r="AC82" s="32" t="n">
        <x:v>5</x:v>
      </x:c>
      <x:c r="AD82" s="32" t="str">
        <x:v>Approximate</x:v>
      </x:c>
      <x:c r="AE82" s="8" t="str">
        <x:v>Hardness grade and formulation dominate mechanical values.</x:v>
      </x:c>
      <x:c r="AF82" s="8" t="str">
        <x:f>IFERROR(VLOOKUP(AC82,'Sources'!$A$2:$E$12,5,FALSE),"")</x:f>
        <x:v>https://www.campusplastics.com/</x:v>
      </x:c>
      <x:c r="AG82" s="32" t="b">
        <x:f>COUNTIF($A$2:$A$127,A82)&gt;1</x:f>
        <x:v>0</x:v>
      </x:c>
    </x:row>
    <x:row r="83">
      <x:c r="A83" s="33" t="n">
        <x:v>3103</x:v>
      </x:c>
      <x:c r="B83" s="32" t="str">
        <x:v>ELASTOMER_NBR</x:v>
      </x:c>
      <x:c r="C83" s="32" t="str">
        <x:v>Nitrile rubber</x:v>
      </x:c>
      <x:c r="D83" s="32" t="str">
        <x:v>Polymer</x:v>
      </x:c>
      <x:c r="E83" s="32" t="str">
        <x:v>Elastomer</x:v>
      </x:c>
      <x:c r="F83" s="32" t="str">
        <x:v>NBR</x:v>
      </x:c>
      <x:c r="G83" s="32" t="str">
        <x:v>Vulcanized, generic</x:v>
      </x:c>
      <x:c r="H83" s="32" t="str">
        <x:v>Nearly incompressible</x:v>
      </x:c>
      <x:c r="I83" s="34" t="n">
        <x:v>1050</x:v>
      </x:c>
      <x:c r="J83" s="35" t="n">
        <x:v>0.012</x:v>
      </x:c>
      <x:c r="K83" s="35" t="n">
        <x:v>0.49</x:v>
      </x:c>
      <x:c r="L83" s="40" t="n">
        <x:v>0.004</x:v>
      </x:c>
      <x:c r="M83" s="40" t="n">
        <x:v>1.1</x:v>
      </x:c>
      <x:c r="N83" s="39" t="n">
        <x:f>IF(L83&lt;&gt;"",L83,IF(H83&lt;&gt;"Isotropic","",IF(OR(J83="",K83=""),"",J83/(2*(1+K83)))))</x:f>
        <x:v>0.004</x:v>
      </x:c>
      <x:c r="O83" s="39" t="n">
        <x:f>IF(M83&lt;&gt;"",M83,IF(H83&lt;&gt;"Isotropic","",IF(OR(J83="",K83="",K83&gt;=0.5),"",J83/(3*(1-2*K83)))))</x:f>
        <x:v>1.1</x:v>
      </x:c>
      <x:c r="P83" s="35"/>
      <x:c r="Q83" s="35" t="n">
        <x:v>18</x:v>
      </x:c>
      <x:c r="R83" s="35"/>
      <x:c r="S83" s="35"/>
      <x:c r="T83" s="36" t="n">
        <x:v>3.5</x:v>
      </x:c>
      <x:c r="U83" s="35"/>
      <x:c r="V83" s="35" t="n">
        <x:v>0.24</x:v>
      </x:c>
      <x:c r="W83" s="35" t="n">
        <x:v>1800</x:v>
      </x:c>
      <x:c r="X83" s="35" t="n">
        <x:v>170</x:v>
      </x:c>
      <x:c r="Y83" s="37" t="n">
        <x:v>100000000000</x:v>
      </x:c>
      <x:c r="Z83" s="38" t="n">
        <x:v>180</x:v>
      </x:c>
      <x:c r="AA83" s="38" t="n">
        <x:v>100</x:v>
      </x:c>
      <x:c r="AB83" s="38"/>
      <x:c r="AC83" s="32" t="n">
        <x:v>5</x:v>
      </x:c>
      <x:c r="AD83" s="32" t="str">
        <x:v>Approximate</x:v>
      </x:c>
      <x:c r="AE83" s="8" t="str">
        <x:v>Acrylonitrile content and hardness grade affect properties.</x:v>
      </x:c>
      <x:c r="AF83" s="8" t="str">
        <x:f>IFERROR(VLOOKUP(AC83,'Sources'!$A$2:$E$12,5,FALSE),"")</x:f>
        <x:v>https://www.campusplastics.com/</x:v>
      </x:c>
      <x:c r="AG83" s="32" t="b">
        <x:f>COUNTIF($A$2:$A$127,A83)&gt;1</x:f>
        <x:v>0</x:v>
      </x:c>
    </x:row>
    <x:row r="84">
      <x:c r="A84" s="33" t="n">
        <x:v>3104</x:v>
      </x:c>
      <x:c r="B84" s="32" t="str">
        <x:v>ELASTOMER_EPDM</x:v>
      </x:c>
      <x:c r="C84" s="32" t="str">
        <x:v>EPDM rubber</x:v>
      </x:c>
      <x:c r="D84" s="32" t="str">
        <x:v>Polymer</x:v>
      </x:c>
      <x:c r="E84" s="32" t="str">
        <x:v>Elastomer</x:v>
      </x:c>
      <x:c r="F84" s="32" t="str">
        <x:v>EPDM</x:v>
      </x:c>
      <x:c r="G84" s="32" t="str">
        <x:v>Vulcanized, generic</x:v>
      </x:c>
      <x:c r="H84" s="32" t="str">
        <x:v>Nearly incompressible</x:v>
      </x:c>
      <x:c r="I84" s="34" t="n">
        <x:v>860</x:v>
      </x:c>
      <x:c r="J84" s="35" t="n">
        <x:v>0.01</x:v>
      </x:c>
      <x:c r="K84" s="35" t="n">
        <x:v>0.49</x:v>
      </x:c>
      <x:c r="L84" s="40" t="n">
        <x:v>0.0034</x:v>
      </x:c>
      <x:c r="M84" s="40" t="n">
        <x:v>1</x:v>
      </x:c>
      <x:c r="N84" s="39" t="n">
        <x:f>IF(L84&lt;&gt;"",L84,IF(H84&lt;&gt;"Isotropic","",IF(OR(J84="",K84=""),"",J84/(2*(1+K84)))))</x:f>
        <x:v>0.0034</x:v>
      </x:c>
      <x:c r="O84" s="39" t="n">
        <x:f>IF(M84&lt;&gt;"",M84,IF(H84&lt;&gt;"Isotropic","",IF(OR(J84="",K84="",K84&gt;=0.5),"",J84/(3*(1-2*K84)))))</x:f>
        <x:v>1</x:v>
      </x:c>
      <x:c r="P84" s="35"/>
      <x:c r="Q84" s="35" t="n">
        <x:v>14</x:v>
      </x:c>
      <x:c r="R84" s="35"/>
      <x:c r="S84" s="35"/>
      <x:c r="T84" s="36" t="n">
        <x:v>4</x:v>
      </x:c>
      <x:c r="U84" s="35"/>
      <x:c r="V84" s="35" t="n">
        <x:v>0.25</x:v>
      </x:c>
      <x:c r="W84" s="35" t="n">
        <x:v>1900</x:v>
      </x:c>
      <x:c r="X84" s="35" t="n">
        <x:v>180</x:v>
      </x:c>
      <x:c r="Y84" s="37" t="n">
        <x:v>1000000000000</x:v>
      </x:c>
      <x:c r="Z84" s="38" t="n">
        <x:v>180</x:v>
      </x:c>
      <x:c r="AA84" s="38" t="n">
        <x:v>130</x:v>
      </x:c>
      <x:c r="AB84" s="38"/>
      <x:c r="AC84" s="32" t="n">
        <x:v>5</x:v>
      </x:c>
      <x:c r="AD84" s="32" t="str">
        <x:v>Approximate</x:v>
      </x:c>
      <x:c r="AE84" s="8" t="str">
        <x:v>Formulation and hardness grade dominate mechanical values.</x:v>
      </x:c>
      <x:c r="AF84" s="8" t="str">
        <x:f>IFERROR(VLOOKUP(AC84,'Sources'!$A$2:$E$12,5,FALSE),"")</x:f>
        <x:v>https://www.campusplastics.com/</x:v>
      </x:c>
      <x:c r="AG84" s="32" t="b">
        <x:f>COUNTIF($A$2:$A$127,A84)&gt;1</x:f>
        <x:v>0</x:v>
      </x:c>
    </x:row>
    <x:row r="85">
      <x:c r="A85" s="33" t="n">
        <x:v>3105</x:v>
      </x:c>
      <x:c r="B85" s="32" t="str">
        <x:v>ELASTOMER_SILICONE</x:v>
      </x:c>
      <x:c r="C85" s="32" t="str">
        <x:v>Silicone rubber</x:v>
      </x:c>
      <x:c r="D85" s="32" t="str">
        <x:v>Polymer</x:v>
      </x:c>
      <x:c r="E85" s="32" t="str">
        <x:v>Elastomer</x:v>
      </x:c>
      <x:c r="F85" s="32" t="str">
        <x:v>VMQ</x:v>
      </x:c>
      <x:c r="G85" s="32" t="str">
        <x:v>Vulcanized, generic</x:v>
      </x:c>
      <x:c r="H85" s="32" t="str">
        <x:v>Nearly incompressible</x:v>
      </x:c>
      <x:c r="I85" s="34" t="n">
        <x:v>1150</x:v>
      </x:c>
      <x:c r="J85" s="35" t="n">
        <x:v>0.008</x:v>
      </x:c>
      <x:c r="K85" s="35" t="n">
        <x:v>0.49</x:v>
      </x:c>
      <x:c r="L85" s="40" t="n">
        <x:v>0.0027</x:v>
      </x:c>
      <x:c r="M85" s="40" t="n">
        <x:v>0.8</x:v>
      </x:c>
      <x:c r="N85" s="39" t="n">
        <x:f>IF(L85&lt;&gt;"",L85,IF(H85&lt;&gt;"Isotropic","",IF(OR(J85="",K85=""),"",J85/(2*(1+K85)))))</x:f>
        <x:v>0.0027</x:v>
      </x:c>
      <x:c r="O85" s="39" t="n">
        <x:f>IF(M85&lt;&gt;"",M85,IF(H85&lt;&gt;"Isotropic","",IF(OR(J85="",K85="",K85&gt;=0.5),"",J85/(3*(1-2*K85)))))</x:f>
        <x:v>0.8</x:v>
      </x:c>
      <x:c r="P85" s="35"/>
      <x:c r="Q85" s="35" t="n">
        <x:v>9</x:v>
      </x:c>
      <x:c r="R85" s="35"/>
      <x:c r="S85" s="35"/>
      <x:c r="T85" s="36" t="n">
        <x:v>4</x:v>
      </x:c>
      <x:c r="U85" s="35"/>
      <x:c r="V85" s="35" t="n">
        <x:v>0.2</x:v>
      </x:c>
      <x:c r="W85" s="35" t="n">
        <x:v>1500</x:v>
      </x:c>
      <x:c r="X85" s="35" t="n">
        <x:v>250</x:v>
      </x:c>
      <x:c r="Y85" s="37" t="n">
        <x:v>100000000000000</x:v>
      </x:c>
      <x:c r="Z85" s="38" t="n">
        <x:v>200</x:v>
      </x:c>
      <x:c r="AA85" s="38" t="n">
        <x:v>200</x:v>
      </x:c>
      <x:c r="AB85" s="38"/>
      <x:c r="AC85" s="32" t="n">
        <x:v>5</x:v>
      </x:c>
      <x:c r="AD85" s="32" t="str">
        <x:v>Approximate</x:v>
      </x:c>
      <x:c r="AE85" s="8" t="str">
        <x:v>Wide temperature range; formulation-specific properties required for design.</x:v>
      </x:c>
      <x:c r="AF85" s="8" t="str">
        <x:f>IFERROR(VLOOKUP(AC85,'Sources'!$A$2:$E$12,5,FALSE),"")</x:f>
        <x:v>https://www.campusplastics.com/</x:v>
      </x:c>
      <x:c r="AG85" s="32" t="b">
        <x:f>COUNTIF($A$2:$A$127,A85)&gt;1</x:f>
        <x:v>0</x:v>
      </x:c>
    </x:row>
    <x:row r="86">
      <x:c r="A86" s="33" t="n">
        <x:v>3106</x:v>
      </x:c>
      <x:c r="B86" s="32" t="str">
        <x:v>ELASTOMER_FKM</x:v>
      </x:c>
      <x:c r="C86" s="32" t="str">
        <x:v>Fluoroelastomer</x:v>
      </x:c>
      <x:c r="D86" s="32" t="str">
        <x:v>Polymer</x:v>
      </x:c>
      <x:c r="E86" s="32" t="str">
        <x:v>Elastomer</x:v>
      </x:c>
      <x:c r="F86" s="32" t="str">
        <x:v>FKM</x:v>
      </x:c>
      <x:c r="G86" s="32" t="str">
        <x:v>Vulcanized, generic</x:v>
      </x:c>
      <x:c r="H86" s="32" t="str">
        <x:v>Nearly incompressible</x:v>
      </x:c>
      <x:c r="I86" s="34" t="n">
        <x:v>1850</x:v>
      </x:c>
      <x:c r="J86" s="35" t="n">
        <x:v>0.012</x:v>
      </x:c>
      <x:c r="K86" s="35" t="n">
        <x:v>0.49</x:v>
      </x:c>
      <x:c r="L86" s="40" t="n">
        <x:v>0.004</x:v>
      </x:c>
      <x:c r="M86" s="40" t="n">
        <x:v>1.1</x:v>
      </x:c>
      <x:c r="N86" s="39" t="n">
        <x:f>IF(L86&lt;&gt;"",L86,IF(H86&lt;&gt;"Isotropic","",IF(OR(J86="",K86=""),"",J86/(2*(1+K86)))))</x:f>
        <x:v>0.004</x:v>
      </x:c>
      <x:c r="O86" s="39" t="n">
        <x:f>IF(M86&lt;&gt;"",M86,IF(H86&lt;&gt;"Isotropic","",IF(OR(J86="",K86="",K86&gt;=0.5),"",J86/(3*(1-2*K86)))))</x:f>
        <x:v>1.1</x:v>
      </x:c>
      <x:c r="P86" s="35"/>
      <x:c r="Q86" s="35" t="n">
        <x:v>12</x:v>
      </x:c>
      <x:c r="R86" s="35"/>
      <x:c r="S86" s="35"/>
      <x:c r="T86" s="36" t="n">
        <x:v>2</x:v>
      </x:c>
      <x:c r="U86" s="35"/>
      <x:c r="V86" s="35" t="n">
        <x:v>0.2</x:v>
      </x:c>
      <x:c r="W86" s="35" t="n">
        <x:v>1200</x:v>
      </x:c>
      <x:c r="X86" s="35" t="n">
        <x:v>180</x:v>
      </x:c>
      <x:c r="Y86" s="37" t="n">
        <x:v>1000000000000</x:v>
      </x:c>
      <x:c r="Z86" s="38" t="n">
        <x:v>250</x:v>
      </x:c>
      <x:c r="AA86" s="38" t="n">
        <x:v>220</x:v>
      </x:c>
      <x:c r="AB86" s="38"/>
      <x:c r="AC86" s="32" t="n">
        <x:v>5</x:v>
      </x:c>
      <x:c r="AD86" s="32" t="str">
        <x:v>Approximate</x:v>
      </x:c>
      <x:c r="AE86" s="8" t="str">
        <x:v>Chemical compatibility and compression set are formulation-specific.</x:v>
      </x:c>
      <x:c r="AF86" s="8" t="str">
        <x:f>IFERROR(VLOOKUP(AC86,'Sources'!$A$2:$E$12,5,FALSE),"")</x:f>
        <x:v>https://www.campusplastics.com/</x:v>
      </x:c>
      <x:c r="AG86" s="32" t="b">
        <x:f>COUNTIF($A$2:$A$127,A86)&gt;1</x:f>
        <x:v>0</x:v>
      </x:c>
    </x:row>
    <x:row r="87">
      <x:c r="A87" s="33" t="n">
        <x:v>3107</x:v>
      </x:c>
      <x:c r="B87" s="32" t="str">
        <x:v>ELASTOMER_TPU</x:v>
      </x:c>
      <x:c r="C87" s="32" t="str">
        <x:v>Thermoplastic polyurethane elastomer</x:v>
      </x:c>
      <x:c r="D87" s="32" t="str">
        <x:v>Polymer</x:v>
      </x:c>
      <x:c r="E87" s="32" t="str">
        <x:v>Elastomer</x:v>
      </x:c>
      <x:c r="F87" s="32" t="str">
        <x:v>TPU</x:v>
      </x:c>
      <x:c r="G87" s="32" t="str">
        <x:v>Molded, generic</x:v>
      </x:c>
      <x:c r="H87" s="32" t="str">
        <x:v>Nearly incompressible</x:v>
      </x:c>
      <x:c r="I87" s="34" t="n">
        <x:v>1200</x:v>
      </x:c>
      <x:c r="J87" s="35" t="n">
        <x:v>0.05</x:v>
      </x:c>
      <x:c r="K87" s="35" t="n">
        <x:v>0.48</x:v>
      </x:c>
      <x:c r="L87" s="40" t="n">
        <x:v>0.017</x:v>
      </x:c>
      <x:c r="M87" s="40" t="n">
        <x:v>1</x:v>
      </x:c>
      <x:c r="N87" s="39" t="n">
        <x:f>IF(L87&lt;&gt;"",L87,IF(H87&lt;&gt;"Isotropic","",IF(OR(J87="",K87=""),"",J87/(2*(1+K87)))))</x:f>
        <x:v>0.017</x:v>
      </x:c>
      <x:c r="O87" s="39" t="n">
        <x:f>IF(M87&lt;&gt;"",M87,IF(H87&lt;&gt;"Isotropic","",IF(OR(J87="",K87="",K87&gt;=0.5),"",J87/(3*(1-2*K87)))))</x:f>
        <x:v>1</x:v>
      </x:c>
      <x:c r="P87" s="35" t="n">
        <x:v>12</x:v>
      </x:c>
      <x:c r="Q87" s="35" t="n">
        <x:v>35</x:v>
      </x:c>
      <x:c r="R87" s="35"/>
      <x:c r="S87" s="35"/>
      <x:c r="T87" s="36" t="n">
        <x:v>5</x:v>
      </x:c>
      <x:c r="U87" s="35"/>
      <x:c r="V87" s="35" t="n">
        <x:v>0.2</x:v>
      </x:c>
      <x:c r="W87" s="35" t="n">
        <x:v>1700</x:v>
      </x:c>
      <x:c r="X87" s="35" t="n">
        <x:v>160</x:v>
      </x:c>
      <x:c r="Y87" s="37" t="n">
        <x:v>100000000000</x:v>
      </x:c>
      <x:c r="Z87" s="38" t="n">
        <x:v>180</x:v>
      </x:c>
      <x:c r="AA87" s="38" t="n">
        <x:v>100</x:v>
      </x:c>
      <x:c r="AB87" s="38"/>
      <x:c r="AC87" s="32" t="n">
        <x:v>5</x:v>
      </x:c>
      <x:c r="AD87" s="32" t="str">
        <x:v>Approximate</x:v>
      </x:c>
      <x:c r="AE87" s="8" t="str">
        <x:v>Hardness grade spans a very wide range; values are screening-only.</x:v>
      </x:c>
      <x:c r="AF87" s="8" t="str">
        <x:f>IFERROR(VLOOKUP(AC87,'Sources'!$A$2:$E$12,5,FALSE),"")</x:f>
        <x:v>https://www.campusplastics.com/</x:v>
      </x:c>
      <x:c r="AG87" s="32" t="b">
        <x:f>COUNTIF($A$2:$A$127,A87)&gt;1</x:f>
        <x:v>0</x:v>
      </x:c>
    </x:row>
    <x:row r="88">
      <x:c r="A88" s="33" t="n">
        <x:v>4001</x:v>
      </x:c>
      <x:c r="B88" s="32" t="str">
        <x:v>GLASS_SODA_LIME</x:v>
      </x:c>
      <x:c r="C88" s="32" t="str">
        <x:v>Soda-lime glass</x:v>
      </x:c>
      <x:c r="D88" s="32" t="str">
        <x:v>Ceramic</x:v>
      </x:c>
      <x:c r="E88" s="32" t="str">
        <x:v>Glass</x:v>
      </x:c>
      <x:c r="F88" s="32" t="str">
        <x:v>Soda-lime silicate</x:v>
      </x:c>
      <x:c r="G88" s="32" t="str">
        <x:v>Annealed</x:v>
      </x:c>
      <x:c r="H88" s="32" t="str">
        <x:v>Isotropic</x:v>
      </x:c>
      <x:c r="I88" s="34" t="n">
        <x:v>2500</x:v>
      </x:c>
      <x:c r="J88" s="35" t="n">
        <x:v>70</x:v>
      </x:c>
      <x:c r="K88" s="35" t="n">
        <x:v>0.23</x:v>
      </x:c>
      <x:c r="L88" s="40"/>
      <x:c r="M88" s="40"/>
      <x:c r="N88" s="39" t="n">
        <x:f>IF(L88&lt;&gt;"",L88,IF(H88&lt;&gt;"Isotropic","",IF(OR(J88="",K88=""),"",J88/(2*(1+K88)))))</x:f>
        <x:v>28.45528455284553</x:v>
      </x:c>
      <x:c r="O88" s="39" t="n">
        <x:f>IF(M88&lt;&gt;"",M88,IF(H88&lt;&gt;"Isotropic","",IF(OR(J88="",K88="",K88&gt;=0.5),"",J88/(3*(1-2*K88)))))</x:f>
        <x:v>43.20987654320987</x:v>
      </x:c>
      <x:c r="P88" s="35"/>
      <x:c r="Q88" s="35" t="n">
        <x:v>45</x:v>
      </x:c>
      <x:c r="R88" s="35" t="n">
        <x:v>1000</x:v>
      </x:c>
      <x:c r="S88" s="35" t="n">
        <x:v>70</x:v>
      </x:c>
      <x:c r="T88" s="36" t="n">
        <x:v>0.001</x:v>
      </x:c>
      <x:c r="U88" s="35"/>
      <x:c r="V88" s="35" t="n">
        <x:v>1</x:v>
      </x:c>
      <x:c r="W88" s="35" t="n">
        <x:v>840</x:v>
      </x:c>
      <x:c r="X88" s="35" t="n">
        <x:v>9</x:v>
      </x:c>
      <x:c r="Y88" s="37" t="n">
        <x:v>10000000000</x:v>
      </x:c>
      <x:c r="Z88" s="38" t="n">
        <x:v>720</x:v>
      </x:c>
      <x:c r="AA88" s="38" t="n">
        <x:v>250</x:v>
      </x:c>
      <x:c r="AB88" s="38" t="n">
        <x:v>550</x:v>
      </x:c>
      <x:c r="AC88" s="32" t="n">
        <x:v>6</x:v>
      </x:c>
      <x:c r="AD88" s="32" t="str">
        <x:v>Approximate</x:v>
      </x:c>
      <x:c r="AE88" s="8" t="str">
        <x:v>Strength is flaw- and surface-condition controlled; transition is softening-type value.</x:v>
      </x:c>
      <x:c r="AF88" s="8" t="str">
        <x:f>IFERROR(VLOOKUP(AC88,'Sources'!$A$2:$E$12,5,FALSE),"")</x:f>
        <x:v>https://srdata.nist.gov/CeramicDataPortal/scd</x:v>
      </x:c>
      <x:c r="AG88" s="32" t="b">
        <x:f>COUNTIF($A$2:$A$127,A88)&gt;1</x:f>
        <x:v>0</x:v>
      </x:c>
    </x:row>
    <x:row r="89">
      <x:c r="A89" s="33" t="n">
        <x:v>4002</x:v>
      </x:c>
      <x:c r="B89" s="32" t="str">
        <x:v>GLASS_BOROSILICATE</x:v>
      </x:c>
      <x:c r="C89" s="32" t="str">
        <x:v>Borosilicate glass</x:v>
      </x:c>
      <x:c r="D89" s="32" t="str">
        <x:v>Ceramic</x:v>
      </x:c>
      <x:c r="E89" s="32" t="str">
        <x:v>Glass</x:v>
      </x:c>
      <x:c r="F89" s="32" t="str">
        <x:v>Borosilicate 3.3</x:v>
      </x:c>
      <x:c r="G89" s="32" t="str">
        <x:v>Annealed</x:v>
      </x:c>
      <x:c r="H89" s="32" t="str">
        <x:v>Isotropic</x:v>
      </x:c>
      <x:c r="I89" s="34" t="n">
        <x:v>2230</x:v>
      </x:c>
      <x:c r="J89" s="35" t="n">
        <x:v>64</x:v>
      </x:c>
      <x:c r="K89" s="35" t="n">
        <x:v>0.2</x:v>
      </x:c>
      <x:c r="L89" s="40"/>
      <x:c r="M89" s="40"/>
      <x:c r="N89" s="39" t="n">
        <x:f>IF(L89&lt;&gt;"",L89,IF(H89&lt;&gt;"Isotropic","",IF(OR(J89="",K89=""),"",J89/(2*(1+K89)))))</x:f>
        <x:v>26.666666666666668</x:v>
      </x:c>
      <x:c r="O89" s="39" t="n">
        <x:f>IF(M89&lt;&gt;"",M89,IF(H89&lt;&gt;"Isotropic","",IF(OR(J89="",K89="",K89&gt;=0.5),"",J89/(3*(1-2*K89)))))</x:f>
        <x:v>35.55555555555556</x:v>
      </x:c>
      <x:c r="P89" s="35"/>
      <x:c r="Q89" s="35" t="n">
        <x:v>40</x:v>
      </x:c>
      <x:c r="R89" s="35" t="n">
        <x:v>1000</x:v>
      </x:c>
      <x:c r="S89" s="35" t="n">
        <x:v>70</x:v>
      </x:c>
      <x:c r="T89" s="36" t="n">
        <x:v>0.001</x:v>
      </x:c>
      <x:c r="U89" s="35" t="n">
        <x:v>0.8</x:v>
      </x:c>
      <x:c r="V89" s="35" t="n">
        <x:v>1.2</x:v>
      </x:c>
      <x:c r="W89" s="35" t="n">
        <x:v>830</x:v>
      </x:c>
      <x:c r="X89" s="35" t="n">
        <x:v>3.3</x:v>
      </x:c>
      <x:c r="Y89" s="37" t="n">
        <x:v>1000000000000</x:v>
      </x:c>
      <x:c r="Z89" s="38" t="n">
        <x:v>820</x:v>
      </x:c>
      <x:c r="AA89" s="38" t="n">
        <x:v>450</x:v>
      </x:c>
      <x:c r="AB89" s="38" t="n">
        <x:v>480</x:v>
      </x:c>
      <x:c r="AC89" s="32" t="n">
        <x:v>6</x:v>
      </x:c>
      <x:c r="AD89" s="32" t="str">
        <x:v>Approximate</x:v>
      </x:c>
      <x:c r="AE89" s="8" t="str">
        <x:v>Strength is statistical and surface-condition dependent.</x:v>
      </x:c>
      <x:c r="AF89" s="8" t="str">
        <x:f>IFERROR(VLOOKUP(AC89,'Sources'!$A$2:$E$12,5,FALSE),"")</x:f>
        <x:v>https://srdata.nist.gov/CeramicDataPortal/scd</x:v>
      </x:c>
      <x:c r="AG89" s="32" t="b">
        <x:f>COUNTIF($A$2:$A$127,A89)&gt;1</x:f>
        <x:v>0</x:v>
      </x:c>
    </x:row>
    <x:row r="90">
      <x:c r="A90" s="33" t="n">
        <x:v>4003</x:v>
      </x:c>
      <x:c r="B90" s="32" t="str">
        <x:v>GLASS_FUSED_SILICA</x:v>
      </x:c>
      <x:c r="C90" s="32" t="str">
        <x:v>Fused silica</x:v>
      </x:c>
      <x:c r="D90" s="32" t="str">
        <x:v>Ceramic</x:v>
      </x:c>
      <x:c r="E90" s="32" t="str">
        <x:v>Glass</x:v>
      </x:c>
      <x:c r="F90" s="32" t="str">
        <x:v>SiO2, fused</x:v>
      </x:c>
      <x:c r="G90" s="32" t="str">
        <x:v>Annealed</x:v>
      </x:c>
      <x:c r="H90" s="32" t="str">
        <x:v>Isotropic</x:v>
      </x:c>
      <x:c r="I90" s="34" t="n">
        <x:v>2200</x:v>
      </x:c>
      <x:c r="J90" s="35" t="n">
        <x:v>73</x:v>
      </x:c>
      <x:c r="K90" s="35" t="n">
        <x:v>0.17</x:v>
      </x:c>
      <x:c r="L90" s="40"/>
      <x:c r="M90" s="40"/>
      <x:c r="N90" s="39" t="n">
        <x:f>IF(L90&lt;&gt;"",L90,IF(H90&lt;&gt;"Isotropic","",IF(OR(J90="",K90=""),"",J90/(2*(1+K90)))))</x:f>
        <x:v>31.1965811965812</x:v>
      </x:c>
      <x:c r="O90" s="39" t="n">
        <x:f>IF(M90&lt;&gt;"",M90,IF(H90&lt;&gt;"Isotropic","",IF(OR(J90="",K90="",K90&gt;=0.5),"",J90/(3*(1-2*K90)))))</x:f>
        <x:v>36.86868686868687</x:v>
      </x:c>
      <x:c r="P90" s="35"/>
      <x:c r="Q90" s="35" t="n">
        <x:v>50</x:v>
      </x:c>
      <x:c r="R90" s="35" t="n">
        <x:v>1100</x:v>
      </x:c>
      <x:c r="S90" s="35" t="n">
        <x:v>70</x:v>
      </x:c>
      <x:c r="T90" s="36" t="n">
        <x:v>0.001</x:v>
      </x:c>
      <x:c r="U90" s="35" t="n">
        <x:v>0.75</x:v>
      </x:c>
      <x:c r="V90" s="35" t="n">
        <x:v>1.38</x:v>
      </x:c>
      <x:c r="W90" s="35" t="n">
        <x:v>740</x:v>
      </x:c>
      <x:c r="X90" s="35" t="n">
        <x:v>0.55</x:v>
      </x:c>
      <x:c r="Y90" s="37" t="n">
        <x:v>10000000000000000</x:v>
      </x:c>
      <x:c r="Z90" s="38" t="n">
        <x:v>1665</x:v>
      </x:c>
      <x:c r="AA90" s="38" t="n">
        <x:v>1000</x:v>
      </x:c>
      <x:c r="AB90" s="38" t="n">
        <x:v>600</x:v>
      </x:c>
      <x:c r="AC90" s="32" t="n">
        <x:v>6</x:v>
      </x:c>
      <x:c r="AD90" s="32" t="str">
        <x:v>Representative</x:v>
      </x:c>
      <x:c r="AE90" s="8" t="str">
        <x:v>Very low expansion; tensile strength is flaw controlled.</x:v>
      </x:c>
      <x:c r="AF90" s="8" t="str">
        <x:f>IFERROR(VLOOKUP(AC90,'Sources'!$A$2:$E$12,5,FALSE),"")</x:f>
        <x:v>https://srdata.nist.gov/CeramicDataPortal/scd</x:v>
      </x:c>
      <x:c r="AG90" s="32" t="b">
        <x:f>COUNTIF($A$2:$A$127,A90)&gt;1</x:f>
        <x:v>0</x:v>
      </x:c>
    </x:row>
    <x:row r="91">
      <x:c r="A91" s="33" t="n">
        <x:v>4101</x:v>
      </x:c>
      <x:c r="B91" s="32" t="str">
        <x:v>CERAMIC_ALUMINA_96</x:v>
      </x:c>
      <x:c r="C91" s="32" t="str">
        <x:v>Alumina ceramic 96%</x:v>
      </x:c>
      <x:c r="D91" s="32" t="str">
        <x:v>Ceramic</x:v>
      </x:c>
      <x:c r="E91" s="32" t="str">
        <x:v>Oxide ceramic</x:v>
      </x:c>
      <x:c r="F91" s="32" t="str">
        <x:v>Al2O3 96%</x:v>
      </x:c>
      <x:c r="G91" s="32" t="str">
        <x:v>Dense technical ceramic</x:v>
      </x:c>
      <x:c r="H91" s="32" t="str">
        <x:v>Isotropic</x:v>
      </x:c>
      <x:c r="I91" s="34" t="n">
        <x:v>3700</x:v>
      </x:c>
      <x:c r="J91" s="35" t="n">
        <x:v>300</x:v>
      </x:c>
      <x:c r="K91" s="35" t="n">
        <x:v>0.22</x:v>
      </x:c>
      <x:c r="L91" s="40"/>
      <x:c r="M91" s="40"/>
      <x:c r="N91" s="39" t="n">
        <x:f>IF(L91&lt;&gt;"",L91,IF(H91&lt;&gt;"Isotropic","",IF(OR(J91="",K91=""),"",J91/(2*(1+K91)))))</x:f>
        <x:v>122.95081967213115</x:v>
      </x:c>
      <x:c r="O91" s="39" t="n">
        <x:f>IF(M91&lt;&gt;"",M91,IF(H91&lt;&gt;"Isotropic","",IF(OR(J91="",K91="",K91&gt;=0.5),"",J91/(3*(1-2*K91)))))</x:f>
        <x:v>178.57142857142856</x:v>
      </x:c>
      <x:c r="P91" s="35"/>
      <x:c r="Q91" s="35" t="n">
        <x:v>250</x:v>
      </x:c>
      <x:c r="R91" s="35" t="n">
        <x:v>2000</x:v>
      </x:c>
      <x:c r="S91" s="35" t="n">
        <x:v>300</x:v>
      </x:c>
      <x:c r="T91" s="36" t="n">
        <x:v>0.001</x:v>
      </x:c>
      <x:c r="U91" s="35" t="n">
        <x:v>3.5</x:v>
      </x:c>
      <x:c r="V91" s="35" t="n">
        <x:v>24</x:v>
      </x:c>
      <x:c r="W91" s="35" t="n">
        <x:v>880</x:v>
      </x:c>
      <x:c r="X91" s="35" t="n">
        <x:v>7.5</x:v>
      </x:c>
      <x:c r="Y91" s="37" t="n">
        <x:v>1000000000000</x:v>
      </x:c>
      <x:c r="Z91" s="38" t="n">
        <x:v>2050</x:v>
      </x:c>
      <x:c r="AA91" s="38" t="n">
        <x:v>1500</x:v>
      </x:c>
      <x:c r="AB91" s="38" t="n">
        <x:v>1400</x:v>
      </x:c>
      <x:c r="AC91" s="32" t="n">
        <x:v>6</x:v>
      </x:c>
      <x:c r="AD91" s="32" t="str">
        <x:v>Representative</x:v>
      </x:c>
      <x:c r="AE91" s="8" t="str">
        <x:v>Typical dense alumina; manufacturer/process affect values.</x:v>
      </x:c>
      <x:c r="AF91" s="8" t="str">
        <x:f>IFERROR(VLOOKUP(AC91,'Sources'!$A$2:$E$12,5,FALSE),"")</x:f>
        <x:v>https://srdata.nist.gov/CeramicDataPortal/scd</x:v>
      </x:c>
      <x:c r="AG91" s="32" t="b">
        <x:f>COUNTIF($A$2:$A$127,A91)&gt;1</x:f>
        <x:v>0</x:v>
      </x:c>
    </x:row>
    <x:row r="92">
      <x:c r="A92" s="33" t="n">
        <x:v>4102</x:v>
      </x:c>
      <x:c r="B92" s="32" t="str">
        <x:v>CERAMIC_ALUMINA_995</x:v>
      </x:c>
      <x:c r="C92" s="32" t="str">
        <x:v>Alumina ceramic 99.5%</x:v>
      </x:c>
      <x:c r="D92" s="32" t="str">
        <x:v>Ceramic</x:v>
      </x:c>
      <x:c r="E92" s="32" t="str">
        <x:v>Oxide ceramic</x:v>
      </x:c>
      <x:c r="F92" s="32" t="str">
        <x:v>Al2O3 99.5%</x:v>
      </x:c>
      <x:c r="G92" s="32" t="str">
        <x:v>Dense technical ceramic</x:v>
      </x:c>
      <x:c r="H92" s="32" t="str">
        <x:v>Isotropic</x:v>
      </x:c>
      <x:c r="I92" s="34" t="n">
        <x:v>3900</x:v>
      </x:c>
      <x:c r="J92" s="35" t="n">
        <x:v>370</x:v>
      </x:c>
      <x:c r="K92" s="35" t="n">
        <x:v>0.22</x:v>
      </x:c>
      <x:c r="L92" s="40"/>
      <x:c r="M92" s="40"/>
      <x:c r="N92" s="39" t="n">
        <x:f>IF(L92&lt;&gt;"",L92,IF(H92&lt;&gt;"Isotropic","",IF(OR(J92="",K92=""),"",J92/(2*(1+K92)))))</x:f>
        <x:v>151.63934426229508</x:v>
      </x:c>
      <x:c r="O92" s="39" t="n">
        <x:f>IF(M92&lt;&gt;"",M92,IF(H92&lt;&gt;"Isotropic","",IF(OR(J92="",K92="",K92&gt;=0.5),"",J92/(3*(1-2*K92)))))</x:f>
        <x:v>220.2380952380952</x:v>
      </x:c>
      <x:c r="P92" s="35"/>
      <x:c r="Q92" s="35" t="n">
        <x:v>300</x:v>
      </x:c>
      <x:c r="R92" s="35" t="n">
        <x:v>2500</x:v>
      </x:c>
      <x:c r="S92" s="35" t="n">
        <x:v>380</x:v>
      </x:c>
      <x:c r="T92" s="36" t="n">
        <x:v>0.001</x:v>
      </x:c>
      <x:c r="U92" s="35" t="n">
        <x:v>4</x:v>
      </x:c>
      <x:c r="V92" s="35" t="n">
        <x:v>30</x:v>
      </x:c>
      <x:c r="W92" s="35" t="n">
        <x:v>880</x:v>
      </x:c>
      <x:c r="X92" s="35" t="n">
        <x:v>7.8</x:v>
      </x:c>
      <x:c r="Y92" s="37" t="n">
        <x:v>10000000000000</x:v>
      </x:c>
      <x:c r="Z92" s="38" t="n">
        <x:v>2050</x:v>
      </x:c>
      <x:c r="AA92" s="38" t="n">
        <x:v>1600</x:v>
      </x:c>
      <x:c r="AB92" s="38" t="n">
        <x:v>1700</x:v>
      </x:c>
      <x:c r="AC92" s="32" t="n">
        <x:v>6</x:v>
      </x:c>
      <x:c r="AD92" s="32" t="str">
        <x:v>Representative</x:v>
      </x:c>
      <x:c r="AE92" s="8" t="str">
        <x:v>Typical high-purity dense alumina.</x:v>
      </x:c>
      <x:c r="AF92" s="8" t="str">
        <x:f>IFERROR(VLOOKUP(AC92,'Sources'!$A$2:$E$12,5,FALSE),"")</x:f>
        <x:v>https://srdata.nist.gov/CeramicDataPortal/scd</x:v>
      </x:c>
      <x:c r="AG92" s="32" t="b">
        <x:f>COUNTIF($A$2:$A$127,A92)&gt;1</x:f>
        <x:v>0</x:v>
      </x:c>
    </x:row>
    <x:row r="93">
      <x:c r="A93" s="33" t="n">
        <x:v>4103</x:v>
      </x:c>
      <x:c r="B93" s="32" t="str">
        <x:v>CERAMIC_ZIRCONIA_YTZP</x:v>
      </x:c>
      <x:c r="C93" s="32" t="str">
        <x:v>Y-TZP zirconia</x:v>
      </x:c>
      <x:c r="D93" s="32" t="str">
        <x:v>Ceramic</x:v>
      </x:c>
      <x:c r="E93" s="32" t="str">
        <x:v>Oxide ceramic</x:v>
      </x:c>
      <x:c r="F93" s="32" t="str">
        <x:v>3Y-TZP</x:v>
      </x:c>
      <x:c r="G93" s="32" t="str">
        <x:v>Dense sintered</x:v>
      </x:c>
      <x:c r="H93" s="32" t="str">
        <x:v>Isotropic</x:v>
      </x:c>
      <x:c r="I93" s="34" t="n">
        <x:v>6050</x:v>
      </x:c>
      <x:c r="J93" s="35" t="n">
        <x:v>210</x:v>
      </x:c>
      <x:c r="K93" s="35" t="n">
        <x:v>0.31</x:v>
      </x:c>
      <x:c r="L93" s="40"/>
      <x:c r="M93" s="40"/>
      <x:c r="N93" s="39" t="n">
        <x:f>IF(L93&lt;&gt;"",L93,IF(H93&lt;&gt;"Isotropic","",IF(OR(J93="",K93=""),"",J93/(2*(1+K93)))))</x:f>
        <x:v>80.1526717557252</x:v>
      </x:c>
      <x:c r="O93" s="39" t="n">
        <x:f>IF(M93&lt;&gt;"",M93,IF(H93&lt;&gt;"Isotropic","",IF(OR(J93="",K93="",K93&gt;=0.5),"",J93/(3*(1-2*K93)))))</x:f>
        <x:v>184.21052631578945</x:v>
      </x:c>
      <x:c r="P93" s="35"/>
      <x:c r="Q93" s="35" t="n">
        <x:v>700</x:v>
      </x:c>
      <x:c r="R93" s="35" t="n">
        <x:v>2000</x:v>
      </x:c>
      <x:c r="S93" s="35" t="n">
        <x:v>1000</x:v>
      </x:c>
      <x:c r="T93" s="36" t="n">
        <x:v>0.003</x:v>
      </x:c>
      <x:c r="U93" s="35" t="n">
        <x:v>8</x:v>
      </x:c>
      <x:c r="V93" s="35" t="n">
        <x:v>2.5</x:v>
      </x:c>
      <x:c r="W93" s="35" t="n">
        <x:v>480</x:v>
      </x:c>
      <x:c r="X93" s="35" t="n">
        <x:v>10.5</x:v>
      </x:c>
      <x:c r="Y93" s="37" t="n">
        <x:v>1000000000</x:v>
      </x:c>
      <x:c r="Z93" s="38" t="n">
        <x:v>2700</x:v>
      </x:c>
      <x:c r="AA93" s="38" t="n">
        <x:v>1000</x:v>
      </x:c>
      <x:c r="AB93" s="38" t="n">
        <x:v>1200</x:v>
      </x:c>
      <x:c r="AC93" s="32" t="n">
        <x:v>6</x:v>
      </x:c>
      <x:c r="AD93" s="32" t="str">
        <x:v>Representative</x:v>
      </x:c>
      <x:c r="AE93" s="8" t="str">
        <x:v>Transformation-toughened zirconia; aging and temperature limits are grade-specific.</x:v>
      </x:c>
      <x:c r="AF93" s="8" t="str">
        <x:f>IFERROR(VLOOKUP(AC93,'Sources'!$A$2:$E$12,5,FALSE),"")</x:f>
        <x:v>https://srdata.nist.gov/CeramicDataPortal/scd</x:v>
      </x:c>
      <x:c r="AG93" s="32" t="b">
        <x:f>COUNTIF($A$2:$A$127,A93)&gt;1</x:f>
        <x:v>0</x:v>
      </x:c>
    </x:row>
    <x:row r="94">
      <x:c r="A94" s="33" t="n">
        <x:v>4104</x:v>
      </x:c>
      <x:c r="B94" s="32" t="str">
        <x:v>CERAMIC_SILICON_CARBIDE</x:v>
      </x:c>
      <x:c r="C94" s="32" t="str">
        <x:v>Silicon carbide, sintered</x:v>
      </x:c>
      <x:c r="D94" s="32" t="str">
        <x:v>Ceramic</x:v>
      </x:c>
      <x:c r="E94" s="32" t="str">
        <x:v>Non-oxide ceramic</x:v>
      </x:c>
      <x:c r="F94" s="32" t="str">
        <x:v>SiC</x:v>
      </x:c>
      <x:c r="G94" s="32" t="str">
        <x:v>Pressureless sintered</x:v>
      </x:c>
      <x:c r="H94" s="32" t="str">
        <x:v>Isotropic</x:v>
      </x:c>
      <x:c r="I94" s="34" t="n">
        <x:v>3150</x:v>
      </x:c>
      <x:c r="J94" s="35" t="n">
        <x:v>410</x:v>
      </x:c>
      <x:c r="K94" s="35" t="n">
        <x:v>0.17</x:v>
      </x:c>
      <x:c r="L94" s="40"/>
      <x:c r="M94" s="40"/>
      <x:c r="N94" s="39" t="n">
        <x:f>IF(L94&lt;&gt;"",L94,IF(H94&lt;&gt;"Isotropic","",IF(OR(J94="",K94=""),"",J94/(2*(1+K94)))))</x:f>
        <x:v>175.21367521367523</x:v>
      </x:c>
      <x:c r="O94" s="39" t="n">
        <x:f>IF(M94&lt;&gt;"",M94,IF(H94&lt;&gt;"Isotropic","",IF(OR(J94="",K94="",K94&gt;=0.5),"",J94/(3*(1-2*K94)))))</x:f>
        <x:v>207.0707070707071</x:v>
      </x:c>
      <x:c r="P94" s="35"/>
      <x:c r="Q94" s="35" t="n">
        <x:v>300</x:v>
      </x:c>
      <x:c r="R94" s="35" t="n">
        <x:v>3500</x:v>
      </x:c>
      <x:c r="S94" s="35" t="n">
        <x:v>450</x:v>
      </x:c>
      <x:c r="T94" s="36" t="n">
        <x:v>0.001</x:v>
      </x:c>
      <x:c r="U94" s="35" t="n">
        <x:v>4</x:v>
      </x:c>
      <x:c r="V94" s="35" t="n">
        <x:v>120</x:v>
      </x:c>
      <x:c r="W94" s="35" t="n">
        <x:v>750</x:v>
      </x:c>
      <x:c r="X94" s="35" t="n">
        <x:v>4.3</x:v>
      </x:c>
      <x:c r="Y94" s="37" t="n">
        <x:v>100000</x:v>
      </x:c>
      <x:c r="Z94" s="38" t="n">
        <x:v>2700</x:v>
      </x:c>
      <x:c r="AA94" s="38" t="n">
        <x:v>1600</x:v>
      </x:c>
      <x:c r="AB94" s="38" t="n">
        <x:v>2500</x:v>
      </x:c>
      <x:c r="AC94" s="32" t="n">
        <x:v>6</x:v>
      </x:c>
      <x:c r="AD94" s="32" t="str">
        <x:v>Representative</x:v>
      </x:c>
      <x:c r="AE94" s="8" t="str">
        <x:v>Thermal conductivity varies with grade and purity.</x:v>
      </x:c>
      <x:c r="AF94" s="8" t="str">
        <x:f>IFERROR(VLOOKUP(AC94,'Sources'!$A$2:$E$12,5,FALSE),"")</x:f>
        <x:v>https://srdata.nist.gov/CeramicDataPortal/scd</x:v>
      </x:c>
      <x:c r="AG94" s="32" t="b">
        <x:f>COUNTIF($A$2:$A$127,A94)&gt;1</x:f>
        <x:v>0</x:v>
      </x:c>
    </x:row>
    <x:row r="95">
      <x:c r="A95" s="33" t="n">
        <x:v>4105</x:v>
      </x:c>
      <x:c r="B95" s="32" t="str">
        <x:v>CERAMIC_SILICON_NITRIDE</x:v>
      </x:c>
      <x:c r="C95" s="32" t="str">
        <x:v>Silicon nitride, dense</x:v>
      </x:c>
      <x:c r="D95" s="32" t="str">
        <x:v>Ceramic</x:v>
      </x:c>
      <x:c r="E95" s="32" t="str">
        <x:v>Non-oxide ceramic</x:v>
      </x:c>
      <x:c r="F95" s="32" t="str">
        <x:v>Si3N4</x:v>
      </x:c>
      <x:c r="G95" s="32" t="str">
        <x:v>Dense sintered/HIP typical</x:v>
      </x:c>
      <x:c r="H95" s="32" t="str">
        <x:v>Isotropic</x:v>
      </x:c>
      <x:c r="I95" s="34" t="n">
        <x:v>3200</x:v>
      </x:c>
      <x:c r="J95" s="35" t="n">
        <x:v>300</x:v>
      </x:c>
      <x:c r="K95" s="35" t="n">
        <x:v>0.27</x:v>
      </x:c>
      <x:c r="L95" s="40"/>
      <x:c r="M95" s="40"/>
      <x:c r="N95" s="39" t="n">
        <x:f>IF(L95&lt;&gt;"",L95,IF(H95&lt;&gt;"Isotropic","",IF(OR(J95="",K95=""),"",J95/(2*(1+K95)))))</x:f>
        <x:v>118.11023622047244</x:v>
      </x:c>
      <x:c r="O95" s="39" t="n">
        <x:f>IF(M95&lt;&gt;"",M95,IF(H95&lt;&gt;"Isotropic","",IF(OR(J95="",K95="",K95&gt;=0.5),"",J95/(3*(1-2*K95)))))</x:f>
        <x:v>217.3913043478261</x:v>
      </x:c>
      <x:c r="P95" s="35"/>
      <x:c r="Q95" s="35" t="n">
        <x:v>500</x:v>
      </x:c>
      <x:c r="R95" s="35" t="n">
        <x:v>3000</x:v>
      </x:c>
      <x:c r="S95" s="35" t="n">
        <x:v>800</x:v>
      </x:c>
      <x:c r="T95" s="36" t="n">
        <x:v>0.002</x:v>
      </x:c>
      <x:c r="U95" s="35" t="n">
        <x:v>6.5</x:v>
      </x:c>
      <x:c r="V95" s="35" t="n">
        <x:v>25</x:v>
      </x:c>
      <x:c r="W95" s="35" t="n">
        <x:v>700</x:v>
      </x:c>
      <x:c r="X95" s="35" t="n">
        <x:v>3.2</x:v>
      </x:c>
      <x:c r="Y95" s="37" t="n">
        <x:v>1000000000000</x:v>
      </x:c>
      <x:c r="Z95" s="38" t="n">
        <x:v>1900</x:v>
      </x:c>
      <x:c r="AA95" s="38" t="n">
        <x:v>1200</x:v>
      </x:c>
      <x:c r="AB95" s="38" t="n">
        <x:v>1600</x:v>
      </x:c>
      <x:c r="AC95" s="32" t="n">
        <x:v>6</x:v>
      </x:c>
      <x:c r="AD95" s="32" t="str">
        <x:v>Representative</x:v>
      </x:c>
      <x:c r="AE95" s="8" t="str">
        <x:v>NIST records distinguish RBSN, SSN, HPSN and HIP grades.</x:v>
      </x:c>
      <x:c r="AF95" s="8" t="str">
        <x:f>IFERROR(VLOOKUP(AC95,'Sources'!$A$2:$E$12,5,FALSE),"")</x:f>
        <x:v>https://srdata.nist.gov/CeramicDataPortal/scd</x:v>
      </x:c>
      <x:c r="AG95" s="32" t="b">
        <x:f>COUNTIF($A$2:$A$127,A95)&gt;1</x:f>
        <x:v>0</x:v>
      </x:c>
    </x:row>
    <x:row r="96">
      <x:c r="A96" s="33" t="n">
        <x:v>4106</x:v>
      </x:c>
      <x:c r="B96" s="32" t="str">
        <x:v>CERAMIC_ALUMINUM_NITRIDE</x:v>
      </x:c>
      <x:c r="C96" s="32" t="str">
        <x:v>Aluminum nitride</x:v>
      </x:c>
      <x:c r="D96" s="32" t="str">
        <x:v>Ceramic</x:v>
      </x:c>
      <x:c r="E96" s="32" t="str">
        <x:v>Non-oxide ceramic</x:v>
      </x:c>
      <x:c r="F96" s="32" t="str">
        <x:v>AlN</x:v>
      </x:c>
      <x:c r="G96" s="32" t="str">
        <x:v>Dense sintered</x:v>
      </x:c>
      <x:c r="H96" s="32" t="str">
        <x:v>Isotropic</x:v>
      </x:c>
      <x:c r="I96" s="34" t="n">
        <x:v>3260</x:v>
      </x:c>
      <x:c r="J96" s="35" t="n">
        <x:v>310</x:v>
      </x:c>
      <x:c r="K96" s="35" t="n">
        <x:v>0.24</x:v>
      </x:c>
      <x:c r="L96" s="40"/>
      <x:c r="M96" s="40"/>
      <x:c r="N96" s="39" t="n">
        <x:f>IF(L96&lt;&gt;"",L96,IF(H96&lt;&gt;"Isotropic","",IF(OR(J96="",K96=""),"",J96/(2*(1+K96)))))</x:f>
        <x:v>125</x:v>
      </x:c>
      <x:c r="O96" s="39" t="n">
        <x:f>IF(M96&lt;&gt;"",M96,IF(H96&lt;&gt;"Isotropic","",IF(OR(J96="",K96="",K96&gt;=0.5),"",J96/(3*(1-2*K96)))))</x:f>
        <x:v>198.7179487179487</x:v>
      </x:c>
      <x:c r="P96" s="35"/>
      <x:c r="Q96" s="35" t="n">
        <x:v>300</x:v>
      </x:c>
      <x:c r="R96" s="35" t="n">
        <x:v>2100</x:v>
      </x:c>
      <x:c r="S96" s="35" t="n">
        <x:v>350</x:v>
      </x:c>
      <x:c r="T96" s="36" t="n">
        <x:v>0.001</x:v>
      </x:c>
      <x:c r="U96" s="35" t="n">
        <x:v>3</x:v>
      </x:c>
      <x:c r="V96" s="35" t="n">
        <x:v>170</x:v>
      </x:c>
      <x:c r="W96" s="35" t="n">
        <x:v>740</x:v>
      </x:c>
      <x:c r="X96" s="35" t="n">
        <x:v>4.5</x:v>
      </x:c>
      <x:c r="Y96" s="37" t="n">
        <x:v>1000000000000</x:v>
      </x:c>
      <x:c r="Z96" s="38" t="n">
        <x:v>2200</x:v>
      </x:c>
      <x:c r="AA96" s="38" t="n">
        <x:v>1000</x:v>
      </x:c>
      <x:c r="AB96" s="38" t="n">
        <x:v>1100</x:v>
      </x:c>
      <x:c r="AC96" s="32" t="n">
        <x:v>6</x:v>
      </x:c>
      <x:c r="AD96" s="32" t="str">
        <x:v>Representative</x:v>
      </x:c>
      <x:c r="AE96" s="8" t="str">
        <x:v>Conductivity depends strongly on purity and additives.</x:v>
      </x:c>
      <x:c r="AF96" s="8" t="str">
        <x:f>IFERROR(VLOOKUP(AC96,'Sources'!$A$2:$E$12,5,FALSE),"")</x:f>
        <x:v>https://srdata.nist.gov/CeramicDataPortal/scd</x:v>
      </x:c>
      <x:c r="AG96" s="32" t="b">
        <x:f>COUNTIF($A$2:$A$127,A96)&gt;1</x:f>
        <x:v>0</x:v>
      </x:c>
    </x:row>
    <x:row r="97">
      <x:c r="A97" s="33" t="n">
        <x:v>4107</x:v>
      </x:c>
      <x:c r="B97" s="32" t="str">
        <x:v>CERAMIC_BORON_CARBIDE</x:v>
      </x:c>
      <x:c r="C97" s="32" t="str">
        <x:v>Boron carbide</x:v>
      </x:c>
      <x:c r="D97" s="32" t="str">
        <x:v>Ceramic</x:v>
      </x:c>
      <x:c r="E97" s="32" t="str">
        <x:v>Non-oxide ceramic</x:v>
      </x:c>
      <x:c r="F97" s="32" t="str">
        <x:v>B4C</x:v>
      </x:c>
      <x:c r="G97" s="32" t="str">
        <x:v>Hot pressed</x:v>
      </x:c>
      <x:c r="H97" s="32" t="str">
        <x:v>Isotropic</x:v>
      </x:c>
      <x:c r="I97" s="34" t="n">
        <x:v>2520</x:v>
      </x:c>
      <x:c r="J97" s="35" t="n">
        <x:v>450</x:v>
      </x:c>
      <x:c r="K97" s="35" t="n">
        <x:v>0.17</x:v>
      </x:c>
      <x:c r="L97" s="40"/>
      <x:c r="M97" s="40"/>
      <x:c r="N97" s="39" t="n">
        <x:f>IF(L97&lt;&gt;"",L97,IF(H97&lt;&gt;"Isotropic","",IF(OR(J97="",K97=""),"",J97/(2*(1+K97)))))</x:f>
        <x:v>192.30769230769232</x:v>
      </x:c>
      <x:c r="O97" s="39" t="n">
        <x:f>IF(M97&lt;&gt;"",M97,IF(H97&lt;&gt;"Isotropic","",IF(OR(J97="",K97="",K97&gt;=0.5),"",J97/(3*(1-2*K97)))))</x:f>
        <x:v>227.2727272727273</x:v>
      </x:c>
      <x:c r="P97" s="35"/>
      <x:c r="Q97" s="35" t="n">
        <x:v>300</x:v>
      </x:c>
      <x:c r="R97" s="35" t="n">
        <x:v>3500</x:v>
      </x:c>
      <x:c r="S97" s="35" t="n">
        <x:v>500</x:v>
      </x:c>
      <x:c r="T97" s="36" t="n">
        <x:v>0.001</x:v>
      </x:c>
      <x:c r="U97" s="35" t="n">
        <x:v>3</x:v>
      </x:c>
      <x:c r="V97" s="35" t="n">
        <x:v>30</x:v>
      </x:c>
      <x:c r="W97" s="35" t="n">
        <x:v>950</x:v>
      </x:c>
      <x:c r="X97" s="35" t="n">
        <x:v>4.5</x:v>
      </x:c>
      <x:c r="Y97" s="37" t="n">
        <x:v>10000</x:v>
      </x:c>
      <x:c r="Z97" s="38" t="n">
        <x:v>2450</x:v>
      </x:c>
      <x:c r="AA97" s="38" t="n">
        <x:v>1800</x:v>
      </x:c>
      <x:c r="AB97" s="38" t="n">
        <x:v>3000</x:v>
      </x:c>
      <x:c r="AC97" s="32" t="n">
        <x:v>6</x:v>
      </x:c>
      <x:c r="AD97" s="32" t="str">
        <x:v>Approximate</x:v>
      </x:c>
      <x:c r="AE97" s="8" t="str">
        <x:v>Very hard brittle ceramic; grade and porosity affect values.</x:v>
      </x:c>
      <x:c r="AF97" s="8" t="str">
        <x:f>IFERROR(VLOOKUP(AC97,'Sources'!$A$2:$E$12,5,FALSE),"")</x:f>
        <x:v>https://srdata.nist.gov/CeramicDataPortal/scd</x:v>
      </x:c>
      <x:c r="AG97" s="32" t="b">
        <x:f>COUNTIF($A$2:$A$127,A97)&gt;1</x:f>
        <x:v>0</x:v>
      </x:c>
    </x:row>
    <x:row r="98">
      <x:c r="A98" s="33" t="n">
        <x:v>4108</x:v>
      </x:c>
      <x:c r="B98" s="32" t="str">
        <x:v>CERAMIC_MULLITE</x:v>
      </x:c>
      <x:c r="C98" s="32" t="str">
        <x:v>Mullite ceramic</x:v>
      </x:c>
      <x:c r="D98" s="32" t="str">
        <x:v>Ceramic</x:v>
      </x:c>
      <x:c r="E98" s="32" t="str">
        <x:v>Oxide ceramic</x:v>
      </x:c>
      <x:c r="F98" s="32" t="str">
        <x:v>3Al2O3-2SiO2</x:v>
      </x:c>
      <x:c r="G98" s="32" t="str">
        <x:v>Dense fired</x:v>
      </x:c>
      <x:c r="H98" s="32" t="str">
        <x:v>Isotropic</x:v>
      </x:c>
      <x:c r="I98" s="34" t="n">
        <x:v>2800</x:v>
      </x:c>
      <x:c r="J98" s="35" t="n">
        <x:v>145</x:v>
      </x:c>
      <x:c r="K98" s="35" t="n">
        <x:v>0.25</x:v>
      </x:c>
      <x:c r="L98" s="40"/>
      <x:c r="M98" s="40"/>
      <x:c r="N98" s="39" t="n">
        <x:f>IF(L98&lt;&gt;"",L98,IF(H98&lt;&gt;"Isotropic","",IF(OR(J98="",K98=""),"",J98/(2*(1+K98)))))</x:f>
        <x:v>58</x:v>
      </x:c>
      <x:c r="O98" s="39" t="n">
        <x:f>IF(M98&lt;&gt;"",M98,IF(H98&lt;&gt;"Isotropic","",IF(OR(J98="",K98="",K98&gt;=0.5),"",J98/(3*(1-2*K98)))))</x:f>
        <x:v>96.66666666666667</x:v>
      </x:c>
      <x:c r="P98" s="35"/>
      <x:c r="Q98" s="35" t="n">
        <x:v>100</x:v>
      </x:c>
      <x:c r="R98" s="35" t="n">
        <x:v>550</x:v>
      </x:c>
      <x:c r="S98" s="35" t="n">
        <x:v>170</x:v>
      </x:c>
      <x:c r="T98" s="36" t="n">
        <x:v>0.001</x:v>
      </x:c>
      <x:c r="U98" s="35" t="n">
        <x:v>2</x:v>
      </x:c>
      <x:c r="V98" s="35" t="n">
        <x:v>5</x:v>
      </x:c>
      <x:c r="W98" s="35" t="n">
        <x:v>800</x:v>
      </x:c>
      <x:c r="X98" s="35" t="n">
        <x:v>5.3</x:v>
      </x:c>
      <x:c r="Y98" s="37" t="n">
        <x:v>10000000000</x:v>
      </x:c>
      <x:c r="Z98" s="38" t="n">
        <x:v>1850</x:v>
      </x:c>
      <x:c r="AA98" s="38" t="n">
        <x:v>1400</x:v>
      </x:c>
      <x:c r="AB98" s="38" t="n">
        <x:v>1000</x:v>
      </x:c>
      <x:c r="AC98" s="32" t="n">
        <x:v>6</x:v>
      </x:c>
      <x:c r="AD98" s="32" t="str">
        <x:v>Approximate</x:v>
      </x:c>
      <x:c r="AE98" s="8" t="str">
        <x:v>Porosity strongly affects mechanical and thermal values.</x:v>
      </x:c>
      <x:c r="AF98" s="8" t="str">
        <x:f>IFERROR(VLOOKUP(AC98,'Sources'!$A$2:$E$12,5,FALSE),"")</x:f>
        <x:v>https://srdata.nist.gov/CeramicDataPortal/scd</x:v>
      </x:c>
      <x:c r="AG98" s="32" t="b">
        <x:f>COUNTIF($A$2:$A$127,A98)&gt;1</x:f>
        <x:v>0</x:v>
      </x:c>
    </x:row>
    <x:row r="99">
      <x:c r="A99" s="33" t="n">
        <x:v>4109</x:v>
      </x:c>
      <x:c r="B99" s="32" t="str">
        <x:v>CERAMIC_PORCELAIN_ELECTRICAL</x:v>
      </x:c>
      <x:c r="C99" s="32" t="str">
        <x:v>Electrical porcelain</x:v>
      </x:c>
      <x:c r="D99" s="32" t="str">
        <x:v>Ceramic</x:v>
      </x:c>
      <x:c r="E99" s="32" t="str">
        <x:v>Silicate ceramic</x:v>
      </x:c>
      <x:c r="F99" s="32" t="str">
        <x:v>Electrical porcelain</x:v>
      </x:c>
      <x:c r="G99" s="32" t="str">
        <x:v>Fired, glazed typical</x:v>
      </x:c>
      <x:c r="H99" s="32" t="str">
        <x:v>Isotropic</x:v>
      </x:c>
      <x:c r="I99" s="34" t="n">
        <x:v>2400</x:v>
      </x:c>
      <x:c r="J99" s="35" t="n">
        <x:v>70</x:v>
      </x:c>
      <x:c r="K99" s="35" t="n">
        <x:v>0.22</x:v>
      </x:c>
      <x:c r="L99" s="40"/>
      <x:c r="M99" s="40"/>
      <x:c r="N99" s="39" t="n">
        <x:f>IF(L99&lt;&gt;"",L99,IF(H99&lt;&gt;"Isotropic","",IF(OR(J99="",K99=""),"",J99/(2*(1+K99)))))</x:f>
        <x:v>28.688524590163937</x:v>
      </x:c>
      <x:c r="O99" s="39" t="n">
        <x:f>IF(M99&lt;&gt;"",M99,IF(H99&lt;&gt;"Isotropic","",IF(OR(J99="",K99="",K99&gt;=0.5),"",J99/(3*(1-2*K99)))))</x:f>
        <x:v>41.666666666666664</x:v>
      </x:c>
      <x:c r="P99" s="35"/>
      <x:c r="Q99" s="35" t="n">
        <x:v>50</x:v>
      </x:c>
      <x:c r="R99" s="35" t="n">
        <x:v>500</x:v>
      </x:c>
      <x:c r="S99" s="35" t="n">
        <x:v>90</x:v>
      </x:c>
      <x:c r="T99" s="36" t="n">
        <x:v>0.001</x:v>
      </x:c>
      <x:c r="U99" s="35" t="n">
        <x:v>1.5</x:v>
      </x:c>
      <x:c r="V99" s="35" t="n">
        <x:v>2</x:v>
      </x:c>
      <x:c r="W99" s="35" t="n">
        <x:v>800</x:v>
      </x:c>
      <x:c r="X99" s="35" t="n">
        <x:v>6</x:v>
      </x:c>
      <x:c r="Y99" s="37" t="n">
        <x:v>1000000000000</x:v>
      </x:c>
      <x:c r="Z99" s="38" t="n">
        <x:v>1250</x:v>
      </x:c>
      <x:c r="AA99" s="38" t="n">
        <x:v>800</x:v>
      </x:c>
      <x:c r="AB99" s="38" t="n">
        <x:v>600</x:v>
      </x:c>
      <x:c r="AC99" s="32" t="n">
        <x:v>6</x:v>
      </x:c>
      <x:c r="AD99" s="32" t="str">
        <x:v>Approximate</x:v>
      </x:c>
      <x:c r="AE99" s="8" t="str">
        <x:v>Body formulation and porosity vary by product.</x:v>
      </x:c>
      <x:c r="AF99" s="8" t="str">
        <x:f>IFERROR(VLOOKUP(AC99,'Sources'!$A$2:$E$12,5,FALSE),"")</x:f>
        <x:v>https://srdata.nist.gov/CeramicDataPortal/scd</x:v>
      </x:c>
      <x:c r="AG99" s="32" t="b">
        <x:f>COUNTIF($A$2:$A$127,A99)&gt;1</x:f>
        <x:v>0</x:v>
      </x:c>
    </x:row>
    <x:row r="100">
      <x:c r="A100" s="33" t="n">
        <x:v>4110</x:v>
      </x:c>
      <x:c r="B100" s="32" t="str">
        <x:v>CARBON_GRAPHITE_ISOTROPIC</x:v>
      </x:c>
      <x:c r="C100" s="32" t="str">
        <x:v>Isotropic fine-grain graphite</x:v>
      </x:c>
      <x:c r="D100" s="32" t="str">
        <x:v>Ceramic</x:v>
      </x:c>
      <x:c r="E100" s="32" t="str">
        <x:v>Carbon material</x:v>
      </x:c>
      <x:c r="F100" s="32" t="str">
        <x:v>Synthetic graphite</x:v>
      </x:c>
      <x:c r="G100" s="32" t="str">
        <x:v>Fine-grain isotropic</x:v>
      </x:c>
      <x:c r="H100" s="32" t="str">
        <x:v>Isotropic</x:v>
      </x:c>
      <x:c r="I100" s="34" t="n">
        <x:v>1800</x:v>
      </x:c>
      <x:c r="J100" s="35" t="n">
        <x:v>10</x:v>
      </x:c>
      <x:c r="K100" s="35" t="n">
        <x:v>0.2</x:v>
      </x:c>
      <x:c r="L100" s="40"/>
      <x:c r="M100" s="40"/>
      <x:c r="N100" s="39" t="n">
        <x:f>IF(L100&lt;&gt;"",L100,IF(H100&lt;&gt;"Isotropic","",IF(OR(J100="",K100=""),"",J100/(2*(1+K100)))))</x:f>
        <x:v>4.166666666666667</x:v>
      </x:c>
      <x:c r="O100" s="39" t="n">
        <x:f>IF(M100&lt;&gt;"",M100,IF(H100&lt;&gt;"Isotropic","",IF(OR(J100="",K100="",K100&gt;=0.5),"",J100/(3*(1-2*K100)))))</x:f>
        <x:v>5.555555555555556</x:v>
      </x:c>
      <x:c r="P100" s="35"/>
      <x:c r="Q100" s="35" t="n">
        <x:v>30</x:v>
      </x:c>
      <x:c r="R100" s="35" t="n">
        <x:v>100</x:v>
      </x:c>
      <x:c r="S100" s="35" t="n">
        <x:v>50</x:v>
      </x:c>
      <x:c r="T100" s="36" t="n">
        <x:v>0.003</x:v>
      </x:c>
      <x:c r="U100" s="35" t="n">
        <x:v>1</x:v>
      </x:c>
      <x:c r="V100" s="35" t="n">
        <x:v>120</x:v>
      </x:c>
      <x:c r="W100" s="35" t="n">
        <x:v>710</x:v>
      </x:c>
      <x:c r="X100" s="35" t="n">
        <x:v>4</x:v>
      </x:c>
      <x:c r="Y100" s="37" t="n">
        <x:v>0.000013</x:v>
      </x:c>
      <x:c r="Z100" s="38" t="n">
        <x:v>3650</x:v>
      </x:c>
      <x:c r="AA100" s="38" t="n">
        <x:v>2000</x:v>
      </x:c>
      <x:c r="AB100" s="38" t="n">
        <x:v>25</x:v>
      </x:c>
      <x:c r="AC100" s="32" t="n">
        <x:v>11</x:v>
      </x:c>
      <x:c r="AD100" s="32" t="str">
        <x:v>Approximate</x:v>
      </x:c>
      <x:c r="AE100" s="8" t="str">
        <x:v>Sublimes rather than melts at atmospheric pressure; oxidation limits service in air.</x:v>
      </x:c>
      <x:c r="AF100" s="8" t="str">
        <x:f>IFERROR(VLOOKUP(AC100,'Sources'!$A$2:$E$12,5,FALSE),"")</x:f>
        <x:v>https://tpsx.arc.nasa.gov/</x:v>
      </x:c>
      <x:c r="AG100" s="32" t="b">
        <x:f>COUNTIF($A$2:$A$127,A100)&gt;1</x:f>
        <x:v>0</x:v>
      </x:c>
    </x:row>
    <x:row r="101">
      <x:c r="A101" s="33" t="n">
        <x:v>4111</x:v>
      </x:c>
      <x:c r="B101" s="32" t="str">
        <x:v>CERMET_TUNGSTEN_CARBIDE_6CO</x:v>
      </x:c>
      <x:c r="C101" s="32" t="str">
        <x:v>Tungsten carbide with 6% cobalt</x:v>
      </x:c>
      <x:c r="D101" s="32" t="str">
        <x:v>Ceramic</x:v>
      </x:c>
      <x:c r="E101" s="32" t="str">
        <x:v>Cermet</x:v>
      </x:c>
      <x:c r="F101" s="32" t="str">
        <x:v>WC-6Co</x:v>
      </x:c>
      <x:c r="G101" s="32" t="str">
        <x:v>Sintered</x:v>
      </x:c>
      <x:c r="H101" s="32" t="str">
        <x:v>Isotropic</x:v>
      </x:c>
      <x:c r="I101" s="34" t="n">
        <x:v>14900</x:v>
      </x:c>
      <x:c r="J101" s="35" t="n">
        <x:v>600</x:v>
      </x:c>
      <x:c r="K101" s="35" t="n">
        <x:v>0.22</x:v>
      </x:c>
      <x:c r="L101" s="40"/>
      <x:c r="M101" s="40"/>
      <x:c r="N101" s="39" t="n">
        <x:f>IF(L101&lt;&gt;"",L101,IF(H101&lt;&gt;"Isotropic","",IF(OR(J101="",K101=""),"",J101/(2*(1+K101)))))</x:f>
        <x:v>245.9016393442623</x:v>
      </x:c>
      <x:c r="O101" s="39" t="n">
        <x:f>IF(M101&lt;&gt;"",M101,IF(H101&lt;&gt;"Isotropic","",IF(OR(J101="",K101="",K101&gt;=0.5),"",J101/(3*(1-2*K101)))))</x:f>
        <x:v>357.1428571428571</x:v>
      </x:c>
      <x:c r="P101" s="35"/>
      <x:c r="Q101" s="35" t="n">
        <x:v>800</x:v>
      </x:c>
      <x:c r="R101" s="35" t="n">
        <x:v>5000</x:v>
      </x:c>
      <x:c r="S101" s="35" t="n">
        <x:v>2000</x:v>
      </x:c>
      <x:c r="T101" s="36" t="n">
        <x:v>0.003</x:v>
      </x:c>
      <x:c r="U101" s="35" t="n">
        <x:v>10</x:v>
      </x:c>
      <x:c r="V101" s="35" t="n">
        <x:v>84</x:v>
      </x:c>
      <x:c r="W101" s="35" t="n">
        <x:v>200</x:v>
      </x:c>
      <x:c r="X101" s="35" t="n">
        <x:v>5</x:v>
      </x:c>
      <x:c r="Y101" s="37" t="n">
        <x:v>2e-7</x:v>
      </x:c>
      <x:c r="Z101" s="38" t="n">
        <x:v>2870</x:v>
      </x:c>
      <x:c r="AA101" s="38" t="n">
        <x:v>800</x:v>
      </x:c>
      <x:c r="AB101" s="38" t="n">
        <x:v>1600</x:v>
      </x:c>
      <x:c r="AC101" s="32" t="n">
        <x:v>6</x:v>
      </x:c>
      <x:c r="AD101" s="32" t="str">
        <x:v>Approximate</x:v>
      </x:c>
      <x:c r="AE101" s="8" t="str">
        <x:v>Cobalt fraction and carbide grain size govern toughness and hardness.</x:v>
      </x:c>
      <x:c r="AF101" s="8" t="str">
        <x:f>IFERROR(VLOOKUP(AC101,'Sources'!$A$2:$E$12,5,FALSE),"")</x:f>
        <x:v>https://srdata.nist.gov/CeramicDataPortal/scd</x:v>
      </x:c>
      <x:c r="AG101" s="32" t="b">
        <x:f>COUNTIF($A$2:$A$127,A101)&gt;1</x:f>
        <x:v>0</x:v>
      </x:c>
    </x:row>
    <x:row r="102">
      <x:c r="A102" s="33" t="n">
        <x:v>4112</x:v>
      </x:c>
      <x:c r="B102" s="32" t="str">
        <x:v>CERAMIC_STEATITE</x:v>
      </x:c>
      <x:c r="C102" s="32" t="str">
        <x:v>Steatite ceramic</x:v>
      </x:c>
      <x:c r="D102" s="32" t="str">
        <x:v>Ceramic</x:v>
      </x:c>
      <x:c r="E102" s="32" t="str">
        <x:v>Silicate ceramic</x:v>
      </x:c>
      <x:c r="F102" s="32" t="str">
        <x:v>Magnesium silicate</x:v>
      </x:c>
      <x:c r="G102" s="32" t="str">
        <x:v>Fired technical ceramic</x:v>
      </x:c>
      <x:c r="H102" s="32" t="str">
        <x:v>Isotropic</x:v>
      </x:c>
      <x:c r="I102" s="34" t="n">
        <x:v>2700</x:v>
      </x:c>
      <x:c r="J102" s="35" t="n">
        <x:v>105</x:v>
      </x:c>
      <x:c r="K102" s="35" t="n">
        <x:v>0.22</x:v>
      </x:c>
      <x:c r="L102" s="40"/>
      <x:c r="M102" s="40"/>
      <x:c r="N102" s="39" t="n">
        <x:f>IF(L102&lt;&gt;"",L102,IF(H102&lt;&gt;"Isotropic","",IF(OR(J102="",K102=""),"",J102/(2*(1+K102)))))</x:f>
        <x:v>43.032786885245905</x:v>
      </x:c>
      <x:c r="O102" s="39" t="n">
        <x:f>IF(M102&lt;&gt;"",M102,IF(H102&lt;&gt;"Isotropic","",IF(OR(J102="",K102="",K102&gt;=0.5),"",J102/(3*(1-2*K102)))))</x:f>
        <x:v>62.49999999999999</x:v>
      </x:c>
      <x:c r="P102" s="35"/>
      <x:c r="Q102" s="35" t="n">
        <x:v>120</x:v>
      </x:c>
      <x:c r="R102" s="35" t="n">
        <x:v>900</x:v>
      </x:c>
      <x:c r="S102" s="35" t="n">
        <x:v>180</x:v>
      </x:c>
      <x:c r="T102" s="36" t="n">
        <x:v>0.001</x:v>
      </x:c>
      <x:c r="U102" s="35" t="n">
        <x:v>2</x:v>
      </x:c>
      <x:c r="V102" s="35" t="n">
        <x:v>3</x:v>
      </x:c>
      <x:c r="W102" s="35" t="n">
        <x:v>850</x:v>
      </x:c>
      <x:c r="X102" s="35" t="n">
        <x:v>7.5</x:v>
      </x:c>
      <x:c r="Y102" s="37" t="n">
        <x:v>1000000000000</x:v>
      </x:c>
      <x:c r="Z102" s="38" t="n">
        <x:v>1400</x:v>
      </x:c>
      <x:c r="AA102" s="38" t="n">
        <x:v>1000</x:v>
      </x:c>
      <x:c r="AB102" s="38" t="n">
        <x:v>800</x:v>
      </x:c>
      <x:c r="AC102" s="32" t="n">
        <x:v>6</x:v>
      </x:c>
      <x:c r="AD102" s="32" t="str">
        <x:v>Approximate</x:v>
      </x:c>
      <x:c r="AE102" s="8" t="str">
        <x:v>Electrical ceramic screening values.</x:v>
      </x:c>
      <x:c r="AF102" s="8" t="str">
        <x:f>IFERROR(VLOOKUP(AC102,'Sources'!$A$2:$E$12,5,FALSE),"")</x:f>
        <x:v>https://srdata.nist.gov/CeramicDataPortal/scd</x:v>
      </x:c>
      <x:c r="AG102" s="32" t="b">
        <x:f>COUNTIF($A$2:$A$127,A102)&gt;1</x:f>
        <x:v>0</x:v>
      </x:c>
    </x:row>
    <x:row r="103">
      <x:c r="A103" s="33" t="n">
        <x:v>4113</x:v>
      </x:c>
      <x:c r="B103" s="32" t="str">
        <x:v>CERAMIC_CORDIERITE</x:v>
      </x:c>
      <x:c r="C103" s="32" t="str">
        <x:v>Cordierite ceramic</x:v>
      </x:c>
      <x:c r="D103" s="32" t="str">
        <x:v>Ceramic</x:v>
      </x:c>
      <x:c r="E103" s="32" t="str">
        <x:v>Silicate ceramic</x:v>
      </x:c>
      <x:c r="F103" s="32" t="str">
        <x:v>Cordierite</x:v>
      </x:c>
      <x:c r="G103" s="32" t="str">
        <x:v>Fired technical ceramic</x:v>
      </x:c>
      <x:c r="H103" s="32" t="str">
        <x:v>Isotropic</x:v>
      </x:c>
      <x:c r="I103" s="34" t="n">
        <x:v>2300</x:v>
      </x:c>
      <x:c r="J103" s="35" t="n">
        <x:v>120</x:v>
      </x:c>
      <x:c r="K103" s="35" t="n">
        <x:v>0.25</x:v>
      </x:c>
      <x:c r="L103" s="40"/>
      <x:c r="M103" s="40"/>
      <x:c r="N103" s="39" t="n">
        <x:f>IF(L103&lt;&gt;"",L103,IF(H103&lt;&gt;"Isotropic","",IF(OR(J103="",K103=""),"",J103/(2*(1+K103)))))</x:f>
        <x:v>48</x:v>
      </x:c>
      <x:c r="O103" s="39" t="n">
        <x:f>IF(M103&lt;&gt;"",M103,IF(H103&lt;&gt;"Isotropic","",IF(OR(J103="",K103="",K103&gt;=0.5),"",J103/(3*(1-2*K103)))))</x:f>
        <x:v>80</x:v>
      </x:c>
      <x:c r="P103" s="35"/>
      <x:c r="Q103" s="35" t="n">
        <x:v>80</x:v>
      </x:c>
      <x:c r="R103" s="35" t="n">
        <x:v>500</x:v>
      </x:c>
      <x:c r="S103" s="35" t="n">
        <x:v>120</x:v>
      </x:c>
      <x:c r="T103" s="36" t="n">
        <x:v>0.001</x:v>
      </x:c>
      <x:c r="U103" s="35" t="n">
        <x:v>2</x:v>
      </x:c>
      <x:c r="V103" s="35" t="n">
        <x:v>3</x:v>
      </x:c>
      <x:c r="W103" s="35" t="n">
        <x:v>800</x:v>
      </x:c>
      <x:c r="X103" s="35" t="n">
        <x:v>2</x:v>
      </x:c>
      <x:c r="Y103" s="37" t="n">
        <x:v>10000000000</x:v>
      </x:c>
      <x:c r="Z103" s="38" t="n">
        <x:v>1470</x:v>
      </x:c>
      <x:c r="AA103" s="38" t="n">
        <x:v>1200</x:v>
      </x:c>
      <x:c r="AB103" s="38" t="n">
        <x:v>700</x:v>
      </x:c>
      <x:c r="AC103" s="32" t="n">
        <x:v>6</x:v>
      </x:c>
      <x:c r="AD103" s="32" t="str">
        <x:v>Approximate</x:v>
      </x:c>
      <x:c r="AE103" s="8" t="str">
        <x:v>Low thermal expansion; porosity and formulation vary.</x:v>
      </x:c>
      <x:c r="AF103" s="8" t="str">
        <x:f>IFERROR(VLOOKUP(AC103,'Sources'!$A$2:$E$12,5,FALSE),"")</x:f>
        <x:v>https://srdata.nist.gov/CeramicDataPortal/scd</x:v>
      </x:c>
      <x:c r="AG103" s="32" t="b">
        <x:f>COUNTIF($A$2:$A$127,A103)&gt;1</x:f>
        <x:v>0</x:v>
      </x:c>
    </x:row>
    <x:row r="104">
      <x:c r="A104" s="33" t="n">
        <x:v>5001</x:v>
      </x:c>
      <x:c r="B104" s="32" t="str">
        <x:v>COMPOSITE_CFRP_UD</x:v>
      </x:c>
      <x:c r="C104" s="32" t="str">
        <x:v>Carbon/epoxy unidirectional laminate</x:v>
      </x:c>
      <x:c r="D104" s="32" t="str">
        <x:v>Composite</x:v>
      </x:c>
      <x:c r="E104" s="32" t="str">
        <x:v>Fiber-reinforced polymer</x:v>
      </x:c>
      <x:c r="F104" s="32" t="str">
        <x:v>CFRP UD</x:v>
      </x:c>
      <x:c r="G104" s="32" t="str">
        <x:v>0-degree principal direction</x:v>
      </x:c>
      <x:c r="H104" s="32" t="str">
        <x:v>Orthotropic</x:v>
      </x:c>
      <x:c r="I104" s="34" t="n">
        <x:v>1600</x:v>
      </x:c>
      <x:c r="J104" s="35" t="n">
        <x:v>135</x:v>
      </x:c>
      <x:c r="K104" s="35" t="n">
        <x:v>0.3</x:v>
      </x:c>
      <x:c r="L104" s="40" t="n">
        <x:v>5</x:v>
      </x:c>
      <x:c r="M104" s="40"/>
      <x:c r="N104" s="39" t="n">
        <x:f>IF(L104&lt;&gt;"",L104,IF(H104&lt;&gt;"Isotropic","",IF(OR(J104="",K104=""),"",J104/(2*(1+K104)))))</x:f>
        <x:v>5</x:v>
      </x:c>
      <x:c r="O104" s="39" t="str">
        <x:f>IF(M104&lt;&gt;"",M104,IF(H104&lt;&gt;"Isotropic","",IF(OR(J104="",K104="",K104&gt;=0.5),"",J104/(3*(1-2*K104)))))</x:f>
      </x:c>
      <x:c r="P104" s="35"/>
      <x:c r="Q104" s="35" t="n">
        <x:v>1500</x:v>
      </x:c>
      <x:c r="R104" s="35" t="n">
        <x:v>1000</x:v>
      </x:c>
      <x:c r="S104" s="35" t="n">
        <x:v>1200</x:v>
      </x:c>
      <x:c r="T104" s="36" t="n">
        <x:v>0.012</x:v>
      </x:c>
      <x:c r="U104" s="35"/>
      <x:c r="V104" s="35" t="n">
        <x:v>6</x:v>
      </x:c>
      <x:c r="W104" s="35" t="n">
        <x:v>900</x:v>
      </x:c>
      <x:c r="X104" s="35" t="n">
        <x:v>-0.1</x:v>
      </x:c>
      <x:c r="Y104" s="37" t="n">
        <x:v>0.00001</x:v>
      </x:c>
      <x:c r="Z104" s="38" t="n">
        <x:v>120</x:v>
      </x:c>
      <x:c r="AA104" s="38" t="n">
        <x:v>120</x:v>
      </x:c>
      <x:c r="AB104" s="38"/>
      <x:c r="AC104" s="32" t="n">
        <x:v>9</x:v>
      </x:c>
      <x:c r="AD104" s="32" t="str">
        <x:v>Approximate</x:v>
      </x:c>
      <x:c r="AE104" s="8" t="str">
        <x:v>Longitudinal lamina screening values; transverse and shear allowables require a specific prepreg system.</x:v>
      </x:c>
      <x:c r="AF104" s="8" t="str">
        <x:f>IFERROR(VLOOKUP(AC104,'Sources'!$A$2:$E$12,5,FALSE),"")</x:f>
        <x:v>https://www.hexcel.com/Resources/DataSheets/</x:v>
      </x:c>
      <x:c r="AG104" s="32" t="b">
        <x:f>COUNTIF($A$2:$A$127,A104)&gt;1</x:f>
        <x:v>0</x:v>
      </x:c>
    </x:row>
    <x:row r="105">
      <x:c r="A105" s="33" t="n">
        <x:v>5002</x:v>
      </x:c>
      <x:c r="B105" s="32" t="str">
        <x:v>COMPOSITE_CFRP_QUASI_ISO</x:v>
      </x:c>
      <x:c r="C105" s="32" t="str">
        <x:v>Carbon/epoxy quasi-isotropic laminate</x:v>
      </x:c>
      <x:c r="D105" s="32" t="str">
        <x:v>Composite</x:v>
      </x:c>
      <x:c r="E105" s="32" t="str">
        <x:v>Fiber-reinforced polymer</x:v>
      </x:c>
      <x:c r="F105" s="32" t="str">
        <x:v>CFRP quasi-isotropic</x:v>
      </x:c>
      <x:c r="G105" s="32" t="str">
        <x:v>Balanced symmetric laminate typical</x:v>
      </x:c>
      <x:c r="H105" s="32" t="str">
        <x:v>Orthotropic</x:v>
      </x:c>
      <x:c r="I105" s="34" t="n">
        <x:v>1550</x:v>
      </x:c>
      <x:c r="J105" s="35" t="n">
        <x:v>55</x:v>
      </x:c>
      <x:c r="K105" s="35" t="n">
        <x:v>0.3</x:v>
      </x:c>
      <x:c r="L105" s="40" t="n">
        <x:v>21</x:v>
      </x:c>
      <x:c r="M105" s="40"/>
      <x:c r="N105" s="39" t="n">
        <x:f>IF(L105&lt;&gt;"",L105,IF(H105&lt;&gt;"Isotropic","",IF(OR(J105="",K105=""),"",J105/(2*(1+K105)))))</x:f>
        <x:v>21</x:v>
      </x:c>
      <x:c r="O105" s="39" t="str">
        <x:f>IF(M105&lt;&gt;"",M105,IF(H105&lt;&gt;"Isotropic","",IF(OR(J105="",K105="",K105&gt;=0.5),"",J105/(3*(1-2*K105)))))</x:f>
      </x:c>
      <x:c r="P105" s="35"/>
      <x:c r="Q105" s="35" t="n">
        <x:v>600</x:v>
      </x:c>
      <x:c r="R105" s="35" t="n">
        <x:v>500</x:v>
      </x:c>
      <x:c r="S105" s="35" t="n">
        <x:v>700</x:v>
      </x:c>
      <x:c r="T105" s="36" t="n">
        <x:v>0.01</x:v>
      </x:c>
      <x:c r="U105" s="35"/>
      <x:c r="V105" s="35" t="n">
        <x:v>5</x:v>
      </x:c>
      <x:c r="W105" s="35" t="n">
        <x:v>900</x:v>
      </x:c>
      <x:c r="X105" s="35" t="n">
        <x:v>2</x:v>
      </x:c>
      <x:c r="Y105" s="37" t="n">
        <x:v>0.0001</x:v>
      </x:c>
      <x:c r="Z105" s="38" t="n">
        <x:v>120</x:v>
      </x:c>
      <x:c r="AA105" s="38" t="n">
        <x:v>120</x:v>
      </x:c>
      <x:c r="AB105" s="38"/>
      <x:c r="AC105" s="32" t="n">
        <x:v>9</x:v>
      </x:c>
      <x:c r="AD105" s="32" t="str">
        <x:v>Approximate</x:v>
      </x:c>
      <x:c r="AE105" s="8" t="str">
        <x:v>Laminate properties depend on layup, fiber, resin, cure and test direction.</x:v>
      </x:c>
      <x:c r="AF105" s="8" t="str">
        <x:f>IFERROR(VLOOKUP(AC105,'Sources'!$A$2:$E$12,5,FALSE),"")</x:f>
        <x:v>https://www.hexcel.com/Resources/DataSheets/</x:v>
      </x:c>
      <x:c r="AG105" s="32" t="b">
        <x:f>COUNTIF($A$2:$A$127,A105)&gt;1</x:f>
        <x:v>0</x:v>
      </x:c>
    </x:row>
    <x:row r="106">
      <x:c r="A106" s="33" t="n">
        <x:v>5003</x:v>
      </x:c>
      <x:c r="B106" s="32" t="str">
        <x:v>COMPOSITE_GFRP_UD</x:v>
      </x:c>
      <x:c r="C106" s="32" t="str">
        <x:v>E-glass/epoxy unidirectional laminate</x:v>
      </x:c>
      <x:c r="D106" s="32" t="str">
        <x:v>Composite</x:v>
      </x:c>
      <x:c r="E106" s="32" t="str">
        <x:v>Fiber-reinforced polymer</x:v>
      </x:c>
      <x:c r="F106" s="32" t="str">
        <x:v>GFRP UD</x:v>
      </x:c>
      <x:c r="G106" s="32" t="str">
        <x:v>0-degree principal direction</x:v>
      </x:c>
      <x:c r="H106" s="32" t="str">
        <x:v>Orthotropic</x:v>
      </x:c>
      <x:c r="I106" s="34" t="n">
        <x:v>1950</x:v>
      </x:c>
      <x:c r="J106" s="35" t="n">
        <x:v>40</x:v>
      </x:c>
      <x:c r="K106" s="35" t="n">
        <x:v>0.28</x:v>
      </x:c>
      <x:c r="L106" s="40" t="n">
        <x:v>4</x:v>
      </x:c>
      <x:c r="M106" s="40"/>
      <x:c r="N106" s="39" t="n">
        <x:f>IF(L106&lt;&gt;"",L106,IF(H106&lt;&gt;"Isotropic","",IF(OR(J106="",K106=""),"",J106/(2*(1+K106)))))</x:f>
        <x:v>4</x:v>
      </x:c>
      <x:c r="O106" s="39" t="str">
        <x:f>IF(M106&lt;&gt;"",M106,IF(H106&lt;&gt;"Isotropic","",IF(OR(J106="",K106="",K106&gt;=0.5),"",J106/(3*(1-2*K106)))))</x:f>
      </x:c>
      <x:c r="P106" s="35"/>
      <x:c r="Q106" s="35" t="n">
        <x:v>1000</x:v>
      </x:c>
      <x:c r="R106" s="35" t="n">
        <x:v>600</x:v>
      </x:c>
      <x:c r="S106" s="35" t="n">
        <x:v>900</x:v>
      </x:c>
      <x:c r="T106" s="36" t="n">
        <x:v>0.025</x:v>
      </x:c>
      <x:c r="U106" s="35"/>
      <x:c r="V106" s="35" t="n">
        <x:v>0.35</x:v>
      </x:c>
      <x:c r="W106" s="35" t="n">
        <x:v>1000</x:v>
      </x:c>
      <x:c r="X106" s="35" t="n">
        <x:v>6</x:v>
      </x:c>
      <x:c r="Y106" s="37" t="n">
        <x:v>1000000000000</x:v>
      </x:c>
      <x:c r="Z106" s="38" t="n">
        <x:v>120</x:v>
      </x:c>
      <x:c r="AA106" s="38" t="n">
        <x:v>120</x:v>
      </x:c>
      <x:c r="AB106" s="38"/>
      <x:c r="AC106" s="32" t="n">
        <x:v>9</x:v>
      </x:c>
      <x:c r="AD106" s="32" t="str">
        <x:v>Approximate</x:v>
      </x:c>
      <x:c r="AE106" s="8" t="str">
        <x:v>Longitudinal lamina screening values.</x:v>
      </x:c>
      <x:c r="AF106" s="8" t="str">
        <x:f>IFERROR(VLOOKUP(AC106,'Sources'!$A$2:$E$12,5,FALSE),"")</x:f>
        <x:v>https://www.hexcel.com/Resources/DataSheets/</x:v>
      </x:c>
      <x:c r="AG106" s="32" t="b">
        <x:f>COUNTIF($A$2:$A$127,A106)&gt;1</x:f>
        <x:v>0</x:v>
      </x:c>
    </x:row>
    <x:row r="107">
      <x:c r="A107" s="33" t="n">
        <x:v>5004</x:v>
      </x:c>
      <x:c r="B107" s="32" t="str">
        <x:v>COMPOSITE_GFRP_QUASI_ISO</x:v>
      </x:c>
      <x:c r="C107" s="32" t="str">
        <x:v>E-glass/epoxy quasi-isotropic laminate</x:v>
      </x:c>
      <x:c r="D107" s="32" t="str">
        <x:v>Composite</x:v>
      </x:c>
      <x:c r="E107" s="32" t="str">
        <x:v>Fiber-reinforced polymer</x:v>
      </x:c>
      <x:c r="F107" s="32" t="str">
        <x:v>GFRP quasi-isotropic</x:v>
      </x:c>
      <x:c r="G107" s="32" t="str">
        <x:v>Balanced laminate typical</x:v>
      </x:c>
      <x:c r="H107" s="32" t="str">
        <x:v>Orthotropic</x:v>
      </x:c>
      <x:c r="I107" s="34" t="n">
        <x:v>1900</x:v>
      </x:c>
      <x:c r="J107" s="35" t="n">
        <x:v>22</x:v>
      </x:c>
      <x:c r="K107" s="35" t="n">
        <x:v>0.3</x:v>
      </x:c>
      <x:c r="L107" s="40" t="n">
        <x:v>8.5</x:v>
      </x:c>
      <x:c r="M107" s="40"/>
      <x:c r="N107" s="39" t="n">
        <x:f>IF(L107&lt;&gt;"",L107,IF(H107&lt;&gt;"Isotropic","",IF(OR(J107="",K107=""),"",J107/(2*(1+K107)))))</x:f>
        <x:v>8.5</x:v>
      </x:c>
      <x:c r="O107" s="39" t="str">
        <x:f>IF(M107&lt;&gt;"",M107,IF(H107&lt;&gt;"Isotropic","",IF(OR(J107="",K107="",K107&gt;=0.5),"",J107/(3*(1-2*K107)))))</x:f>
      </x:c>
      <x:c r="P107" s="35"/>
      <x:c r="Q107" s="35" t="n">
        <x:v>350</x:v>
      </x:c>
      <x:c r="R107" s="35" t="n">
        <x:v>300</x:v>
      </x:c>
      <x:c r="S107" s="35" t="n">
        <x:v>450</x:v>
      </x:c>
      <x:c r="T107" s="36" t="n">
        <x:v>0.018</x:v>
      </x:c>
      <x:c r="U107" s="35"/>
      <x:c r="V107" s="35" t="n">
        <x:v>0.35</x:v>
      </x:c>
      <x:c r="W107" s="35" t="n">
        <x:v>1000</x:v>
      </x:c>
      <x:c r="X107" s="35" t="n">
        <x:v>10</x:v>
      </x:c>
      <x:c r="Y107" s="37" t="n">
        <x:v>1000000000000</x:v>
      </x:c>
      <x:c r="Z107" s="38" t="n">
        <x:v>120</x:v>
      </x:c>
      <x:c r="AA107" s="38" t="n">
        <x:v>120</x:v>
      </x:c>
      <x:c r="AB107" s="38"/>
      <x:c r="AC107" s="32" t="n">
        <x:v>9</x:v>
      </x:c>
      <x:c r="AD107" s="32" t="str">
        <x:v>Approximate</x:v>
      </x:c>
      <x:c r="AE107" s="8" t="str">
        <x:v>Laminate properties depend on layup and process.</x:v>
      </x:c>
      <x:c r="AF107" s="8" t="str">
        <x:f>IFERROR(VLOOKUP(AC107,'Sources'!$A$2:$E$12,5,FALSE),"")</x:f>
        <x:v>https://www.hexcel.com/Resources/DataSheets/</x:v>
      </x:c>
      <x:c r="AG107" s="32" t="b">
        <x:f>COUNTIF($A$2:$A$127,A107)&gt;1</x:f>
        <x:v>0</x:v>
      </x:c>
    </x:row>
    <x:row r="108">
      <x:c r="A108" s="33" t="n">
        <x:v>5005</x:v>
      </x:c>
      <x:c r="B108" s="32" t="str">
        <x:v>COMPOSITE_ARAMID_EPOXY_UD</x:v>
      </x:c>
      <x:c r="C108" s="32" t="str">
        <x:v>Aramid/epoxy unidirectional laminate</x:v>
      </x:c>
      <x:c r="D108" s="32" t="str">
        <x:v>Composite</x:v>
      </x:c>
      <x:c r="E108" s="32" t="str">
        <x:v>Fiber-reinforced polymer</x:v>
      </x:c>
      <x:c r="F108" s="32" t="str">
        <x:v>Aramid/epoxy UD</x:v>
      </x:c>
      <x:c r="G108" s="32" t="str">
        <x:v>0-degree principal direction</x:v>
      </x:c>
      <x:c r="H108" s="32" t="str">
        <x:v>Orthotropic</x:v>
      </x:c>
      <x:c r="I108" s="34" t="n">
        <x:v>1380</x:v>
      </x:c>
      <x:c r="J108" s="35" t="n">
        <x:v>76</x:v>
      </x:c>
      <x:c r="K108" s="35" t="n">
        <x:v>0.34</x:v>
      </x:c>
      <x:c r="L108" s="40" t="n">
        <x:v>2.4</x:v>
      </x:c>
      <x:c r="M108" s="40"/>
      <x:c r="N108" s="39" t="n">
        <x:f>IF(L108&lt;&gt;"",L108,IF(H108&lt;&gt;"Isotropic","",IF(OR(J108="",K108=""),"",J108/(2*(1+K108)))))</x:f>
        <x:v>2.4</x:v>
      </x:c>
      <x:c r="O108" s="39" t="str">
        <x:f>IF(M108&lt;&gt;"",M108,IF(H108&lt;&gt;"Isotropic","",IF(OR(J108="",K108="",K108&gt;=0.5),"",J108/(3*(1-2*K108)))))</x:f>
      </x:c>
      <x:c r="P108" s="35"/>
      <x:c r="Q108" s="35" t="n">
        <x:v>1350</x:v>
      </x:c>
      <x:c r="R108" s="35" t="n">
        <x:v>280</x:v>
      </x:c>
      <x:c r="S108" s="35" t="n">
        <x:v>600</x:v>
      </x:c>
      <x:c r="T108" s="36" t="n">
        <x:v>0.018</x:v>
      </x:c>
      <x:c r="U108" s="35"/>
      <x:c r="V108" s="35" t="n">
        <x:v>0.3</x:v>
      </x:c>
      <x:c r="W108" s="35" t="n">
        <x:v>1400</x:v>
      </x:c>
      <x:c r="X108" s="35" t="n">
        <x:v>-2</x:v>
      </x:c>
      <x:c r="Y108" s="37" t="n">
        <x:v>1000000000000</x:v>
      </x:c>
      <x:c r="Z108" s="38" t="n">
        <x:v>120</x:v>
      </x:c>
      <x:c r="AA108" s="38" t="n">
        <x:v>120</x:v>
      </x:c>
      <x:c r="AB108" s="38"/>
      <x:c r="AC108" s="32" t="n">
        <x:v>9</x:v>
      </x:c>
      <x:c r="AD108" s="32" t="str">
        <x:v>Approximate</x:v>
      </x:c>
      <x:c r="AE108" s="8" t="str">
        <x:v>Low transverse compression and difficult machining; system-specific data required.</x:v>
      </x:c>
      <x:c r="AF108" s="8" t="str">
        <x:f>IFERROR(VLOOKUP(AC108,'Sources'!$A$2:$E$12,5,FALSE),"")</x:f>
        <x:v>https://www.hexcel.com/Resources/DataSheets/</x:v>
      </x:c>
      <x:c r="AG108" s="32" t="b">
        <x:f>COUNTIF($A$2:$A$127,A108)&gt;1</x:f>
        <x:v>0</x:v>
      </x:c>
    </x:row>
    <x:row r="109">
      <x:c r="A109" s="33" t="n">
        <x:v>5101</x:v>
      </x:c>
      <x:c r="B109" s="32" t="str">
        <x:v>WOOD_DOUGLAS_FIR</x:v>
      </x:c>
      <x:c r="C109" s="32" t="str">
        <x:v>Douglas-fir</x:v>
      </x:c>
      <x:c r="D109" s="32" t="str">
        <x:v>Wood</x:v>
      </x:c>
      <x:c r="E109" s="32" t="str">
        <x:v>Softwood</x:v>
      </x:c>
      <x:c r="F109" s="32" t="str">
        <x:v>Douglas-fir</x:v>
      </x:c>
      <x:c r="G109" s="32" t="str">
        <x:v>Clear, dry, longitudinal</x:v>
      </x:c>
      <x:c r="H109" s="32" t="str">
        <x:v>Orthotropic</x:v>
      </x:c>
      <x:c r="I109" s="34" t="n">
        <x:v>530</x:v>
      </x:c>
      <x:c r="J109" s="35" t="n">
        <x:v>12</x:v>
      </x:c>
      <x:c r="K109" s="35" t="n">
        <x:v>0.35</x:v>
      </x:c>
      <x:c r="L109" s="40" t="n">
        <x:v>0.75</x:v>
      </x:c>
      <x:c r="M109" s="40"/>
      <x:c r="N109" s="39" t="n">
        <x:f>IF(L109&lt;&gt;"",L109,IF(H109&lt;&gt;"Isotropic","",IF(OR(J109="",K109=""),"",J109/(2*(1+K109)))))</x:f>
        <x:v>0.75</x:v>
      </x:c>
      <x:c r="O109" s="39" t="str">
        <x:f>IF(M109&lt;&gt;"",M109,IF(H109&lt;&gt;"Isotropic","",IF(OR(J109="",K109="",K109&gt;=0.5),"",J109/(3*(1-2*K109)))))</x:f>
      </x:c>
      <x:c r="P109" s="35"/>
      <x:c r="Q109" s="35" t="n">
        <x:v>85</x:v>
      </x:c>
      <x:c r="R109" s="35" t="n">
        <x:v>50</x:v>
      </x:c>
      <x:c r="S109" s="35" t="n">
        <x:v>90</x:v>
      </x:c>
      <x:c r="T109" s="36" t="n">
        <x:v>0.012</x:v>
      </x:c>
      <x:c r="U109" s="35"/>
      <x:c r="V109" s="35" t="n">
        <x:v>0.13</x:v>
      </x:c>
      <x:c r="W109" s="35" t="n">
        <x:v>1700</x:v>
      </x:c>
      <x:c r="X109" s="35" t="n">
        <x:v>3.5</x:v>
      </x:c>
      <x:c r="Y109" s="37" t="n">
        <x:v>1000000000000</x:v>
      </x:c>
      <x:c r="Z109" s="38" t="n">
        <x:v>200</x:v>
      </x:c>
      <x:c r="AA109" s="38" t="n">
        <x:v>100</x:v>
      </x:c>
      <x:c r="AB109" s="38"/>
      <x:c r="AC109" s="32" t="n">
        <x:v>7</x:v>
      </x:c>
      <x:c r="AD109" s="32" t="str">
        <x:v>Approximate</x:v>
      </x:c>
      <x:c r="AE109" s="8" t="str">
        <x:v>Clear-wood longitudinal average; moisture, grade and defects dominate structural design values.</x:v>
      </x:c>
      <x:c r="AF109" s="8" t="str">
        <x:f>IFERROR(VLOOKUP(AC109,'Sources'!$A$2:$E$12,5,FALSE),"")</x:f>
        <x:v>https://research.fs.usda.gov/fpl/wood-handbook</x:v>
      </x:c>
      <x:c r="AG109" s="32" t="b">
        <x:f>COUNTIF($A$2:$A$127,A109)&gt;1</x:f>
        <x:v>0</x:v>
      </x:c>
    </x:row>
    <x:row r="110">
      <x:c r="A110" s="33" t="n">
        <x:v>5102</x:v>
      </x:c>
      <x:c r="B110" s="32" t="str">
        <x:v>WOOD_SPRUCE_PINE_FIR</x:v>
      </x:c>
      <x:c r="C110" s="32" t="str">
        <x:v>Spruce-pine-fir</x:v>
      </x:c>
      <x:c r="D110" s="32" t="str">
        <x:v>Wood</x:v>
      </x:c>
      <x:c r="E110" s="32" t="str">
        <x:v>Softwood</x:v>
      </x:c>
      <x:c r="F110" s="32" t="str">
        <x:v>SPF grouping</x:v>
      </x:c>
      <x:c r="G110" s="32" t="str">
        <x:v>Clear/dry screening, longitudinal</x:v>
      </x:c>
      <x:c r="H110" s="32" t="str">
        <x:v>Orthotropic</x:v>
      </x:c>
      <x:c r="I110" s="34" t="n">
        <x:v>430</x:v>
      </x:c>
      <x:c r="J110" s="35" t="n">
        <x:v>9.5</x:v>
      </x:c>
      <x:c r="K110" s="35" t="n">
        <x:v>0.35</x:v>
      </x:c>
      <x:c r="L110" s="40" t="n">
        <x:v>0.6</x:v>
      </x:c>
      <x:c r="M110" s="40"/>
      <x:c r="N110" s="39" t="n">
        <x:f>IF(L110&lt;&gt;"",L110,IF(H110&lt;&gt;"Isotropic","",IF(OR(J110="",K110=""),"",J110/(2*(1+K110)))))</x:f>
        <x:v>0.6</x:v>
      </x:c>
      <x:c r="O110" s="39" t="str">
        <x:f>IF(M110&lt;&gt;"",M110,IF(H110&lt;&gt;"Isotropic","",IF(OR(J110="",K110="",K110&gt;=0.5),"",J110/(3*(1-2*K110)))))</x:f>
      </x:c>
      <x:c r="P110" s="35"/>
      <x:c r="Q110" s="35" t="n">
        <x:v>65</x:v>
      </x:c>
      <x:c r="R110" s="35" t="n">
        <x:v>38</x:v>
      </x:c>
      <x:c r="S110" s="35" t="n">
        <x:v>70</x:v>
      </x:c>
      <x:c r="T110" s="36" t="n">
        <x:v>0.012</x:v>
      </x:c>
      <x:c r="U110" s="35"/>
      <x:c r="V110" s="35" t="n">
        <x:v>0.11</x:v>
      </x:c>
      <x:c r="W110" s="35" t="n">
        <x:v>1700</x:v>
      </x:c>
      <x:c r="X110" s="35" t="n">
        <x:v>3.5</x:v>
      </x:c>
      <x:c r="Y110" s="37" t="n">
        <x:v>1000000000000</x:v>
      </x:c>
      <x:c r="Z110" s="38" t="n">
        <x:v>200</x:v>
      </x:c>
      <x:c r="AA110" s="38" t="n">
        <x:v>100</x:v>
      </x:c>
      <x:c r="AB110" s="38"/>
      <x:c r="AC110" s="32" t="n">
        <x:v>7</x:v>
      </x:c>
      <x:c r="AD110" s="32" t="str">
        <x:v>Approximate</x:v>
      </x:c>
      <x:c r="AE110" s="8" t="str">
        <x:v>Not a code design value; species mix, grade and moisture matter.</x:v>
      </x:c>
      <x:c r="AF110" s="8" t="str">
        <x:f>IFERROR(VLOOKUP(AC110,'Sources'!$A$2:$E$12,5,FALSE),"")</x:f>
        <x:v>https://research.fs.usda.gov/fpl/wood-handbook</x:v>
      </x:c>
      <x:c r="AG110" s="32" t="b">
        <x:f>COUNTIF($A$2:$A$127,A110)&gt;1</x:f>
        <x:v>0</x:v>
      </x:c>
    </x:row>
    <x:row r="111">
      <x:c r="A111" s="33" t="n">
        <x:v>5103</x:v>
      </x:c>
      <x:c r="B111" s="32" t="str">
        <x:v>WOOD_SOUTHERN_PINE</x:v>
      </x:c>
      <x:c r="C111" s="32" t="str">
        <x:v>Southern pine</x:v>
      </x:c>
      <x:c r="D111" s="32" t="str">
        <x:v>Wood</x:v>
      </x:c>
      <x:c r="E111" s="32" t="str">
        <x:v>Softwood</x:v>
      </x:c>
      <x:c r="F111" s="32" t="str">
        <x:v>Southern pine</x:v>
      </x:c>
      <x:c r="G111" s="32" t="str">
        <x:v>Clear, dry, longitudinal</x:v>
      </x:c>
      <x:c r="H111" s="32" t="str">
        <x:v>Orthotropic</x:v>
      </x:c>
      <x:c r="I111" s="34" t="n">
        <x:v>590</x:v>
      </x:c>
      <x:c r="J111" s="35" t="n">
        <x:v>12.5</x:v>
      </x:c>
      <x:c r="K111" s="35" t="n">
        <x:v>0.35</x:v>
      </x:c>
      <x:c r="L111" s="40" t="n">
        <x:v>0.8</x:v>
      </x:c>
      <x:c r="M111" s="40"/>
      <x:c r="N111" s="39" t="n">
        <x:f>IF(L111&lt;&gt;"",L111,IF(H111&lt;&gt;"Isotropic","",IF(OR(J111="",K111=""),"",J111/(2*(1+K111)))))</x:f>
        <x:v>0.8</x:v>
      </x:c>
      <x:c r="O111" s="39" t="str">
        <x:f>IF(M111&lt;&gt;"",M111,IF(H111&lt;&gt;"Isotropic","",IF(OR(J111="",K111="",K111&gt;=0.5),"",J111/(3*(1-2*K111)))))</x:f>
      </x:c>
      <x:c r="P111" s="35"/>
      <x:c r="Q111" s="35" t="n">
        <x:v>90</x:v>
      </x:c>
      <x:c r="R111" s="35" t="n">
        <x:v>55</x:v>
      </x:c>
      <x:c r="S111" s="35" t="n">
        <x:v>100</x:v>
      </x:c>
      <x:c r="T111" s="36" t="n">
        <x:v>0.012</x:v>
      </x:c>
      <x:c r="U111" s="35"/>
      <x:c r="V111" s="35" t="n">
        <x:v>0.14</x:v>
      </x:c>
      <x:c r="W111" s="35" t="n">
        <x:v>1700</x:v>
      </x:c>
      <x:c r="X111" s="35" t="n">
        <x:v>3.5</x:v>
      </x:c>
      <x:c r="Y111" s="37" t="n">
        <x:v>1000000000000</x:v>
      </x:c>
      <x:c r="Z111" s="38" t="n">
        <x:v>200</x:v>
      </x:c>
      <x:c r="AA111" s="38" t="n">
        <x:v>100</x:v>
      </x:c>
      <x:c r="AB111" s="38"/>
      <x:c r="AC111" s="32" t="n">
        <x:v>7</x:v>
      </x:c>
      <x:c r="AD111" s="32" t="str">
        <x:v>Approximate</x:v>
      </x:c>
      <x:c r="AE111" s="8" t="str">
        <x:v>Clear-wood average; use graded lumber design values for structures.</x:v>
      </x:c>
      <x:c r="AF111" s="8" t="str">
        <x:f>IFERROR(VLOOKUP(AC111,'Sources'!$A$2:$E$12,5,FALSE),"")</x:f>
        <x:v>https://research.fs.usda.gov/fpl/wood-handbook</x:v>
      </x:c>
      <x:c r="AG111" s="32" t="b">
        <x:f>COUNTIF($A$2:$A$127,A111)&gt;1</x:f>
        <x:v>0</x:v>
      </x:c>
    </x:row>
    <x:row r="112">
      <x:c r="A112" s="33" t="n">
        <x:v>5104</x:v>
      </x:c>
      <x:c r="B112" s="32" t="str">
        <x:v>WOOD_WHITE_OAK</x:v>
      </x:c>
      <x:c r="C112" s="32" t="str">
        <x:v>White oak</x:v>
      </x:c>
      <x:c r="D112" s="32" t="str">
        <x:v>Wood</x:v>
      </x:c>
      <x:c r="E112" s="32" t="str">
        <x:v>Hardwood</x:v>
      </x:c>
      <x:c r="F112" s="32" t="str">
        <x:v>White oak</x:v>
      </x:c>
      <x:c r="G112" s="32" t="str">
        <x:v>Clear, dry, longitudinal</x:v>
      </x:c>
      <x:c r="H112" s="32" t="str">
        <x:v>Orthotropic</x:v>
      </x:c>
      <x:c r="I112" s="34" t="n">
        <x:v>750</x:v>
      </x:c>
      <x:c r="J112" s="35" t="n">
        <x:v>12.3</x:v>
      </x:c>
      <x:c r="K112" s="35" t="n">
        <x:v>0.36</x:v>
      </x:c>
      <x:c r="L112" s="40" t="n">
        <x:v>0.85</x:v>
      </x:c>
      <x:c r="M112" s="40"/>
      <x:c r="N112" s="39" t="n">
        <x:f>IF(L112&lt;&gt;"",L112,IF(H112&lt;&gt;"Isotropic","",IF(OR(J112="",K112=""),"",J112/(2*(1+K112)))))</x:f>
        <x:v>0.85</x:v>
      </x:c>
      <x:c r="O112" s="39" t="str">
        <x:f>IF(M112&lt;&gt;"",M112,IF(H112&lt;&gt;"Isotropic","",IF(OR(J112="",K112="",K112&gt;=0.5),"",J112/(3*(1-2*K112)))))</x:f>
      </x:c>
      <x:c r="P112" s="35"/>
      <x:c r="Q112" s="35" t="n">
        <x:v>100</x:v>
      </x:c>
      <x:c r="R112" s="35" t="n">
        <x:v>51</x:v>
      </x:c>
      <x:c r="S112" s="35" t="n">
        <x:v>105</x:v>
      </x:c>
      <x:c r="T112" s="36" t="n">
        <x:v>0.01</x:v>
      </x:c>
      <x:c r="U112" s="35"/>
      <x:c r="V112" s="35" t="n">
        <x:v>0.17</x:v>
      </x:c>
      <x:c r="W112" s="35" t="n">
        <x:v>1700</x:v>
      </x:c>
      <x:c r="X112" s="35" t="n">
        <x:v>4.5</x:v>
      </x:c>
      <x:c r="Y112" s="37" t="n">
        <x:v>100000000000</x:v>
      </x:c>
      <x:c r="Z112" s="38" t="n">
        <x:v>200</x:v>
      </x:c>
      <x:c r="AA112" s="38" t="n">
        <x:v>100</x:v>
      </x:c>
      <x:c r="AB112" s="38"/>
      <x:c r="AC112" s="32" t="n">
        <x:v>7</x:v>
      </x:c>
      <x:c r="AD112" s="32" t="str">
        <x:v>Approximate</x:v>
      </x:c>
      <x:c r="AE112" s="8" t="str">
        <x:v>Clear-wood average; moisture and grain direction are critical.</x:v>
      </x:c>
      <x:c r="AF112" s="8" t="str">
        <x:f>IFERROR(VLOOKUP(AC112,'Sources'!$A$2:$E$12,5,FALSE),"")</x:f>
        <x:v>https://research.fs.usda.gov/fpl/wood-handbook</x:v>
      </x:c>
      <x:c r="AG112" s="32" t="b">
        <x:f>COUNTIF($A$2:$A$127,A112)&gt;1</x:f>
        <x:v>0</x:v>
      </x:c>
    </x:row>
    <x:row r="113">
      <x:c r="A113" s="33" t="n">
        <x:v>5105</x:v>
      </x:c>
      <x:c r="B113" s="32" t="str">
        <x:v>WOOD_HARD_MAPLE</x:v>
      </x:c>
      <x:c r="C113" s="32" t="str">
        <x:v>Hard maple</x:v>
      </x:c>
      <x:c r="D113" s="32" t="str">
        <x:v>Wood</x:v>
      </x:c>
      <x:c r="E113" s="32" t="str">
        <x:v>Hardwood</x:v>
      </x:c>
      <x:c r="F113" s="32" t="str">
        <x:v>Sugar maple</x:v>
      </x:c>
      <x:c r="G113" s="32" t="str">
        <x:v>Clear, dry, longitudinal</x:v>
      </x:c>
      <x:c r="H113" s="32" t="str">
        <x:v>Orthotropic</x:v>
      </x:c>
      <x:c r="I113" s="34" t="n">
        <x:v>705</x:v>
      </x:c>
      <x:c r="J113" s="35" t="n">
        <x:v>12.6</x:v>
      </x:c>
      <x:c r="K113" s="35" t="n">
        <x:v>0.35</x:v>
      </x:c>
      <x:c r="L113" s="40" t="n">
        <x:v>0.9</x:v>
      </x:c>
      <x:c r="M113" s="40"/>
      <x:c r="N113" s="39" t="n">
        <x:f>IF(L113&lt;&gt;"",L113,IF(H113&lt;&gt;"Isotropic","",IF(OR(J113="",K113=""),"",J113/(2*(1+K113)))))</x:f>
        <x:v>0.9</x:v>
      </x:c>
      <x:c r="O113" s="39" t="str">
        <x:f>IF(M113&lt;&gt;"",M113,IF(H113&lt;&gt;"Isotropic","",IF(OR(J113="",K113="",K113&gt;=0.5),"",J113/(3*(1-2*K113)))))</x:f>
      </x:c>
      <x:c r="P113" s="35"/>
      <x:c r="Q113" s="35" t="n">
        <x:v>108</x:v>
      </x:c>
      <x:c r="R113" s="35" t="n">
        <x:v>54</x:v>
      </x:c>
      <x:c r="S113" s="35" t="n">
        <x:v>109</x:v>
      </x:c>
      <x:c r="T113" s="36" t="n">
        <x:v>0.01</x:v>
      </x:c>
      <x:c r="U113" s="35"/>
      <x:c r="V113" s="35" t="n">
        <x:v>0.16</x:v>
      </x:c>
      <x:c r="W113" s="35" t="n">
        <x:v>1700</x:v>
      </x:c>
      <x:c r="X113" s="35" t="n">
        <x:v>4</x:v>
      </x:c>
      <x:c r="Y113" s="37" t="n">
        <x:v>100000000000</x:v>
      </x:c>
      <x:c r="Z113" s="38" t="n">
        <x:v>200</x:v>
      </x:c>
      <x:c r="AA113" s="38" t="n">
        <x:v>100</x:v>
      </x:c>
      <x:c r="AB113" s="38"/>
      <x:c r="AC113" s="32" t="n">
        <x:v>7</x:v>
      </x:c>
      <x:c r="AD113" s="32" t="str">
        <x:v>Approximate</x:v>
      </x:c>
      <x:c r="AE113" s="8" t="str">
        <x:v>Clear-wood average; not a graded design value.</x:v>
      </x:c>
      <x:c r="AF113" s="8" t="str">
        <x:f>IFERROR(VLOOKUP(AC113,'Sources'!$A$2:$E$12,5,FALSE),"")</x:f>
        <x:v>https://research.fs.usda.gov/fpl/wood-handbook</x:v>
      </x:c>
      <x:c r="AG113" s="32" t="b">
        <x:f>COUNTIF($A$2:$A$127,A113)&gt;1</x:f>
        <x:v>0</x:v>
      </x:c>
    </x:row>
    <x:row r="114">
      <x:c r="A114" s="33" t="n">
        <x:v>5106</x:v>
      </x:c>
      <x:c r="B114" s="32" t="str">
        <x:v>WOOD_PLYWOOD_SOFTWOOD</x:v>
      </x:c>
      <x:c r="C114" s="32" t="str">
        <x:v>Softwood structural plywood</x:v>
      </x:c>
      <x:c r="D114" s="32" t="str">
        <x:v>Wood</x:v>
      </x:c>
      <x:c r="E114" s="32" t="str">
        <x:v>Wood composite</x:v>
      </x:c>
      <x:c r="F114" s="32" t="str">
        <x:v>Structural plywood</x:v>
      </x:c>
      <x:c r="G114" s="32" t="str">
        <x:v>Dry panel, in-plane screening</x:v>
      </x:c>
      <x:c r="H114" s="32" t="str">
        <x:v>Orthotropic</x:v>
      </x:c>
      <x:c r="I114" s="34" t="n">
        <x:v>550</x:v>
      </x:c>
      <x:c r="J114" s="35" t="n">
        <x:v>8</x:v>
      </x:c>
      <x:c r="K114" s="35" t="n">
        <x:v>0.25</x:v>
      </x:c>
      <x:c r="L114" s="40" t="n">
        <x:v>0.6</x:v>
      </x:c>
      <x:c r="M114" s="40"/>
      <x:c r="N114" s="39" t="n">
        <x:f>IF(L114&lt;&gt;"",L114,IF(H114&lt;&gt;"Isotropic","",IF(OR(J114="",K114=""),"",J114/(2*(1+K114)))))</x:f>
        <x:v>0.6</x:v>
      </x:c>
      <x:c r="O114" s="39" t="str">
        <x:f>IF(M114&lt;&gt;"",M114,IF(H114&lt;&gt;"Isotropic","",IF(OR(J114="",K114="",K114&gt;=0.5),"",J114/(3*(1-2*K114)))))</x:f>
      </x:c>
      <x:c r="P114" s="35"/>
      <x:c r="Q114" s="35" t="n">
        <x:v>35</x:v>
      </x:c>
      <x:c r="R114" s="35" t="n">
        <x:v>30</x:v>
      </x:c>
      <x:c r="S114" s="35" t="n">
        <x:v>45</x:v>
      </x:c>
      <x:c r="T114" s="36" t="n">
        <x:v>0.008</x:v>
      </x:c>
      <x:c r="U114" s="35"/>
      <x:c r="V114" s="35" t="n">
        <x:v>0.12</x:v>
      </x:c>
      <x:c r="W114" s="35" t="n">
        <x:v>1700</x:v>
      </x:c>
      <x:c r="X114" s="35" t="n">
        <x:v>6</x:v>
      </x:c>
      <x:c r="Y114" s="37" t="n">
        <x:v>100000000000</x:v>
      </x:c>
      <x:c r="Z114" s="38" t="n">
        <x:v>180</x:v>
      </x:c>
      <x:c r="AA114" s="38" t="n">
        <x:v>90</x:v>
      </x:c>
      <x:c r="AB114" s="38"/>
      <x:c r="AC114" s="32" t="n">
        <x:v>7</x:v>
      </x:c>
      <x:c r="AD114" s="32" t="str">
        <x:v>Approximate</x:v>
      </x:c>
      <x:c r="AE114" s="8" t="str">
        <x:v>Panel grade, layup, axis and thickness govern properties.</x:v>
      </x:c>
      <x:c r="AF114" s="8" t="str">
        <x:f>IFERROR(VLOOKUP(AC114,'Sources'!$A$2:$E$12,5,FALSE),"")</x:f>
        <x:v>https://research.fs.usda.gov/fpl/wood-handbook</x:v>
      </x:c>
      <x:c r="AG114" s="32" t="b">
        <x:f>COUNTIF($A$2:$A$127,A114)&gt;1</x:f>
        <x:v>0</x:v>
      </x:c>
    </x:row>
    <x:row r="115">
      <x:c r="A115" s="33" t="n">
        <x:v>5107</x:v>
      </x:c>
      <x:c r="B115" s="32" t="str">
        <x:v>WOOD_MDF</x:v>
      </x:c>
      <x:c r="C115" s="32" t="str">
        <x:v>Medium-density fiberboard</x:v>
      </x:c>
      <x:c r="D115" s="32" t="str">
        <x:v>Wood</x:v>
      </x:c>
      <x:c r="E115" s="32" t="str">
        <x:v>Wood composite</x:v>
      </x:c>
      <x:c r="F115" s="32" t="str">
        <x:v>MDF</x:v>
      </x:c>
      <x:c r="G115" s="32" t="str">
        <x:v>Dry panel</x:v>
      </x:c>
      <x:c r="H115" s="32" t="str">
        <x:v>Orthotropic</x:v>
      </x:c>
      <x:c r="I115" s="34" t="n">
        <x:v>750</x:v>
      </x:c>
      <x:c r="J115" s="35" t="n">
        <x:v>3.5</x:v>
      </x:c>
      <x:c r="K115" s="35" t="n">
        <x:v>0.3</x:v>
      </x:c>
      <x:c r="L115" s="40" t="n">
        <x:v>1.3</x:v>
      </x:c>
      <x:c r="M115" s="40"/>
      <x:c r="N115" s="39" t="n">
        <x:f>IF(L115&lt;&gt;"",L115,IF(H115&lt;&gt;"Isotropic","",IF(OR(J115="",K115=""),"",J115/(2*(1+K115)))))</x:f>
        <x:v>1.3</x:v>
      </x:c>
      <x:c r="O115" s="39" t="str">
        <x:f>IF(M115&lt;&gt;"",M115,IF(H115&lt;&gt;"Isotropic","",IF(OR(J115="",K115="",K115&gt;=0.5),"",J115/(3*(1-2*K115)))))</x:f>
      </x:c>
      <x:c r="P115" s="35"/>
      <x:c r="Q115" s="35" t="n">
        <x:v>25</x:v>
      </x:c>
      <x:c r="R115" s="35" t="n">
        <x:v>20</x:v>
      </x:c>
      <x:c r="S115" s="35" t="n">
        <x:v>35</x:v>
      </x:c>
      <x:c r="T115" s="36" t="n">
        <x:v>0.008</x:v>
      </x:c>
      <x:c r="U115" s="35"/>
      <x:c r="V115" s="35" t="n">
        <x:v>0.12</x:v>
      </x:c>
      <x:c r="W115" s="35" t="n">
        <x:v>1700</x:v>
      </x:c>
      <x:c r="X115" s="35" t="n">
        <x:v>12</x:v>
      </x:c>
      <x:c r="Y115" s="37" t="n">
        <x:v>10000000000</x:v>
      </x:c>
      <x:c r="Z115" s="38" t="n">
        <x:v>180</x:v>
      </x:c>
      <x:c r="AA115" s="38" t="n">
        <x:v>80</x:v>
      </x:c>
      <x:c r="AB115" s="38"/>
      <x:c r="AC115" s="32" t="n">
        <x:v>7</x:v>
      </x:c>
      <x:c r="AD115" s="32" t="str">
        <x:v>Approximate</x:v>
      </x:c>
      <x:c r="AE115" s="8" t="str">
        <x:v>Panel product; thickness, density and moisture affect properties.</x:v>
      </x:c>
      <x:c r="AF115" s="8" t="str">
        <x:f>IFERROR(VLOOKUP(AC115,'Sources'!$A$2:$E$12,5,FALSE),"")</x:f>
        <x:v>https://research.fs.usda.gov/fpl/wood-handbook</x:v>
      </x:c>
      <x:c r="AG115" s="32" t="b">
        <x:f>COUNTIF($A$2:$A$127,A115)&gt;1</x:f>
        <x:v>0</x:v>
      </x:c>
    </x:row>
    <x:row r="116">
      <x:c r="A116" s="33" t="n">
        <x:v>5108</x:v>
      </x:c>
      <x:c r="B116" s="32" t="str">
        <x:v>WOOD_LVL</x:v>
      </x:c>
      <x:c r="C116" s="32" t="str">
        <x:v>Laminated veneer lumber</x:v>
      </x:c>
      <x:c r="D116" s="32" t="str">
        <x:v>Wood</x:v>
      </x:c>
      <x:c r="E116" s="32" t="str">
        <x:v>Engineered wood</x:v>
      </x:c>
      <x:c r="F116" s="32" t="str">
        <x:v>LVL</x:v>
      </x:c>
      <x:c r="G116" s="32" t="str">
        <x:v>Dry, longitudinal screening</x:v>
      </x:c>
      <x:c r="H116" s="32" t="str">
        <x:v>Orthotropic</x:v>
      </x:c>
      <x:c r="I116" s="34" t="n">
        <x:v>560</x:v>
      </x:c>
      <x:c r="J116" s="35" t="n">
        <x:v>14</x:v>
      </x:c>
      <x:c r="K116" s="35" t="n">
        <x:v>0.3</x:v>
      </x:c>
      <x:c r="L116" s="40" t="n">
        <x:v>0.8</x:v>
      </x:c>
      <x:c r="M116" s="40"/>
      <x:c r="N116" s="39" t="n">
        <x:f>IF(L116&lt;&gt;"",L116,IF(H116&lt;&gt;"Isotropic","",IF(OR(J116="",K116=""),"",J116/(2*(1+K116)))))</x:f>
        <x:v>0.8</x:v>
      </x:c>
      <x:c r="O116" s="39" t="str">
        <x:f>IF(M116&lt;&gt;"",M116,IF(H116&lt;&gt;"Isotropic","",IF(OR(J116="",K116="",K116&gt;=0.5),"",J116/(3*(1-2*K116)))))</x:f>
      </x:c>
      <x:c r="P116" s="35"/>
      <x:c r="Q116" s="35" t="n">
        <x:v>50</x:v>
      </x:c>
      <x:c r="R116" s="35" t="n">
        <x:v>45</x:v>
      </x:c>
      <x:c r="S116" s="35" t="n">
        <x:v>55</x:v>
      </x:c>
      <x:c r="T116" s="36" t="n">
        <x:v>0.01</x:v>
      </x:c>
      <x:c r="U116" s="35"/>
      <x:c r="V116" s="35" t="n">
        <x:v>0.13</x:v>
      </x:c>
      <x:c r="W116" s="35" t="n">
        <x:v>1700</x:v>
      </x:c>
      <x:c r="X116" s="35" t="n">
        <x:v>5</x:v>
      </x:c>
      <x:c r="Y116" s="37" t="n">
        <x:v>100000000000</x:v>
      </x:c>
      <x:c r="Z116" s="38" t="n">
        <x:v>180</x:v>
      </x:c>
      <x:c r="AA116" s="38" t="n">
        <x:v>100</x:v>
      </x:c>
      <x:c r="AB116" s="38"/>
      <x:c r="AC116" s="32" t="n">
        <x:v>7</x:v>
      </x:c>
      <x:c r="AD116" s="32" t="str">
        <x:v>Approximate</x:v>
      </x:c>
      <x:c r="AE116" s="8" t="str">
        <x:v>Use manufacturer code reports and grade-specific design values.</x:v>
      </x:c>
      <x:c r="AF116" s="8" t="str">
        <x:f>IFERROR(VLOOKUP(AC116,'Sources'!$A$2:$E$12,5,FALSE),"")</x:f>
        <x:v>https://research.fs.usda.gov/fpl/wood-handbook</x:v>
      </x:c>
      <x:c r="AG116" s="32" t="b">
        <x:f>COUNTIF($A$2:$A$127,A116)&gt;1</x:f>
        <x:v>0</x:v>
      </x:c>
    </x:row>
    <x:row r="117">
      <x:c r="A117" s="33" t="n">
        <x:v>5109</x:v>
      </x:c>
      <x:c r="B117" s="32" t="str">
        <x:v>WOOD_GLULAM</x:v>
      </x:c>
      <x:c r="C117" s="32" t="str">
        <x:v>Glue-laminated timber</x:v>
      </x:c>
      <x:c r="D117" s="32" t="str">
        <x:v>Wood</x:v>
      </x:c>
      <x:c r="E117" s="32" t="str">
        <x:v>Engineered wood</x:v>
      </x:c>
      <x:c r="F117" s="32" t="str">
        <x:v>Glulam</x:v>
      </x:c>
      <x:c r="G117" s="32" t="str">
        <x:v>Dry, longitudinal screening</x:v>
      </x:c>
      <x:c r="H117" s="32" t="str">
        <x:v>Orthotropic</x:v>
      </x:c>
      <x:c r="I117" s="34" t="n">
        <x:v>520</x:v>
      </x:c>
      <x:c r="J117" s="35" t="n">
        <x:v>12</x:v>
      </x:c>
      <x:c r="K117" s="35" t="n">
        <x:v>0.3</x:v>
      </x:c>
      <x:c r="L117" s="40" t="n">
        <x:v>0.75</x:v>
      </x:c>
      <x:c r="M117" s="40"/>
      <x:c r="N117" s="39" t="n">
        <x:f>IF(L117&lt;&gt;"",L117,IF(H117&lt;&gt;"Isotropic","",IF(OR(J117="",K117=""),"",J117/(2*(1+K117)))))</x:f>
        <x:v>0.75</x:v>
      </x:c>
      <x:c r="O117" s="39" t="str">
        <x:f>IF(M117&lt;&gt;"",M117,IF(H117&lt;&gt;"Isotropic","",IF(OR(J117="",K117="",K117&gt;=0.5),"",J117/(3*(1-2*K117)))))</x:f>
      </x:c>
      <x:c r="P117" s="35"/>
      <x:c r="Q117" s="35" t="n">
        <x:v>40</x:v>
      </x:c>
      <x:c r="R117" s="35" t="n">
        <x:v>35</x:v>
      </x:c>
      <x:c r="S117" s="35" t="n">
        <x:v>45</x:v>
      </x:c>
      <x:c r="T117" s="36" t="n">
        <x:v>0.01</x:v>
      </x:c>
      <x:c r="U117" s="35"/>
      <x:c r="V117" s="35" t="n">
        <x:v>0.13</x:v>
      </x:c>
      <x:c r="W117" s="35" t="n">
        <x:v>1700</x:v>
      </x:c>
      <x:c r="X117" s="35" t="n">
        <x:v>5</x:v>
      </x:c>
      <x:c r="Y117" s="37" t="n">
        <x:v>100000000000</x:v>
      </x:c>
      <x:c r="Z117" s="38" t="n">
        <x:v>180</x:v>
      </x:c>
      <x:c r="AA117" s="38" t="n">
        <x:v>100</x:v>
      </x:c>
      <x:c r="AB117" s="38"/>
      <x:c r="AC117" s="32" t="n">
        <x:v>7</x:v>
      </x:c>
      <x:c r="AD117" s="32" t="str">
        <x:v>Approximate</x:v>
      </x:c>
      <x:c r="AE117" s="8" t="str">
        <x:v>Use layup-, species- and grade-specific design values.</x:v>
      </x:c>
      <x:c r="AF117" s="8" t="str">
        <x:f>IFERROR(VLOOKUP(AC117,'Sources'!$A$2:$E$12,5,FALSE),"")</x:f>
        <x:v>https://research.fs.usda.gov/fpl/wood-handbook</x:v>
      </x:c>
      <x:c r="AG117" s="32" t="b">
        <x:f>COUNTIF($A$2:$A$127,A117)&gt;1</x:f>
        <x:v>0</x:v>
      </x:c>
    </x:row>
    <x:row r="118">
      <x:c r="A118" s="33" t="n">
        <x:v>6001</x:v>
      </x:c>
      <x:c r="B118" s="32" t="str">
        <x:v>CONCRETE_NORMAL_25MPA</x:v>
      </x:c>
      <x:c r="C118" s="32" t="str">
        <x:v>Normal-weight concrete, 25 MPa</x:v>
      </x:c>
      <x:c r="D118" s="32" t="str">
        <x:v>Construction material</x:v>
      </x:c>
      <x:c r="E118" s="32" t="str">
        <x:v>Concrete</x:v>
      </x:c>
      <x:c r="F118" s="32" t="str">
        <x:v>25 MPa nominal</x:v>
      </x:c>
      <x:c r="G118" s="32" t="str">
        <x:v>Cured, room-temperature screening</x:v>
      </x:c>
      <x:c r="H118" s="32" t="str">
        <x:v>Isotropic</x:v>
      </x:c>
      <x:c r="I118" s="34" t="n">
        <x:v>2400</x:v>
      </x:c>
      <x:c r="J118" s="35" t="n">
        <x:v>27</x:v>
      </x:c>
      <x:c r="K118" s="35" t="n">
        <x:v>0.2</x:v>
      </x:c>
      <x:c r="L118" s="40"/>
      <x:c r="M118" s="40"/>
      <x:c r="N118" s="39" t="n">
        <x:f>IF(L118&lt;&gt;"",L118,IF(H118&lt;&gt;"Isotropic","",IF(OR(J118="",K118=""),"",J118/(2*(1+K118)))))</x:f>
        <x:v>11.25</x:v>
      </x:c>
      <x:c r="O118" s="39" t="n">
        <x:f>IF(M118&lt;&gt;"",M118,IF(H118&lt;&gt;"Isotropic","",IF(OR(J118="",K118="",K118&gt;=0.5),"",J118/(3*(1-2*K118)))))</x:f>
        <x:v>15.000000000000002</x:v>
      </x:c>
      <x:c r="P118" s="35"/>
      <x:c r="Q118" s="35" t="n">
        <x:v>2.5</x:v>
      </x:c>
      <x:c r="R118" s="35" t="n">
        <x:v>25</x:v>
      </x:c>
      <x:c r="S118" s="35" t="n">
        <x:v>3.5</x:v>
      </x:c>
      <x:c r="T118" s="36" t="n">
        <x:v>0.0001</x:v>
      </x:c>
      <x:c r="U118" s="35" t="n">
        <x:v>0.3</x:v>
      </x:c>
      <x:c r="V118" s="35" t="n">
        <x:v>1.7</x:v>
      </x:c>
      <x:c r="W118" s="35" t="n">
        <x:v>880</x:v>
      </x:c>
      <x:c r="X118" s="35" t="n">
        <x:v>10</x:v>
      </x:c>
      <x:c r="Y118" s="37" t="n">
        <x:v>100</x:v>
      </x:c>
      <x:c r="Z118" s="38" t="n">
        <x:v>1200</x:v>
      </x:c>
      <x:c r="AA118" s="38" t="n">
        <x:v>300</x:v>
      </x:c>
      <x:c r="AB118" s="38"/>
      <x:c r="AC118" s="32" t="n">
        <x:v>8</x:v>
      </x:c>
      <x:c r="AD118" s="32" t="str">
        <x:v>Approximate</x:v>
      </x:c>
      <x:c r="AE118" s="8" t="str">
        <x:v>Strength, modulus and thermal properties depend on mix, aggregate, curing and moisture.</x:v>
      </x:c>
      <x:c r="AF118" s="8" t="str">
        <x:f>IFERROR(VLOOKUP(AC118,'Sources'!$A$2:$E$12,5,FALSE),"")</x:f>
        <x:v>https://www.fhwa.dot.gov/publications/research/infrastructure/pavements/pccp/04127/appa.cfm</x:v>
      </x:c>
      <x:c r="AG118" s="32" t="b">
        <x:f>COUNTIF($A$2:$A$127,A118)&gt;1</x:f>
        <x:v>0</x:v>
      </x:c>
    </x:row>
    <x:row r="119">
      <x:c r="A119" s="33" t="n">
        <x:v>6002</x:v>
      </x:c>
      <x:c r="B119" s="32" t="str">
        <x:v>CONCRETE_NORMAL_40MPA</x:v>
      </x:c>
      <x:c r="C119" s="32" t="str">
        <x:v>Normal-weight concrete, 40 MPa</x:v>
      </x:c>
      <x:c r="D119" s="32" t="str">
        <x:v>Construction material</x:v>
      </x:c>
      <x:c r="E119" s="32" t="str">
        <x:v>Concrete</x:v>
      </x:c>
      <x:c r="F119" s="32" t="str">
        <x:v>40 MPa nominal</x:v>
      </x:c>
      <x:c r="G119" s="32" t="str">
        <x:v>Cured, room-temperature screening</x:v>
      </x:c>
      <x:c r="H119" s="32" t="str">
        <x:v>Isotropic</x:v>
      </x:c>
      <x:c r="I119" s="34" t="n">
        <x:v>2400</x:v>
      </x:c>
      <x:c r="J119" s="35" t="n">
        <x:v>30</x:v>
      </x:c>
      <x:c r="K119" s="35" t="n">
        <x:v>0.2</x:v>
      </x:c>
      <x:c r="L119" s="40"/>
      <x:c r="M119" s="40"/>
      <x:c r="N119" s="39" t="n">
        <x:f>IF(L119&lt;&gt;"",L119,IF(H119&lt;&gt;"Isotropic","",IF(OR(J119="",K119=""),"",J119/(2*(1+K119)))))</x:f>
        <x:v>12.5</x:v>
      </x:c>
      <x:c r="O119" s="39" t="n">
        <x:f>IF(M119&lt;&gt;"",M119,IF(H119&lt;&gt;"Isotropic","",IF(OR(J119="",K119="",K119&gt;=0.5),"",J119/(3*(1-2*K119)))))</x:f>
        <x:v>16.666666666666668</x:v>
      </x:c>
      <x:c r="P119" s="35"/>
      <x:c r="Q119" s="35" t="n">
        <x:v>3.5</x:v>
      </x:c>
      <x:c r="R119" s="35" t="n">
        <x:v>40</x:v>
      </x:c>
      <x:c r="S119" s="35" t="n">
        <x:v>4.5</x:v>
      </x:c>
      <x:c r="T119" s="36" t="n">
        <x:v>0.0001</x:v>
      </x:c>
      <x:c r="U119" s="35" t="n">
        <x:v>0.35</x:v>
      </x:c>
      <x:c r="V119" s="35" t="n">
        <x:v>1.8</x:v>
      </x:c>
      <x:c r="W119" s="35" t="n">
        <x:v>880</x:v>
      </x:c>
      <x:c r="X119" s="35" t="n">
        <x:v>10</x:v>
      </x:c>
      <x:c r="Y119" s="37" t="n">
        <x:v>100</x:v>
      </x:c>
      <x:c r="Z119" s="38" t="n">
        <x:v>1200</x:v>
      </x:c>
      <x:c r="AA119" s="38" t="n">
        <x:v>300</x:v>
      </x:c>
      <x:c r="AB119" s="38"/>
      <x:c r="AC119" s="32" t="n">
        <x:v>8</x:v>
      </x:c>
      <x:c r="AD119" s="32" t="str">
        <x:v>Approximate</x:v>
      </x:c>
      <x:c r="AE119" s="8" t="str">
        <x:v>Use governing structural code relationships and tested cylinder strength.</x:v>
      </x:c>
      <x:c r="AF119" s="8" t="str">
        <x:f>IFERROR(VLOOKUP(AC119,'Sources'!$A$2:$E$12,5,FALSE),"")</x:f>
        <x:v>https://www.fhwa.dot.gov/publications/research/infrastructure/pavements/pccp/04127/appa.cfm</x:v>
      </x:c>
      <x:c r="AG119" s="32" t="b">
        <x:f>COUNTIF($A$2:$A$127,A119)&gt;1</x:f>
        <x:v>0</x:v>
      </x:c>
    </x:row>
    <x:row r="120">
      <x:c r="A120" s="33" t="n">
        <x:v>6003</x:v>
      </x:c>
      <x:c r="B120" s="32" t="str">
        <x:v>CONCRETE_NORMAL_60MPA</x:v>
      </x:c>
      <x:c r="C120" s="32" t="str">
        <x:v>Normal-weight concrete, 60 MPa</x:v>
      </x:c>
      <x:c r="D120" s="32" t="str">
        <x:v>Construction material</x:v>
      </x:c>
      <x:c r="E120" s="32" t="str">
        <x:v>Concrete</x:v>
      </x:c>
      <x:c r="F120" s="32" t="str">
        <x:v>60 MPa nominal</x:v>
      </x:c>
      <x:c r="G120" s="32" t="str">
        <x:v>Cured, room-temperature screening</x:v>
      </x:c>
      <x:c r="H120" s="32" t="str">
        <x:v>Isotropic</x:v>
      </x:c>
      <x:c r="I120" s="34" t="n">
        <x:v>2450</x:v>
      </x:c>
      <x:c r="J120" s="35" t="n">
        <x:v>36</x:v>
      </x:c>
      <x:c r="K120" s="35" t="n">
        <x:v>0.2</x:v>
      </x:c>
      <x:c r="L120" s="40"/>
      <x:c r="M120" s="40"/>
      <x:c r="N120" s="39" t="n">
        <x:f>IF(L120&lt;&gt;"",L120,IF(H120&lt;&gt;"Isotropic","",IF(OR(J120="",K120=""),"",J120/(2*(1+K120)))))</x:f>
        <x:v>15</x:v>
      </x:c>
      <x:c r="O120" s="39" t="n">
        <x:f>IF(M120&lt;&gt;"",M120,IF(H120&lt;&gt;"Isotropic","",IF(OR(J120="",K120="",K120&gt;=0.5),"",J120/(3*(1-2*K120)))))</x:f>
        <x:v>20.000000000000004</x:v>
      </x:c>
      <x:c r="P120" s="35"/>
      <x:c r="Q120" s="35" t="n">
        <x:v>4.5</x:v>
      </x:c>
      <x:c r="R120" s="35" t="n">
        <x:v>60</x:v>
      </x:c>
      <x:c r="S120" s="35" t="n">
        <x:v>6</x:v>
      </x:c>
      <x:c r="T120" s="36" t="n">
        <x:v>0.0001</x:v>
      </x:c>
      <x:c r="U120" s="35" t="n">
        <x:v>0.4</x:v>
      </x:c>
      <x:c r="V120" s="35" t="n">
        <x:v>2</x:v>
      </x:c>
      <x:c r="W120" s="35" t="n">
        <x:v>880</x:v>
      </x:c>
      <x:c r="X120" s="35" t="n">
        <x:v>10</x:v>
      </x:c>
      <x:c r="Y120" s="37" t="n">
        <x:v>100</x:v>
      </x:c>
      <x:c r="Z120" s="38" t="n">
        <x:v>1200</x:v>
      </x:c>
      <x:c r="AA120" s="38" t="n">
        <x:v>300</x:v>
      </x:c>
      <x:c r="AB120" s="38"/>
      <x:c r="AC120" s="32" t="n">
        <x:v>8</x:v>
      </x:c>
      <x:c r="AD120" s="32" t="str">
        <x:v>Approximate</x:v>
      </x:c>
      <x:c r="AE120" s="8" t="str">
        <x:v>High-strength mix; modulus and fracture properties are aggregate-dependent.</x:v>
      </x:c>
      <x:c r="AF120" s="8" t="str">
        <x:f>IFERROR(VLOOKUP(AC120,'Sources'!$A$2:$E$12,5,FALSE),"")</x:f>
        <x:v>https://www.fhwa.dot.gov/publications/research/infrastructure/pavements/pccp/04127/appa.cfm</x:v>
      </x:c>
      <x:c r="AG120" s="32" t="b">
        <x:f>COUNTIF($A$2:$A$127,A120)&gt;1</x:f>
        <x:v>0</x:v>
      </x:c>
    </x:row>
    <x:row r="121">
      <x:c r="A121" s="33" t="n">
        <x:v>6004</x:v>
      </x:c>
      <x:c r="B121" s="32" t="str">
        <x:v>CONCRETE_LIGHTWEIGHT_25MPA</x:v>
      </x:c>
      <x:c r="C121" s="32" t="str">
        <x:v>Structural lightweight concrete, 25 MPa</x:v>
      </x:c>
      <x:c r="D121" s="32" t="str">
        <x:v>Construction material</x:v>
      </x:c>
      <x:c r="E121" s="32" t="str">
        <x:v>Concrete</x:v>
      </x:c>
      <x:c r="F121" s="32" t="str">
        <x:v>Lightweight 25 MPa nominal</x:v>
      </x:c>
      <x:c r="G121" s="32" t="str">
        <x:v>Cured, room-temperature screening</x:v>
      </x:c>
      <x:c r="H121" s="32" t="str">
        <x:v>Isotropic</x:v>
      </x:c>
      <x:c r="I121" s="34" t="n">
        <x:v>1850</x:v>
      </x:c>
      <x:c r="J121" s="35" t="n">
        <x:v>18</x:v>
      </x:c>
      <x:c r="K121" s="35" t="n">
        <x:v>0.2</x:v>
      </x:c>
      <x:c r="L121" s="40"/>
      <x:c r="M121" s="40"/>
      <x:c r="N121" s="39" t="n">
        <x:f>IF(L121&lt;&gt;"",L121,IF(H121&lt;&gt;"Isotropic","",IF(OR(J121="",K121=""),"",J121/(2*(1+K121)))))</x:f>
        <x:v>7.5</x:v>
      </x:c>
      <x:c r="O121" s="39" t="n">
        <x:f>IF(M121&lt;&gt;"",M121,IF(H121&lt;&gt;"Isotropic","",IF(OR(J121="",K121="",K121&gt;=0.5),"",J121/(3*(1-2*K121)))))</x:f>
        <x:v>10.000000000000002</x:v>
      </x:c>
      <x:c r="P121" s="35"/>
      <x:c r="Q121" s="35" t="n">
        <x:v>2.2</x:v>
      </x:c>
      <x:c r="R121" s="35" t="n">
        <x:v>25</x:v>
      </x:c>
      <x:c r="S121" s="35" t="n">
        <x:v>3</x:v>
      </x:c>
      <x:c r="T121" s="36" t="n">
        <x:v>0.0001</x:v>
      </x:c>
      <x:c r="U121" s="35" t="n">
        <x:v>0.25</x:v>
      </x:c>
      <x:c r="V121" s="35" t="n">
        <x:v>0.8</x:v>
      </x:c>
      <x:c r="W121" s="35" t="n">
        <x:v>900</x:v>
      </x:c>
      <x:c r="X121" s="35" t="n">
        <x:v>9</x:v>
      </x:c>
      <x:c r="Y121" s="37" t="n">
        <x:v>100</x:v>
      </x:c>
      <x:c r="Z121" s="38" t="n">
        <x:v>1100</x:v>
      </x:c>
      <x:c r="AA121" s="38" t="n">
        <x:v>250</x:v>
      </x:c>
      <x:c r="AB121" s="38"/>
      <x:c r="AC121" s="32" t="n">
        <x:v>8</x:v>
      </x:c>
      <x:c r="AD121" s="32" t="str">
        <x:v>Approximate</x:v>
      </x:c>
      <x:c r="AE121" s="8" t="str">
        <x:v>Density and aggregate type govern stiffness and thermal behavior.</x:v>
      </x:c>
      <x:c r="AF121" s="8" t="str">
        <x:f>IFERROR(VLOOKUP(AC121,'Sources'!$A$2:$E$12,5,FALSE),"")</x:f>
        <x:v>https://www.fhwa.dot.gov/publications/research/infrastructure/pavements/pccp/04127/appa.cfm</x:v>
      </x:c>
      <x:c r="AG121" s="32" t="b">
        <x:f>COUNTIF($A$2:$A$127,A121)&gt;1</x:f>
        <x:v>0</x:v>
      </x:c>
    </x:row>
    <x:row r="122">
      <x:c r="A122" s="33" t="n">
        <x:v>6005</x:v>
      </x:c>
      <x:c r="B122" s="32" t="str">
        <x:v>MASONRY_FIRED_CLAY_BRICK</x:v>
      </x:c>
      <x:c r="C122" s="32" t="str">
        <x:v>Fired clay brick</x:v>
      </x:c>
      <x:c r="D122" s="32" t="str">
        <x:v>Construction material</x:v>
      </x:c>
      <x:c r="E122" s="32" t="str">
        <x:v>Masonry</x:v>
      </x:c>
      <x:c r="F122" s="32" t="str">
        <x:v>Common fired clay brick</x:v>
      </x:c>
      <x:c r="G122" s="32" t="str">
        <x:v>Dry unit screening</x:v>
      </x:c>
      <x:c r="H122" s="32" t="str">
        <x:v>Isotropic</x:v>
      </x:c>
      <x:c r="I122" s="34" t="n">
        <x:v>1900</x:v>
      </x:c>
      <x:c r="J122" s="35" t="n">
        <x:v>15</x:v>
      </x:c>
      <x:c r="K122" s="35" t="n">
        <x:v>0.2</x:v>
      </x:c>
      <x:c r="L122" s="40"/>
      <x:c r="M122" s="40"/>
      <x:c r="N122" s="39" t="n">
        <x:f>IF(L122&lt;&gt;"",L122,IF(H122&lt;&gt;"Isotropic","",IF(OR(J122="",K122=""),"",J122/(2*(1+K122)))))</x:f>
        <x:v>6.25</x:v>
      </x:c>
      <x:c r="O122" s="39" t="n">
        <x:f>IF(M122&lt;&gt;"",M122,IF(H122&lt;&gt;"Isotropic","",IF(OR(J122="",K122="",K122&gt;=0.5),"",J122/(3*(1-2*K122)))))</x:f>
        <x:v>8.333333333333334</x:v>
      </x:c>
      <x:c r="P122" s="35"/>
      <x:c r="Q122" s="35" t="n">
        <x:v>3</x:v>
      </x:c>
      <x:c r="R122" s="35" t="n">
        <x:v>30</x:v>
      </x:c>
      <x:c r="S122" s="35" t="n">
        <x:v>8</x:v>
      </x:c>
      <x:c r="T122" s="36" t="n">
        <x:v>0.0002</x:v>
      </x:c>
      <x:c r="U122" s="35" t="n">
        <x:v>0.25</x:v>
      </x:c>
      <x:c r="V122" s="35" t="n">
        <x:v>0.7</x:v>
      </x:c>
      <x:c r="W122" s="35" t="n">
        <x:v>840</x:v>
      </x:c>
      <x:c r="X122" s="35" t="n">
        <x:v>6</x:v>
      </x:c>
      <x:c r="Y122" s="37" t="n">
        <x:v>100000000</x:v>
      </x:c>
      <x:c r="Z122" s="38" t="n">
        <x:v>1000</x:v>
      </x:c>
      <x:c r="AA122" s="38" t="n">
        <x:v>700</x:v>
      </x:c>
      <x:c r="AB122" s="38"/>
      <x:c r="AC122" s="32" t="n">
        <x:v>8</x:v>
      </x:c>
      <x:c r="AD122" s="32" t="str">
        <x:v>Approximate</x:v>
      </x:c>
      <x:c r="AE122" s="8" t="str">
        <x:v>Brick units vary widely; masonry assemblage properties also depend on mortar and workmanship.</x:v>
      </x:c>
      <x:c r="AF122" s="8" t="str">
        <x:f>IFERROR(VLOOKUP(AC122,'Sources'!$A$2:$E$12,5,FALSE),"")</x:f>
        <x:v>https://www.fhwa.dot.gov/publications/research/infrastructure/pavements/pccp/04127/appa.cfm</x:v>
      </x:c>
      <x:c r="AG122" s="32" t="b">
        <x:f>COUNTIF($A$2:$A$127,A122)&gt;1</x:f>
        <x:v>0</x:v>
      </x:c>
    </x:row>
    <x:row r="123">
      <x:c r="A123" s="33" t="n">
        <x:v>6006</x:v>
      </x:c>
      <x:c r="B123" s="32" t="str">
        <x:v>STONE_GRANITE</x:v>
      </x:c>
      <x:c r="C123" s="32" t="str">
        <x:v>Granite</x:v>
      </x:c>
      <x:c r="D123" s="32" t="str">
        <x:v>Construction material</x:v>
      </x:c>
      <x:c r="E123" s="32" t="str">
        <x:v>Natural stone</x:v>
      </x:c>
      <x:c r="F123" s="32" t="str">
        <x:v>Granite</x:v>
      </x:c>
      <x:c r="G123" s="32" t="str">
        <x:v>Dry, intact rock</x:v>
      </x:c>
      <x:c r="H123" s="32" t="str">
        <x:v>Isotropic</x:v>
      </x:c>
      <x:c r="I123" s="34" t="n">
        <x:v>2700</x:v>
      </x:c>
      <x:c r="J123" s="35" t="n">
        <x:v>55</x:v>
      </x:c>
      <x:c r="K123" s="35" t="n">
        <x:v>0.25</x:v>
      </x:c>
      <x:c r="L123" s="40"/>
      <x:c r="M123" s="40"/>
      <x:c r="N123" s="39" t="n">
        <x:f>IF(L123&lt;&gt;"",L123,IF(H123&lt;&gt;"Isotropic","",IF(OR(J123="",K123=""),"",J123/(2*(1+K123)))))</x:f>
        <x:v>22</x:v>
      </x:c>
      <x:c r="O123" s="39" t="n">
        <x:f>IF(M123&lt;&gt;"",M123,IF(H123&lt;&gt;"Isotropic","",IF(OR(J123="",K123="",K123&gt;=0.5),"",J123/(3*(1-2*K123)))))</x:f>
        <x:v>36.666666666666664</x:v>
      </x:c>
      <x:c r="P123" s="35"/>
      <x:c r="Q123" s="35" t="n">
        <x:v>8</x:v>
      </x:c>
      <x:c r="R123" s="35" t="n">
        <x:v>150</x:v>
      </x:c>
      <x:c r="S123" s="35" t="n">
        <x:v>15</x:v>
      </x:c>
      <x:c r="T123" s="36" t="n">
        <x:v>0.0005</x:v>
      </x:c>
      <x:c r="U123" s="35" t="n">
        <x:v>1.5</x:v>
      </x:c>
      <x:c r="V123" s="35" t="n">
        <x:v>2.8</x:v>
      </x:c>
      <x:c r="W123" s="35" t="n">
        <x:v>790</x:v>
      </x:c>
      <x:c r="X123" s="35" t="n">
        <x:v>7.5</x:v>
      </x:c>
      <x:c r="Y123" s="37" t="n">
        <x:v>100000000</x:v>
      </x:c>
      <x:c r="Z123" s="38" t="n">
        <x:v>1215</x:v>
      </x:c>
      <x:c r="AA123" s="38" t="n">
        <x:v>600</x:v>
      </x:c>
      <x:c r="AB123" s="38" t="n">
        <x:v>600</x:v>
      </x:c>
      <x:c r="AC123" s="32" t="n">
        <x:v>8</x:v>
      </x:c>
      <x:c r="AD123" s="32" t="str">
        <x:v>Approximate</x:v>
      </x:c>
      <x:c r="AE123" s="8" t="str">
        <x:v>Natural stone is variable and anisotropic; test project quarry material.</x:v>
      </x:c>
      <x:c r="AF123" s="8" t="str">
        <x:f>IFERROR(VLOOKUP(AC123,'Sources'!$A$2:$E$12,5,FALSE),"")</x:f>
        <x:v>https://www.fhwa.dot.gov/publications/research/infrastructure/pavements/pccp/04127/appa.cfm</x:v>
      </x:c>
      <x:c r="AG123" s="32" t="b">
        <x:f>COUNTIF($A$2:$A$127,A123)&gt;1</x:f>
        <x:v>0</x:v>
      </x:c>
    </x:row>
    <x:row r="124">
      <x:c r="A124" s="33" t="n">
        <x:v>6007</x:v>
      </x:c>
      <x:c r="B124" s="32" t="str">
        <x:v>STONE_LIMESTONE</x:v>
      </x:c>
      <x:c r="C124" s="32" t="str">
        <x:v>Limestone</x:v>
      </x:c>
      <x:c r="D124" s="32" t="str">
        <x:v>Construction material</x:v>
      </x:c>
      <x:c r="E124" s="32" t="str">
        <x:v>Natural stone</x:v>
      </x:c>
      <x:c r="F124" s="32" t="str">
        <x:v>Dense limestone</x:v>
      </x:c>
      <x:c r="G124" s="32" t="str">
        <x:v>Dry, intact rock</x:v>
      </x:c>
      <x:c r="H124" s="32" t="str">
        <x:v>Isotropic</x:v>
      </x:c>
      <x:c r="I124" s="34" t="n">
        <x:v>2600</x:v>
      </x:c>
      <x:c r="J124" s="35" t="n">
        <x:v>35</x:v>
      </x:c>
      <x:c r="K124" s="35" t="n">
        <x:v>0.25</x:v>
      </x:c>
      <x:c r="L124" s="40"/>
      <x:c r="M124" s="40"/>
      <x:c r="N124" s="39" t="n">
        <x:f>IF(L124&lt;&gt;"",L124,IF(H124&lt;&gt;"Isotropic","",IF(OR(J124="",K124=""),"",J124/(2*(1+K124)))))</x:f>
        <x:v>14</x:v>
      </x:c>
      <x:c r="O124" s="39" t="n">
        <x:f>IF(M124&lt;&gt;"",M124,IF(H124&lt;&gt;"Isotropic","",IF(OR(J124="",K124="",K124&gt;=0.5),"",J124/(3*(1-2*K124)))))</x:f>
        <x:v>23.333333333333332</x:v>
      </x:c>
      <x:c r="P124" s="35"/>
      <x:c r="Q124" s="35" t="n">
        <x:v>5</x:v>
      </x:c>
      <x:c r="R124" s="35" t="n">
        <x:v>80</x:v>
      </x:c>
      <x:c r="S124" s="35" t="n">
        <x:v>10</x:v>
      </x:c>
      <x:c r="T124" s="36" t="n">
        <x:v>0.0005</x:v>
      </x:c>
      <x:c r="U124" s="35" t="n">
        <x:v>0.8</x:v>
      </x:c>
      <x:c r="V124" s="35" t="n">
        <x:v>1.3</x:v>
      </x:c>
      <x:c r="W124" s="35" t="n">
        <x:v>900</x:v>
      </x:c>
      <x:c r="X124" s="35" t="n">
        <x:v>5</x:v>
      </x:c>
      <x:c r="Y124" s="37" t="n">
        <x:v>10000000</x:v>
      </x:c>
      <x:c r="Z124" s="38" t="n">
        <x:v>825</x:v>
      </x:c>
      <x:c r="AA124" s="38" t="n">
        <x:v>400</x:v>
      </x:c>
      <x:c r="AB124" s="38" t="n">
        <x:v>180</x:v>
      </x:c>
      <x:c r="AC124" s="32" t="n">
        <x:v>8</x:v>
      </x:c>
      <x:c r="AD124" s="32" t="str">
        <x:v>Approximate</x:v>
      </x:c>
      <x:c r="AE124" s="8" t="str">
        <x:v>Porosity and bedding cause wide variability.</x:v>
      </x:c>
      <x:c r="AF124" s="8" t="str">
        <x:f>IFERROR(VLOOKUP(AC124,'Sources'!$A$2:$E$12,5,FALSE),"")</x:f>
        <x:v>https://www.fhwa.dot.gov/publications/research/infrastructure/pavements/pccp/04127/appa.cfm</x:v>
      </x:c>
      <x:c r="AG124" s="32" t="b">
        <x:f>COUNTIF($A$2:$A$127,A124)&gt;1</x:f>
        <x:v>0</x:v>
      </x:c>
    </x:row>
    <x:row r="125">
      <x:c r="A125" s="33" t="n">
        <x:v>6008</x:v>
      </x:c>
      <x:c r="B125" s="32" t="str">
        <x:v>STONE_SANDSTONE</x:v>
      </x:c>
      <x:c r="C125" s="32" t="str">
        <x:v>Sandstone</x:v>
      </x:c>
      <x:c r="D125" s="32" t="str">
        <x:v>Construction material</x:v>
      </x:c>
      <x:c r="E125" s="32" t="str">
        <x:v>Natural stone</x:v>
      </x:c>
      <x:c r="F125" s="32" t="str">
        <x:v>Dense sandstone</x:v>
      </x:c>
      <x:c r="G125" s="32" t="str">
        <x:v>Dry, intact rock</x:v>
      </x:c>
      <x:c r="H125" s="32" t="str">
        <x:v>Isotropic</x:v>
      </x:c>
      <x:c r="I125" s="34" t="n">
        <x:v>2300</x:v>
      </x:c>
      <x:c r="J125" s="35" t="n">
        <x:v>20</x:v>
      </x:c>
      <x:c r="K125" s="35" t="n">
        <x:v>0.25</x:v>
      </x:c>
      <x:c r="L125" s="40"/>
      <x:c r="M125" s="40"/>
      <x:c r="N125" s="39" t="n">
        <x:f>IF(L125&lt;&gt;"",L125,IF(H125&lt;&gt;"Isotropic","",IF(OR(J125="",K125=""),"",J125/(2*(1+K125)))))</x:f>
        <x:v>8</x:v>
      </x:c>
      <x:c r="O125" s="39" t="n">
        <x:f>IF(M125&lt;&gt;"",M125,IF(H125&lt;&gt;"Isotropic","",IF(OR(J125="",K125="",K125&gt;=0.5),"",J125/(3*(1-2*K125)))))</x:f>
        <x:v>13.333333333333334</x:v>
      </x:c>
      <x:c r="P125" s="35"/>
      <x:c r="Q125" s="35" t="n">
        <x:v>4</x:v>
      </x:c>
      <x:c r="R125" s="35" t="n">
        <x:v>60</x:v>
      </x:c>
      <x:c r="S125" s="35" t="n">
        <x:v>8</x:v>
      </x:c>
      <x:c r="T125" s="36" t="n">
        <x:v>0.0005</x:v>
      </x:c>
      <x:c r="U125" s="35" t="n">
        <x:v>0.7</x:v>
      </x:c>
      <x:c r="V125" s="35" t="n">
        <x:v>2</x:v>
      </x:c>
      <x:c r="W125" s="35" t="n">
        <x:v>800</x:v>
      </x:c>
      <x:c r="X125" s="35" t="n">
        <x:v>8</x:v>
      </x:c>
      <x:c r="Y125" s="37" t="n">
        <x:v>100000000</x:v>
      </x:c>
      <x:c r="Z125" s="38" t="n">
        <x:v>1100</x:v>
      </x:c>
      <x:c r="AA125" s="38" t="n">
        <x:v>500</x:v>
      </x:c>
      <x:c r="AB125" s="38" t="n">
        <x:v>150</x:v>
      </x:c>
      <x:c r="AC125" s="32" t="n">
        <x:v>8</x:v>
      </x:c>
      <x:c r="AD125" s="32" t="str">
        <x:v>Approximate</x:v>
      </x:c>
      <x:c r="AE125" s="8" t="str">
        <x:v>Cementation, porosity and bedding govern properties.</x:v>
      </x:c>
      <x:c r="AF125" s="8" t="str">
        <x:f>IFERROR(VLOOKUP(AC125,'Sources'!$A$2:$E$12,5,FALSE),"")</x:f>
        <x:v>https://www.fhwa.dot.gov/publications/research/infrastructure/pavements/pccp/04127/appa.cfm</x:v>
      </x:c>
      <x:c r="AG125" s="32" t="b">
        <x:f>COUNTIF($A$2:$A$127,A125)&gt;1</x:f>
        <x:v>0</x:v>
      </x:c>
    </x:row>
    <x:row r="126">
      <x:c r="A126" s="33" t="n">
        <x:v>6009</x:v>
      </x:c>
      <x:c r="B126" s="32" t="str">
        <x:v>GYPSUM_BOARD</x:v>
      </x:c>
      <x:c r="C126" s="32" t="str">
        <x:v>Gypsum wallboard</x:v>
      </x:c>
      <x:c r="D126" s="32" t="str">
        <x:v>Construction material</x:v>
      </x:c>
      <x:c r="E126" s="32" t="str">
        <x:v>Gypsum product</x:v>
      </x:c>
      <x:c r="F126" s="32" t="str">
        <x:v>Regular gypsum board</x:v>
      </x:c>
      <x:c r="G126" s="32" t="str">
        <x:v>Dry board screening</x:v>
      </x:c>
      <x:c r="H126" s="32" t="str">
        <x:v>Orthotropic</x:v>
      </x:c>
      <x:c r="I126" s="34" t="n">
        <x:v>800</x:v>
      </x:c>
      <x:c r="J126" s="35" t="n">
        <x:v>2</x:v>
      </x:c>
      <x:c r="K126" s="35" t="n">
        <x:v>0.25</x:v>
      </x:c>
      <x:c r="L126" s="40" t="n">
        <x:v>0.8</x:v>
      </x:c>
      <x:c r="M126" s="40"/>
      <x:c r="N126" s="39" t="n">
        <x:f>IF(L126&lt;&gt;"",L126,IF(H126&lt;&gt;"Isotropic","",IF(OR(J126="",K126=""),"",J126/(2*(1+K126)))))</x:f>
        <x:v>0.8</x:v>
      </x:c>
      <x:c r="O126" s="39" t="str">
        <x:f>IF(M126&lt;&gt;"",M126,IF(H126&lt;&gt;"Isotropic","",IF(OR(J126="",K126="",K126&gt;=0.5),"",J126/(3*(1-2*K126)))))</x:f>
      </x:c>
      <x:c r="P126" s="35"/>
      <x:c r="Q126" s="35" t="n">
        <x:v>2</x:v>
      </x:c>
      <x:c r="R126" s="35" t="n">
        <x:v>8</x:v>
      </x:c>
      <x:c r="S126" s="35" t="n">
        <x:v>5</x:v>
      </x:c>
      <x:c r="T126" s="36" t="n">
        <x:v>0.002</x:v>
      </x:c>
      <x:c r="U126" s="35"/>
      <x:c r="V126" s="35" t="n">
        <x:v>0.17</x:v>
      </x:c>
      <x:c r="W126" s="35" t="n">
        <x:v>1090</x:v>
      </x:c>
      <x:c r="X126" s="35" t="n">
        <x:v>16</x:v>
      </x:c>
      <x:c r="Y126" s="37" t="n">
        <x:v>1000000000</x:v>
      </x:c>
      <x:c r="Z126" s="38" t="n">
        <x:v>150</x:v>
      </x:c>
      <x:c r="AA126" s="38" t="n">
        <x:v>50</x:v>
      </x:c>
      <x:c r="AB126" s="38"/>
      <x:c r="AC126" s="32" t="n">
        <x:v>8</x:v>
      </x:c>
      <x:c r="AD126" s="32" t="str">
        <x:v>Approximate</x:v>
      </x:c>
      <x:c r="AE126" s="8" t="str">
        <x:v>Facing, thickness, moisture and axis affect behavior; not a structural material.</x:v>
      </x:c>
      <x:c r="AF126" s="8" t="str">
        <x:f>IFERROR(VLOOKUP(AC126,'Sources'!$A$2:$E$12,5,FALSE),"")</x:f>
        <x:v>https://www.fhwa.dot.gov/publications/research/infrastructure/pavements/pccp/04127/appa.cfm</x:v>
      </x:c>
      <x:c r="AG126" s="32" t="b">
        <x:f>COUNTIF($A$2:$A$127,A126)&gt;1</x:f>
        <x:v>0</x:v>
      </x:c>
    </x:row>
    <x:row r="127">
      <x:c r="A127" s="33" t="n">
        <x:v>6010</x:v>
      </x:c>
      <x:c r="B127" s="32" t="str">
        <x:v>ASPHALT_CONCRETE</x:v>
      </x:c>
      <x:c r="C127" s="32" t="str">
        <x:v>Asphalt concrete</x:v>
      </x:c>
      <x:c r="D127" s="32" t="str">
        <x:v>Construction material</x:v>
      </x:c>
      <x:c r="E127" s="32" t="str">
        <x:v>Pavement material</x:v>
      </x:c>
      <x:c r="F127" s="32" t="str">
        <x:v>Dense-graded asphalt concrete</x:v>
      </x:c>
      <x:c r="G127" s="32" t="str">
        <x:v>20-25 C screening</x:v>
      </x:c>
      <x:c r="H127" s="32" t="str">
        <x:v>Viscoelastic</x:v>
      </x:c>
      <x:c r="I127" s="34" t="n">
        <x:v>2350</x:v>
      </x:c>
      <x:c r="J127" s="35" t="n">
        <x:v>3</x:v>
      </x:c>
      <x:c r="K127" s="35" t="n">
        <x:v>0.35</x:v>
      </x:c>
      <x:c r="L127" s="40" t="n">
        <x:v>1.1</x:v>
      </x:c>
      <x:c r="M127" s="40"/>
      <x:c r="N127" s="39" t="n">
        <x:f>IF(L127&lt;&gt;"",L127,IF(H127&lt;&gt;"Isotropic","",IF(OR(J127="",K127=""),"",J127/(2*(1+K127)))))</x:f>
        <x:v>1.1</x:v>
      </x:c>
      <x:c r="O127" s="39" t="str">
        <x:f>IF(M127&lt;&gt;"",M127,IF(H127&lt;&gt;"Isotropic","",IF(OR(J127="",K127="",K127&gt;=0.5),"",J127/(3*(1-2*K127)))))</x:f>
      </x:c>
      <x:c r="P127" s="35"/>
      <x:c r="Q127" s="35" t="n">
        <x:v>2</x:v>
      </x:c>
      <x:c r="R127" s="35" t="n">
        <x:v>10</x:v>
      </x:c>
      <x:c r="S127" s="35" t="n">
        <x:v>5</x:v>
      </x:c>
      <x:c r="T127" s="36" t="n">
        <x:v>0.01</x:v>
      </x:c>
      <x:c r="U127" s="35"/>
      <x:c r="V127" s="35" t="n">
        <x:v>0.75</x:v>
      </x:c>
      <x:c r="W127" s="35" t="n">
        <x:v>920</x:v>
      </x:c>
      <x:c r="X127" s="35" t="n">
        <x:v>25</x:v>
      </x:c>
      <x:c r="Y127" s="37" t="n">
        <x:v>10000000000</x:v>
      </x:c>
      <x:c r="Z127" s="38" t="n">
        <x:v>160</x:v>
      </x:c>
      <x:c r="AA127" s="38" t="n">
        <x:v>70</x:v>
      </x:c>
      <x:c r="AB127" s="38"/>
      <x:c r="AC127" s="32" t="n">
        <x:v>8</x:v>
      </x:c>
      <x:c r="AD127" s="32" t="str">
        <x:v>Approximate</x:v>
      </x:c>
      <x:c r="AE127" s="8" t="str">
        <x:v>Modulus varies by orders of magnitude with temperature and loading frequency.</x:v>
      </x:c>
      <x:c r="AF127" s="8" t="str">
        <x:f>IFERROR(VLOOKUP(AC127,'Sources'!$A$2:$E$12,5,FALSE),"")</x:f>
        <x:v>https://www.fhwa.dot.gov/publications/research/infrastructure/pavements/pccp/04127/appa.cfm</x:v>
      </x:c>
      <x:c r="AG127" s="32" t="b">
        <x:f>COUNTIF($A$2:$A$127,A127)&gt;1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846cd97bce44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18" hidden="0" customWidth="1"/>
    <x:col min="5" max="5" width="36" hidden="0" customWidth="1"/>
    <x:col min="6" max="6" width="72" hidden="0" customWidth="1"/>
    <x:col min="7" max="7" width="40" hidden="0" customWidth="1"/>
    <x:col min="8" max="8" width="34" hidden="0" customWidth="1"/>
  </x:cols>
  <x:sheetData>
    <x:row r="1" ht="34" customHeight="1">
      <x:c r="A1" s="30" t="str">
        <x:v>Property_ID</x:v>
      </x:c>
      <x:c r="B1" s="30" t="str">
        <x:v>CPD_Constant</x:v>
      </x:c>
      <x:c r="C1" s="30" t="str">
        <x:v>Property_Name</x:v>
      </x:c>
      <x:c r="D1" s="30" t="str">
        <x:v>Unit</x:v>
      </x:c>
      <x:c r="E1" s="30" t="str">
        <x:v>CPD_Export_Header</x:v>
      </x:c>
      <x:c r="F1" s="30" t="str">
        <x:v>Definition</x:v>
      </x:c>
      <x:c r="G1" s="30" t="str">
        <x:v>Missing_Value_Behavior</x:v>
      </x:c>
      <x:c r="H1" s="99" t="str">
        <x:v>Materials_Source_Column</x:v>
      </x:c>
    </x:row>
    <x:row r="2">
      <x:c r="A2" t="n">
        <x:v>1</x:v>
      </x:c>
      <x:c r="B2" t="str">
        <x:v>MAT_P_DENSITY</x:v>
      </x:c>
      <x:c r="C2" t="str">
        <x:v>Density</x:v>
      </x:c>
      <x:c r="D2" t="str">
        <x:v>kg/m^3</x:v>
      </x:c>
      <x:c r="E2" t="str">
        <x:v>P01_Density_kg_m3</x:v>
      </x:c>
      <x:c r="F2" s="7" t="str">
        <x:v>Nominal mass density.</x:v>
      </x:c>
      <x:c r="G2" s="7" t="str">
        <x:v>Returns DB_ERR_MISSING status and NaN value</x:v>
      </x:c>
      <x:c r="H2" t="str">
        <x:v>Density_kg_m3</x:v>
      </x:c>
    </x:row>
    <x:row r="3">
      <x:c r="A3" t="n">
        <x:v>2</x:v>
      </x:c>
      <x:c r="B3" t="str">
        <x:v>MAT_P_YOUNGS_MODULUS</x:v>
      </x:c>
      <x:c r="C3" t="str">
        <x:v>Young's modulus</x:v>
      </x:c>
      <x:c r="D3" t="str">
        <x:v>GPa</x:v>
      </x:c>
      <x:c r="E3" t="str">
        <x:v>P02_Youngs_Modulus_GPa</x:v>
      </x:c>
      <x:c r="F3" s="7" t="str">
        <x:v>Tensile elastic modulus; principal/longitudinal value where noted.</x:v>
      </x:c>
      <x:c r="G3" s="7" t="str">
        <x:v>Returns DB_ERR_MISSING status and NaN value</x:v>
      </x:c>
      <x:c r="H3" t="str">
        <x:v>Youngs_Modulus_GPa</x:v>
      </x:c>
    </x:row>
    <x:row r="4">
      <x:c r="A4" t="n">
        <x:v>3</x:v>
      </x:c>
      <x:c r="B4" t="str">
        <x:v>MAT_P_SHEAR_MODULUS</x:v>
      </x:c>
      <x:c r="C4" t="str">
        <x:v>Shear modulus</x:v>
      </x:c>
      <x:c r="D4" t="str">
        <x:v>GPa</x:v>
      </x:c>
      <x:c r="E4" t="str">
        <x:v>P03_Shear_Modulus_GPa</x:v>
      </x:c>
      <x:c r="F4" s="7" t="str">
        <x:v>Derived from E and Poisson ratio for isotropic rows unless overridden.</x:v>
      </x:c>
      <x:c r="G4" s="7" t="str">
        <x:v>Returns DB_ERR_MISSING status and NaN value</x:v>
      </x:c>
      <x:c r="H4" t="str">
        <x:v>Shear_Modulus_GPa_Derived</x:v>
      </x:c>
    </x:row>
    <x:row r="5">
      <x:c r="A5" t="n">
        <x:v>4</x:v>
      </x:c>
      <x:c r="B5" t="str">
        <x:v>MAT_P_POISSON_RATIO</x:v>
      </x:c>
      <x:c r="C5" t="str">
        <x:v>Poisson ratio</x:v>
      </x:c>
      <x:c r="D5" t="str">
        <x:v>1</x:v>
      </x:c>
      <x:c r="E5" t="str">
        <x:v>P04_Poisson_Ratio</x:v>
      </x:c>
      <x:c r="F5" s="7" t="str">
        <x:v>Nominal elastic Poisson ratio.</x:v>
      </x:c>
      <x:c r="G5" s="7" t="str">
        <x:v>Returns DB_ERR_MISSING status and NaN value</x:v>
      </x:c>
      <x:c r="H5" t="str">
        <x:v>Poisson_Ratio</x:v>
      </x:c>
    </x:row>
    <x:row r="6">
      <x:c r="A6" t="n">
        <x:v>5</x:v>
      </x:c>
      <x:c r="B6" t="str">
        <x:v>MAT_P_YIELD_STRENGTH</x:v>
      </x:c>
      <x:c r="C6" t="str">
        <x:v>Tensile yield strength</x:v>
      </x:c>
      <x:c r="D6" t="str">
        <x:v>MPa</x:v>
      </x:c>
      <x:c r="E6" t="str">
        <x:v>P05_Yield_Strength_MPa</x:v>
      </x:c>
      <x:c r="F6" s="7" t="str">
        <x:v>Typical tensile yield strength or proof stress; not a design allowable.</x:v>
      </x:c>
      <x:c r="G6" s="7" t="str">
        <x:v>Returns DB_ERR_MISSING status and NaN value</x:v>
      </x:c>
      <x:c r="H6" t="str">
        <x:v>Yield_Strength_MPa</x:v>
      </x:c>
    </x:row>
    <x:row r="7">
      <x:c r="A7" t="n">
        <x:v>6</x:v>
      </x:c>
      <x:c r="B7" t="str">
        <x:v>MAT_P_TENSILE_STRENGTH</x:v>
      </x:c>
      <x:c r="C7" t="str">
        <x:v>Ultimate tensile strength</x:v>
      </x:c>
      <x:c r="D7" t="str">
        <x:v>MPa</x:v>
      </x:c>
      <x:c r="E7" t="str">
        <x:v>P06_Tensile_Strength_MPa</x:v>
      </x:c>
      <x:c r="F7" s="7" t="str">
        <x:v>Typical ultimate tensile strength; direction noted for anisotropic materials.</x:v>
      </x:c>
      <x:c r="G7" s="7" t="str">
        <x:v>Returns DB_ERR_MISSING status and NaN value</x:v>
      </x:c>
      <x:c r="H7" t="str">
        <x:v>Tensile_Strength_MPa</x:v>
      </x:c>
    </x:row>
    <x:row r="8">
      <x:c r="A8" t="n">
        <x:v>7</x:v>
      </x:c>
      <x:c r="B8" t="str">
        <x:v>MAT_P_COMPRESSIVE_STRENGTH</x:v>
      </x:c>
      <x:c r="C8" t="str">
        <x:v>Compressive strength</x:v>
      </x:c>
      <x:c r="D8" t="str">
        <x:v>MPa</x:v>
      </x:c>
      <x:c r="E8" t="str">
        <x:v>P07_Compressive_Strength_MPa</x:v>
      </x:c>
      <x:c r="F8" s="7" t="str">
        <x:v>Typical crushing/compressive strength where meaningful.</x:v>
      </x:c>
      <x:c r="G8" s="7" t="str">
        <x:v>Returns DB_ERR_MISSING status and NaN value</x:v>
      </x:c>
      <x:c r="H8" t="str">
        <x:v>Compressive_Strength_MPa</x:v>
      </x:c>
    </x:row>
    <x:row r="9">
      <x:c r="A9" t="n">
        <x:v>8</x:v>
      </x:c>
      <x:c r="B9" t="str">
        <x:v>MAT_P_FLEXURAL_STRENGTH</x:v>
      </x:c>
      <x:c r="C9" t="str">
        <x:v>Flexural strength</x:v>
      </x:c>
      <x:c r="D9" t="str">
        <x:v>MPa</x:v>
      </x:c>
      <x:c r="E9" t="str">
        <x:v>P08_Flexural_Strength_MPa</x:v>
      </x:c>
      <x:c r="F9" s="7" t="str">
        <x:v>Typical modulus of rupture/flexural strength.</x:v>
      </x:c>
      <x:c r="G9" s="7" t="str">
        <x:v>Returns DB_ERR_MISSING status and NaN value</x:v>
      </x:c>
      <x:c r="H9" t="str">
        <x:v>Flexural_Strength_MPa</x:v>
      </x:c>
    </x:row>
    <x:row r="10">
      <x:c r="A10" t="n">
        <x:v>9</x:v>
      </x:c>
      <x:c r="B10" t="str">
        <x:v>MAT_P_ELONGATION</x:v>
      </x:c>
      <x:c r="C10" t="str">
        <x:v>Elongation at break</x:v>
      </x:c>
      <x:c r="D10" t="str">
        <x:v>fraction</x:v>
      </x:c>
      <x:c r="E10" t="str">
        <x:v>P09_Elongation_Fraction</x:v>
      </x:c>
      <x:c r="F10" s="7" t="str">
        <x:v>Engineering strain at break as a fraction (0.12 = 12%).</x:v>
      </x:c>
      <x:c r="G10" s="7" t="str">
        <x:v>Returns DB_ERR_MISSING status and NaN value</x:v>
      </x:c>
      <x:c r="H10" t="str">
        <x:v>Elongation_Fraction</x:v>
      </x:c>
    </x:row>
    <x:row r="11">
      <x:c r="A11" t="n">
        <x:v>10</x:v>
      </x:c>
      <x:c r="B11" t="str">
        <x:v>MAT_P_FRACTURE_TOUGHNESS</x:v>
      </x:c>
      <x:c r="C11" t="str">
        <x:v>Fracture toughness</x:v>
      </x:c>
      <x:c r="D11" t="str">
        <x:v>MPa*m^0.5</x:v>
      </x:c>
      <x:c r="E11" t="str">
        <x:v>P10_Fracture_Toughness_MPa_sqrt_m</x:v>
      </x:c>
      <x:c r="F11" s="7" t="str">
        <x:v>Representative mode-I fracture toughness where available.</x:v>
      </x:c>
      <x:c r="G11" s="7" t="str">
        <x:v>Returns DB_ERR_MISSING status and NaN value</x:v>
      </x:c>
      <x:c r="H11" t="str">
        <x:v>Fracture_Toughness_MPa_sqrt_m</x:v>
      </x:c>
    </x:row>
    <x:row r="12">
      <x:c r="A12" t="n">
        <x:v>11</x:v>
      </x:c>
      <x:c r="B12" t="str">
        <x:v>MAT_P_THERMAL_CONDUCTIVITY</x:v>
      </x:c>
      <x:c r="C12" t="str">
        <x:v>Thermal conductivity</x:v>
      </x:c>
      <x:c r="D12" t="str">
        <x:v>W/(m*K)</x:v>
      </x:c>
      <x:c r="E12" t="str">
        <x:v>P11_Thermal_Conductivity_W_mK</x:v>
      </x:c>
      <x:c r="F12" s="7" t="str">
        <x:v>Nominal conductivity near room temperature.</x:v>
      </x:c>
      <x:c r="G12" s="7" t="str">
        <x:v>Returns DB_ERR_MISSING status and NaN value</x:v>
      </x:c>
      <x:c r="H12" t="str">
        <x:v>Thermal_Conductivity_W_mK</x:v>
      </x:c>
    </x:row>
    <x:row r="13">
      <x:c r="A13" t="n">
        <x:v>12</x:v>
      </x:c>
      <x:c r="B13" t="str">
        <x:v>MAT_P_SPECIFIC_HEAT</x:v>
      </x:c>
      <x:c r="C13" t="str">
        <x:v>Specific heat</x:v>
      </x:c>
      <x:c r="D13" t="str">
        <x:v>J/(kg*K)</x:v>
      </x:c>
      <x:c r="E13" t="str">
        <x:v>P12_Specific_Heat_J_kgK</x:v>
      </x:c>
      <x:c r="F13" s="7" t="str">
        <x:v>Nominal specific heat capacity near room temperature.</x:v>
      </x:c>
      <x:c r="G13" s="7" t="str">
        <x:v>Returns DB_ERR_MISSING status and NaN value</x:v>
      </x:c>
      <x:c r="H13" t="str">
        <x:v>Specific_Heat_J_kgK</x:v>
      </x:c>
    </x:row>
    <x:row r="14">
      <x:c r="A14" t="n">
        <x:v>13</x:v>
      </x:c>
      <x:c r="B14" t="str">
        <x:v>MAT_P_CTE</x:v>
      </x:c>
      <x:c r="C14" t="str">
        <x:v>Coefficient of thermal expansion</x:v>
      </x:c>
      <x:c r="D14" t="str">
        <x:v>um/(m*K)</x:v>
      </x:c>
      <x:c r="E14" t="str">
        <x:v>P13_CTE_um_mK</x:v>
      </x:c>
      <x:c r="F14" s="7" t="str">
        <x:v>Linear coefficient of thermal expansion in micrometres per metre-kelvin.</x:v>
      </x:c>
      <x:c r="G14" s="7" t="str">
        <x:v>Returns DB_ERR_MISSING status and NaN value</x:v>
      </x:c>
      <x:c r="H14" t="str">
        <x:v>CTE_um_mK</x:v>
      </x:c>
    </x:row>
    <x:row r="15">
      <x:c r="A15" t="n">
        <x:v>14</x:v>
      </x:c>
      <x:c r="B15" t="str">
        <x:v>MAT_P_ELECTRICAL_RESISTIVITY</x:v>
      </x:c>
      <x:c r="C15" t="str">
        <x:v>Electrical resistivity</x:v>
      </x:c>
      <x:c r="D15" t="str">
        <x:v>ohm*m</x:v>
      </x:c>
      <x:c r="E15" t="str">
        <x:v>P14_Electrical_Resistivity_ohm_m</x:v>
      </x:c>
      <x:c r="F15" s="7" t="str">
        <x:v>Representative volume resistivity near room temperature.</x:v>
      </x:c>
      <x:c r="G15" s="7" t="str">
        <x:v>Returns DB_ERR_MISSING status and NaN value</x:v>
      </x:c>
      <x:c r="H15" t="str">
        <x:v>Electrical_Resistivity_ohm_m</x:v>
      </x:c>
    </x:row>
    <x:row r="16">
      <x:c r="A16" t="n">
        <x:v>15</x:v>
      </x:c>
      <x:c r="B16" t="str">
        <x:v>MAT_P_TRANSITION_TEMPERATURE</x:v>
      </x:c>
      <x:c r="C16" t="str">
        <x:v>Primary transition temperature</x:v>
      </x:c>
      <x:c r="D16" t="str">
        <x:v>degC</x:v>
      </x:c>
      <x:c r="E16" t="str">
        <x:v>P15_Transition_Temperature_C</x:v>
      </x:c>
      <x:c r="F16" s="7" t="str">
        <x:v>Melting point/range for metals and semicrystalline materials; glass transition or softening point for amorphous materials, as noted.</x:v>
      </x:c>
      <x:c r="G16" s="7" t="str">
        <x:v>Returns DB_ERR_MISSING status and NaN value</x:v>
      </x:c>
      <x:c r="H16" t="str">
        <x:v>Transition_Temperature_C</x:v>
      </x:c>
    </x:row>
    <x:row r="17">
      <x:c r="A17" t="n">
        <x:v>16</x:v>
      </x:c>
      <x:c r="B17" t="str">
        <x:v>MAT_P_MAX_SERVICE_TEMPERATURE</x:v>
      </x:c>
      <x:c r="C17" t="str">
        <x:v>Indicative maximum service temperature</x:v>
      </x:c>
      <x:c r="D17" t="str">
        <x:v>degC</x:v>
      </x:c>
      <x:c r="E17" t="str">
        <x:v>P16_Max_Service_Temperature_C</x:v>
      </x:c>
      <x:c r="F17" s="7" t="str">
        <x:v>Screening value only; loading, environment and duration can reduce it substantially.</x:v>
      </x:c>
      <x:c r="G17" s="7" t="str">
        <x:v>Returns DB_ERR_MISSING status and NaN value</x:v>
      </x:c>
      <x:c r="H17" t="str">
        <x:v>Max_Service_Temperature_C</x:v>
      </x:c>
    </x:row>
    <x:row r="18">
      <x:c r="A18" t="n">
        <x:v>17</x:v>
      </x:c>
      <x:c r="B18" t="str">
        <x:v>MAT_P_HARDNESS_VICKERS</x:v>
      </x:c>
      <x:c r="C18" t="str">
        <x:v>Vickers hardness</x:v>
      </x:c>
      <x:c r="D18" t="str">
        <x:v>HV</x:v>
      </x:c>
      <x:c r="E18" t="str">
        <x:v>P17_Hardness_HV</x:v>
      </x:c>
      <x:c r="F18" s="7" t="str">
        <x:v>Representative Vickers hardness; blank where another hardness scale is customary.</x:v>
      </x:c>
      <x:c r="G18" s="7" t="str">
        <x:v>Returns DB_ERR_MISSING status and NaN value</x:v>
      </x:c>
      <x:c r="H18" t="str">
        <x:v>Hardness_HV</x:v>
      </x:c>
    </x:row>
    <x:row r="19">
      <x:c r="A19" t="n">
        <x:v>18</x:v>
      </x:c>
      <x:c r="B19" t="str">
        <x:v>MAT_P_BULK_MODULUS</x:v>
      </x:c>
      <x:c r="C19" t="str">
        <x:v>Bulk modulus</x:v>
      </x:c>
      <x:c r="D19" t="str">
        <x:v>GPa</x:v>
      </x:c>
      <x:c r="E19" t="str">
        <x:v>P18_Bulk_Modulus_GPa</x:v>
      </x:c>
      <x:c r="F19" s="7" t="str">
        <x:v>Derived from E and Poisson ratio for isotropic rows unless overridden.</x:v>
      </x:c>
      <x:c r="G19" s="7" t="str">
        <x:v>Returns DB_ERR_MISSING status and NaN value</x:v>
      </x:c>
      <x:c r="H19" t="str">
        <x:v>Bulk_Modulus_GPa_Derived</x:v>
      </x:c>
    </x:row>
  </x:sheetData>
  <x:pageMargins left="0.7" right="0.7" top="0.75" bottom="0.75" header="0.3" footer="0.3"/>
  <x:tableParts count="1">
    <x:tablePart xmlns:r="http://schemas.openxmlformats.org/officeDocument/2006/relationships" r:id="Rf89c5985ed9345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38" hidden="0" customWidth="1"/>
    <x:col min="4" max="4" width="48" hidden="0" customWidth="1"/>
    <x:col min="5" max="5" width="52" hidden="0" customWidth="1"/>
  </x:cols>
  <x:sheetData>
    <x:row r="1" ht="34" customHeight="1">
      <x:c r="A1" s="30" t="str">
        <x:v>Source_ID</x:v>
      </x:c>
      <x:c r="B1" s="30" t="str">
        <x:v>Source_Name</x:v>
      </x:c>
      <x:c r="C1" s="30" t="str">
        <x:v>Coverage</x:v>
      </x:c>
      <x:c r="D1" s="30" t="str">
        <x:v>Use_in_Library</x:v>
      </x:c>
      <x:c r="E1" s="30" t="str">
        <x:v>URL</x:v>
      </x:c>
    </x:row>
    <x:row r="2">
      <x:c r="A2" t="n">
        <x:v>1</x:v>
      </x:c>
      <x:c r="B2" s="7" t="str">
        <x:v>MatWeb public materials database</x:v>
      </x:c>
      <x:c r="C2" s="7" t="str">
        <x:v>Metals and general engineering materials</x:v>
      </x:c>
      <x:c r="D2" s="7" t="str">
        <x:v>Representative room-temperature values; cross-check portal</x:v>
      </x:c>
      <x:c r="E2" s="7" t="str">
        <x:v>https://www.matweb.com/search/MaterialGroupSearch.aspx</x:v>
      </x:c>
    </x:row>
    <x:row r="3">
      <x:c r="A3" t="n">
        <x:v>2</x:v>
      </x:c>
      <x:c r="B3" s="7" t="str">
        <x:v>Outokumpu stainless steel grades</x:v>
      </x:c>
      <x:c r="C3" s="7" t="str">
        <x:v>Stainless and duplex stainless steels</x:v>
      </x:c>
      <x:c r="D3" s="7" t="str">
        <x:v>Portal registry; qualified records use stable citations and locators in the Citations sheet</x:v>
      </x:c>
      <x:c r="E3" s="7" t="str">
        <x:v>https://www.outokumpu.com/en/products/stainless-steel/grades</x:v>
      </x:c>
    </x:row>
    <x:row r="4">
      <x:c r="A4" t="n">
        <x:v>3</x:v>
      </x:c>
      <x:c r="B4" s="7" t="str">
        <x:v>Copper Development Association alloy database</x:v>
      </x:c>
      <x:c r="C4" s="7" t="str">
        <x:v>Copper, brass, bronze and copper-nickel alloys</x:v>
      </x:c>
      <x:c r="D4" s="7" t="str">
        <x:v>Industry association alloy property reference</x:v>
      </x:c>
      <x:c r="E4" s="7" t="str">
        <x:v>https://www.copper.org/resources/properties/db/</x:v>
      </x:c>
    </x:row>
    <x:row r="5">
      <x:c r="A5" t="n">
        <x:v>4</x:v>
      </x:c>
      <x:c r="B5" s="7" t="str">
        <x:v>Special Metals product literature</x:v>
      </x:c>
      <x:c r="C5" s="7" t="str">
        <x:v>Nickel, nickel-copper and nickel-chromium alloys</x:v>
      </x:c>
      <x:c r="D5" s="7" t="str">
        <x:v>Producer technical literature</x:v>
      </x:c>
      <x:c r="E5" s="7" t="str">
        <x:v>https://www.specialmetals.com/documents/</x:v>
      </x:c>
    </x:row>
    <x:row r="6">
      <x:c r="A6" t="n">
        <x:v>5</x:v>
      </x:c>
      <x:c r="B6" s="7" t="str">
        <x:v>CAMPUS plastics database</x:v>
      </x:c>
      <x:c r="C6" s="7" t="str">
        <x:v>Thermoplastics and thermoset molding materials</x:v>
      </x:c>
      <x:c r="D6" s="7" t="str">
        <x:v>ISO 10350/11403-oriented plastics data portal</x:v>
      </x:c>
      <x:c r="E6" s="7" t="str">
        <x:v>https://www.campusplastics.com/</x:v>
      </x:c>
    </x:row>
    <x:row r="7">
      <x:c r="A7" t="n">
        <x:v>6</x:v>
      </x:c>
      <x:c r="B7" s="7" t="str">
        <x:v>NIST Structural Ceramics Database</x:v>
      </x:c>
      <x:c r="C7" s="7" t="str">
        <x:v>Advanced ceramics</x:v>
      </x:c>
      <x:c r="D7" s="7" t="str">
        <x:v>Evaluated and typical structural ceramic property records</x:v>
      </x:c>
      <x:c r="E7" s="7" t="str">
        <x:v>https://srdata.nist.gov/CeramicDataPortal/scd</x:v>
      </x:c>
    </x:row>
    <x:row r="8">
      <x:c r="A8" t="n">
        <x:v>7</x:v>
      </x:c>
      <x:c r="B8" s="7" t="str">
        <x:v>USDA Wood Handbook: Wood as an Engineering Material</x:v>
      </x:c>
      <x:c r="C8" s="7" t="str">
        <x:v>Wood and wood-based products</x:v>
      </x:c>
      <x:c r="D8" s="7" t="str">
        <x:v>Reference properties and variability guidance</x:v>
      </x:c>
      <x:c r="E8" s="7" t="str">
        <x:v>https://research.fs.usda.gov/fpl/wood-handbook</x:v>
      </x:c>
    </x:row>
    <x:row r="9">
      <x:c r="A9" t="n">
        <x:v>8</x:v>
      </x:c>
      <x:c r="B9" s="7" t="str">
        <x:v>FHWA PCC pavement materials reference</x:v>
      </x:c>
      <x:c r="C9" s="7" t="str">
        <x:v>Concrete and cementitious construction materials</x:v>
      </x:c>
      <x:c r="D9" s="7" t="str">
        <x:v>Mechanical and thermal property context</x:v>
      </x:c>
      <x:c r="E9" s="7" t="str">
        <x:v>https://www.fhwa.dot.gov/publications/research/infrastructure/pavements/pccp/04127/appa.cfm</x:v>
      </x:c>
    </x:row>
    <x:row r="10">
      <x:c r="A10" t="n">
        <x:v>9</x:v>
      </x:c>
      <x:c r="B10" s="7" t="str">
        <x:v>Hexcel product data sheets</x:v>
      </x:c>
      <x:c r="C10" s="7" t="str">
        <x:v>Carbon, glass and aramid composites</x:v>
      </x:c>
      <x:c r="D10" s="7" t="str">
        <x:v>Manufacturer composite and reinforcement data</x:v>
      </x:c>
      <x:c r="E10" s="7" t="str">
        <x:v>https://www.hexcel.com/Resources/DataSheets/</x:v>
      </x:c>
    </x:row>
    <x:row r="11">
      <x:c r="A11" t="n">
        <x:v>10</x:v>
      </x:c>
      <x:c r="B11" s="7" t="str">
        <x:v>The Aluminum Association alloy overview</x:v>
      </x:c>
      <x:c r="C11" s="7" t="str">
        <x:v>Aluminum alloys</x:v>
      </x:c>
      <x:c r="D11" s="7" t="str">
        <x:v>Industry alloy designation and application context</x:v>
      </x:c>
      <x:c r="E11" s="7" t="str">
        <x:v>https://www.aluminum.org/industry-standards/aluminum-alloys-101</x:v>
      </x:c>
    </x:row>
    <x:row r="12">
      <x:c r="A12" t="n">
        <x:v>11</x:v>
      </x:c>
      <x:c r="B12" s="7" t="str">
        <x:v>NIST TPSX Materials Properties Database</x:v>
      </x:c>
      <x:c r="C12" s="7" t="str">
        <x:v>Thermal-protection and high-temperature materials</x:v>
      </x:c>
      <x:c r="D12" s="7" t="str">
        <x:v>Thermal property reference and comparison</x:v>
      </x:c>
      <x:c r="E12" s="7" t="str">
        <x:v>https://tpsx.arc.nasa.gov/</x:v>
      </x:c>
    </x:row>
  </x:sheetData>
  <x:pageMargins left="0.7" right="0.7" top="0.75" bottom="0.75" header="0.3" footer="0.3"/>
  <x:tableParts count="1">
    <x:tablePart xmlns:r="http://schemas.openxmlformats.org/officeDocument/2006/relationships" r:id="R1bd7dbdee3e645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48" customHeight="1">
      <x:c r="A1" s="30" t="str">
        <x:v>Material_ID</x:v>
      </x:c>
      <x:c r="B1" s="30" t="str">
        <x:v>P01_Density_kg_m3</x:v>
      </x:c>
      <x:c r="C1" s="30" t="str">
        <x:v>P02_Youngs_Modulus_GPa</x:v>
      </x:c>
      <x:c r="D1" s="30" t="str">
        <x:v>P03_Shear_Modulus_GPa</x:v>
      </x:c>
      <x:c r="E1" s="30" t="str">
        <x:v>P04_Poisson_Ratio</x:v>
      </x:c>
      <x:c r="F1" s="30" t="str">
        <x:v>P05_Yield_Strength_MPa</x:v>
      </x:c>
      <x:c r="G1" s="30" t="str">
        <x:v>P06_Tensile_Strength_MPa</x:v>
      </x:c>
      <x:c r="H1" s="30" t="str">
        <x:v>P07_Compressive_Strength_MPa</x:v>
      </x:c>
      <x:c r="I1" s="30" t="str">
        <x:v>P08_Flexural_Strength_MPa</x:v>
      </x:c>
      <x:c r="J1" s="30" t="str">
        <x:v>P09_Elongation_Fraction</x:v>
      </x:c>
      <x:c r="K1" s="30" t="str">
        <x:v>P10_Fracture_Toughness_MPa_sqrt_m</x:v>
      </x:c>
      <x:c r="L1" s="30" t="str">
        <x:v>P11_Thermal_Conductivity_W_mK</x:v>
      </x:c>
      <x:c r="M1" s="30" t="str">
        <x:v>P12_Specific_Heat_J_kgK</x:v>
      </x:c>
      <x:c r="N1" s="30" t="str">
        <x:v>P13_CTE_um_mK</x:v>
      </x:c>
      <x:c r="O1" s="30" t="str">
        <x:v>P14_Electrical_Resistivity_ohm_m</x:v>
      </x:c>
      <x:c r="P1" s="30" t="str">
        <x:v>P15_Transition_Temperature_C</x:v>
      </x:c>
      <x:c r="Q1" s="30" t="str">
        <x:v>P16_Max_Service_Temperature_C</x:v>
      </x:c>
      <x:c r="R1" s="30" t="str">
        <x:v>P17_Hardness_HV</x:v>
      </x:c>
      <x:c r="S1" s="30" t="str">
        <x:v>P18_Bulk_Modulus_GPa</x:v>
      </x:c>
    </x:row>
    <x:row r="2">
      <x:c r="A2" s="42" t="n">
        <x:f>'Materials'!A2</x:f>
        <x:v>1001</x:v>
      </x:c>
      <x:c r="B2" s="41" t="n">
        <x:f>IF('Materials'!I2="","",'Materials'!I2)</x:f>
        <x:v>7850</x:v>
      </x:c>
      <x:c r="C2" s="41" t="n">
        <x:f>IF('Materials'!J2="","",'Materials'!J2)</x:f>
        <x:v>200</x:v>
      </x:c>
      <x:c r="D2" s="41" t="n">
        <x:f>IF('Materials'!N2="","",'Materials'!N2)</x:f>
        <x:v>77.51937984496124</x:v>
      </x:c>
      <x:c r="E2" s="41" t="n">
        <x:f>IF('Materials'!K2="","",'Materials'!K2)</x:f>
        <x:v>0.29</x:v>
      </x:c>
      <x:c r="F2" s="41" t="n">
        <x:f>IF('Materials'!P2="","",'Materials'!P2)</x:f>
        <x:v>250</x:v>
      </x:c>
      <x:c r="G2" s="41" t="n">
        <x:f>IF('Materials'!Q2="","",'Materials'!Q2)</x:f>
        <x:v>400</x:v>
      </x:c>
      <x:c r="H2" s="41" t="str">
        <x:f>IF('Materials'!R2="","",'Materials'!R2)</x:f>
      </x:c>
      <x:c r="I2" s="41" t="str">
        <x:f>IF('Materials'!S2="","",'Materials'!S2)</x:f>
      </x:c>
      <x:c r="J2" s="41" t="n">
        <x:f>IF('Materials'!T2="","",'Materials'!T2)</x:f>
        <x:v>0.2</x:v>
      </x:c>
      <x:c r="K2" s="41" t="n">
        <x:f>IF('Materials'!U2="","",'Materials'!U2)</x:f>
        <x:v>50</x:v>
      </x:c>
      <x:c r="L2" s="41" t="n">
        <x:f>IF('Materials'!V2="","",'Materials'!V2)</x:f>
        <x:v>50</x:v>
      </x:c>
      <x:c r="M2" s="41" t="n">
        <x:f>IF('Materials'!W2="","",'Materials'!W2)</x:f>
        <x:v>486</x:v>
      </x:c>
      <x:c r="N2" s="41" t="n">
        <x:f>IF('Materials'!X2="","",'Materials'!X2)</x:f>
        <x:v>11.7</x:v>
      </x:c>
      <x:c r="O2" s="43" t="n">
        <x:f>IF('Materials'!Y2="","",'Materials'!Y2)</x:f>
        <x:v>1.43e-7</x:v>
      </x:c>
      <x:c r="P2" s="41" t="n">
        <x:f>IF('Materials'!Z2="","",'Materials'!Z2)</x:f>
        <x:v>1450</x:v>
      </x:c>
      <x:c r="Q2" s="41" t="n">
        <x:f>IF('Materials'!AA2="","",'Materials'!AA2)</x:f>
        <x:v>425</x:v>
      </x:c>
      <x:c r="R2" s="41" t="n">
        <x:f>IF('Materials'!AB2="","",'Materials'!AB2)</x:f>
        <x:v>120</x:v>
      </x:c>
      <x:c r="S2" s="41" t="n">
        <x:f>IF('Materials'!O2="","",'Materials'!O2)</x:f>
        <x:v>158.7301587301587</x:v>
      </x:c>
    </x:row>
    <x:row r="3">
      <x:c r="A3" s="42" t="n">
        <x:f>'Materials'!A3</x:f>
        <x:v>1002</x:v>
      </x:c>
      <x:c r="B3" s="41" t="n">
        <x:f>IF('Materials'!I3="","",'Materials'!I3)</x:f>
        <x:v>7870</x:v>
      </x:c>
      <x:c r="C3" s="41" t="n">
        <x:f>IF('Materials'!J3="","",'Materials'!J3)</x:f>
        <x:v>205</x:v>
      </x:c>
      <x:c r="D3" s="41" t="n">
        <x:f>IF('Materials'!N3="","",'Materials'!N3)</x:f>
        <x:v>79.45736434108527</x:v>
      </x:c>
      <x:c r="E3" s="41" t="n">
        <x:f>IF('Materials'!K3="","",'Materials'!K3)</x:f>
        <x:v>0.29</x:v>
      </x:c>
      <x:c r="F3" s="41" t="n">
        <x:f>IF('Materials'!P3="","",'Materials'!P3)</x:f>
        <x:v>370</x:v>
      </x:c>
      <x:c r="G3" s="41" t="n">
        <x:f>IF('Materials'!Q3="","",'Materials'!Q3)</x:f>
        <x:v>440</x:v>
      </x:c>
      <x:c r="H3" s="41" t="str">
        <x:f>IF('Materials'!R3="","",'Materials'!R3)</x:f>
      </x:c>
      <x:c r="I3" s="41" t="str">
        <x:f>IF('Materials'!S3="","",'Materials'!S3)</x:f>
      </x:c>
      <x:c r="J3" s="41" t="n">
        <x:f>IF('Materials'!T3="","",'Materials'!T3)</x:f>
        <x:v>0.15</x:v>
      </x:c>
      <x:c r="K3" s="41" t="n">
        <x:f>IF('Materials'!U3="","",'Materials'!U3)</x:f>
        <x:v>55</x:v>
      </x:c>
      <x:c r="L3" s="41" t="n">
        <x:f>IF('Materials'!V3="","",'Materials'!V3)</x:f>
        <x:v>51.9</x:v>
      </x:c>
      <x:c r="M3" s="41" t="n">
        <x:f>IF('Materials'!W3="","",'Materials'!W3)</x:f>
        <x:v>486</x:v>
      </x:c>
      <x:c r="N3" s="41" t="n">
        <x:f>IF('Materials'!X3="","",'Materials'!X3)</x:f>
        <x:v>11.7</x:v>
      </x:c>
      <x:c r="O3" s="43" t="n">
        <x:f>IF('Materials'!Y3="","",'Materials'!Y3)</x:f>
        <x:v>1.59e-7</x:v>
      </x:c>
      <x:c r="P3" s="41" t="n">
        <x:f>IF('Materials'!Z3="","",'Materials'!Z3)</x:f>
        <x:v>1450</x:v>
      </x:c>
      <x:c r="Q3" s="41" t="n">
        <x:f>IF('Materials'!AA3="","",'Materials'!AA3)</x:f>
        <x:v>425</x:v>
      </x:c>
      <x:c r="R3" s="41" t="n">
        <x:f>IF('Materials'!AB3="","",'Materials'!AB3)</x:f>
        <x:v>126</x:v>
      </x:c>
      <x:c r="S3" s="41" t="n">
        <x:f>IF('Materials'!O3="","",'Materials'!O3)</x:f>
        <x:v>162.69841269841268</x:v>
      </x:c>
    </x:row>
    <x:row r="4">
      <x:c r="A4" s="42" t="n">
        <x:f>'Materials'!A4</x:f>
        <x:v>1003</x:v>
      </x:c>
      <x:c r="B4" s="41" t="n">
        <x:f>IF('Materials'!I4="","",'Materials'!I4)</x:f>
        <x:v>7870</x:v>
      </x:c>
      <x:c r="C4" s="41" t="n">
        <x:f>IF('Materials'!J4="","",'Materials'!J4)</x:f>
        <x:v>205</x:v>
      </x:c>
      <x:c r="D4" s="41" t="n">
        <x:f>IF('Materials'!N4="","",'Materials'!N4)</x:f>
        <x:v>79.45736434108527</x:v>
      </x:c>
      <x:c r="E4" s="41" t="n">
        <x:f>IF('Materials'!K4="","",'Materials'!K4)</x:f>
        <x:v>0.29</x:v>
      </x:c>
      <x:c r="F4" s="41" t="n">
        <x:f>IF('Materials'!P4="","",'Materials'!P4)</x:f>
        <x:v>295</x:v>
      </x:c>
      <x:c r="G4" s="41" t="n">
        <x:f>IF('Materials'!Q4="","",'Materials'!Q4)</x:f>
        <x:v>395</x:v>
      </x:c>
      <x:c r="H4" s="41" t="str">
        <x:f>IF('Materials'!R4="","",'Materials'!R4)</x:f>
      </x:c>
      <x:c r="I4" s="41" t="str">
        <x:f>IF('Materials'!S4="","",'Materials'!S4)</x:f>
      </x:c>
      <x:c r="J4" s="41" t="n">
        <x:f>IF('Materials'!T4="","",'Materials'!T4)</x:f>
        <x:v>0.36</x:v>
      </x:c>
      <x:c r="K4" s="41" t="n">
        <x:f>IF('Materials'!U4="","",'Materials'!U4)</x:f>
        <x:v>60</x:v>
      </x:c>
      <x:c r="L4" s="41" t="n">
        <x:f>IF('Materials'!V4="","",'Materials'!V4)</x:f>
        <x:v>51.9</x:v>
      </x:c>
      <x:c r="M4" s="41" t="n">
        <x:f>IF('Materials'!W4="","",'Materials'!W4)</x:f>
        <x:v>486</x:v>
      </x:c>
      <x:c r="N4" s="41" t="n">
        <x:f>IF('Materials'!X4="","",'Materials'!X4)</x:f>
        <x:v>11.7</x:v>
      </x:c>
      <x:c r="O4" s="43" t="n">
        <x:f>IF('Materials'!Y4="","",'Materials'!Y4)</x:f>
        <x:v>1.59e-7</x:v>
      </x:c>
      <x:c r="P4" s="41" t="n">
        <x:f>IF('Materials'!Z4="","",'Materials'!Z4)</x:f>
        <x:v>1450</x:v>
      </x:c>
      <x:c r="Q4" s="41" t="n">
        <x:f>IF('Materials'!AA4="","",'Materials'!AA4)</x:f>
        <x:v>425</x:v>
      </x:c>
      <x:c r="R4" s="41" t="n">
        <x:f>IF('Materials'!AB4="","",'Materials'!AB4)</x:f>
        <x:v>111</x:v>
      </x:c>
      <x:c r="S4" s="41" t="n">
        <x:f>IF('Materials'!O4="","",'Materials'!O4)</x:f>
        <x:v>162.69841269841268</x:v>
      </x:c>
    </x:row>
    <x:row r="5">
      <x:c r="A5" s="42" t="n">
        <x:f>'Materials'!A5</x:f>
        <x:v>1004</x:v>
      </x:c>
      <x:c r="B5" s="41" t="n">
        <x:f>IF('Materials'!I5="","",'Materials'!I5)</x:f>
        <x:v>7850</x:v>
      </x:c>
      <x:c r="C5" s="41" t="n">
        <x:f>IF('Materials'!J5="","",'Materials'!J5)</x:f>
        <x:v>205</x:v>
      </x:c>
      <x:c r="D5" s="41" t="n">
        <x:f>IF('Materials'!N5="","",'Materials'!N5)</x:f>
        <x:v>79.45736434108527</x:v>
      </x:c>
      <x:c r="E5" s="41" t="n">
        <x:f>IF('Materials'!K5="","",'Materials'!K5)</x:f>
        <x:v>0.29</x:v>
      </x:c>
      <x:c r="F5" s="41" t="n">
        <x:f>IF('Materials'!P5="","",'Materials'!P5)</x:f>
        <x:v>450</x:v>
      </x:c>
      <x:c r="G5" s="41" t="n">
        <x:f>IF('Materials'!Q5="","",'Materials'!Q5)</x:f>
        <x:v>625</x:v>
      </x:c>
      <x:c r="H5" s="41" t="str">
        <x:f>IF('Materials'!R5="","",'Materials'!R5)</x:f>
      </x:c>
      <x:c r="I5" s="41" t="str">
        <x:f>IF('Materials'!S5="","",'Materials'!S5)</x:f>
      </x:c>
      <x:c r="J5" s="41" t="n">
        <x:f>IF('Materials'!T5="","",'Materials'!T5)</x:f>
        <x:v>0.16</x:v>
      </x:c>
      <x:c r="K5" s="41" t="n">
        <x:f>IF('Materials'!U5="","",'Materials'!U5)</x:f>
        <x:v>45</x:v>
      </x:c>
      <x:c r="L5" s="41" t="n">
        <x:f>IF('Materials'!V5="","",'Materials'!V5)</x:f>
        <x:v>49.8</x:v>
      </x:c>
      <x:c r="M5" s="41" t="n">
        <x:f>IF('Materials'!W5="","",'Materials'!W5)</x:f>
        <x:v>486</x:v>
      </x:c>
      <x:c r="N5" s="41" t="n">
        <x:f>IF('Materials'!X5="","",'Materials'!X5)</x:f>
        <x:v>11.7</x:v>
      </x:c>
      <x:c r="O5" s="43" t="n">
        <x:f>IF('Materials'!Y5="","",'Materials'!Y5)</x:f>
        <x:v>1.62e-7</x:v>
      </x:c>
      <x:c r="P5" s="41" t="n">
        <x:f>IF('Materials'!Z5="","",'Materials'!Z5)</x:f>
        <x:v>1450</x:v>
      </x:c>
      <x:c r="Q5" s="41" t="n">
        <x:f>IF('Materials'!AA5="","",'Materials'!AA5)</x:f>
        <x:v>425</x:v>
      </x:c>
      <x:c r="R5" s="41" t="n">
        <x:f>IF('Materials'!AB5="","",'Materials'!AB5)</x:f>
        <x:v>180</x:v>
      </x:c>
      <x:c r="S5" s="41" t="n">
        <x:f>IF('Materials'!O5="","",'Materials'!O5)</x:f>
        <x:v>162.69841269841268</x:v>
      </x:c>
    </x:row>
    <x:row r="6">
      <x:c r="A6" s="42" t="n">
        <x:f>'Materials'!A6</x:f>
        <x:v>1005</x:v>
      </x:c>
      <x:c r="B6" s="41" t="n">
        <x:f>IF('Materials'!I6="","",'Materials'!I6)</x:f>
        <x:v>7850</x:v>
      </x:c>
      <x:c r="C6" s="41" t="n">
        <x:f>IF('Materials'!J6="","",'Materials'!J6)</x:f>
        <x:v>205</x:v>
      </x:c>
      <x:c r="D6" s="41" t="n">
        <x:f>IF('Materials'!N6="","",'Materials'!N6)</x:f>
        <x:v>79.45736434108527</x:v>
      </x:c>
      <x:c r="E6" s="41" t="n">
        <x:f>IF('Materials'!K6="","",'Materials'!K6)</x:f>
        <x:v>0.29</x:v>
      </x:c>
      <x:c r="F6" s="41" t="n">
        <x:f>IF('Materials'!P6="","",'Materials'!P6)</x:f>
        <x:v>380</x:v>
      </x:c>
      <x:c r="G6" s="41" t="n">
        <x:f>IF('Materials'!Q6="","",'Materials'!Q6)</x:f>
        <x:v>650</x:v>
      </x:c>
      <x:c r="H6" s="41" t="str">
        <x:f>IF('Materials'!R6="","",'Materials'!R6)</x:f>
      </x:c>
      <x:c r="I6" s="41" t="str">
        <x:f>IF('Materials'!S6="","",'Materials'!S6)</x:f>
      </x:c>
      <x:c r="J6" s="41" t="n">
        <x:f>IF('Materials'!T6="","",'Materials'!T6)</x:f>
        <x:v>0.1</x:v>
      </x:c>
      <x:c r="K6" s="41" t="n">
        <x:f>IF('Materials'!U6="","",'Materials'!U6)</x:f>
        <x:v>35</x:v>
      </x:c>
      <x:c r="L6" s="41" t="n">
        <x:f>IF('Materials'!V6="","",'Materials'!V6)</x:f>
        <x:v>49.8</x:v>
      </x:c>
      <x:c r="M6" s="41" t="n">
        <x:f>IF('Materials'!W6="","",'Materials'!W6)</x:f>
        <x:v>486</x:v>
      </x:c>
      <x:c r="N6" s="41" t="n">
        <x:f>IF('Materials'!X6="","",'Materials'!X6)</x:f>
        <x:v>11.7</x:v>
      </x:c>
      <x:c r="O6" s="43" t="n">
        <x:f>IF('Materials'!Y6="","",'Materials'!Y6)</x:f>
        <x:v>1.65e-7</x:v>
      </x:c>
      <x:c r="P6" s="41" t="n">
        <x:f>IF('Materials'!Z6="","",'Materials'!Z6)</x:f>
        <x:v>1450</x:v>
      </x:c>
      <x:c r="Q6" s="41" t="n">
        <x:f>IF('Materials'!AA6="","",'Materials'!AA6)</x:f>
        <x:v>425</x:v>
      </x:c>
      <x:c r="R6" s="41" t="n">
        <x:f>IF('Materials'!AB6="","",'Materials'!AB6)</x:f>
        <x:v>190</x:v>
      </x:c>
      <x:c r="S6" s="41" t="n">
        <x:f>IF('Materials'!O6="","",'Materials'!O6)</x:f>
        <x:v>162.69841269841268</x:v>
      </x:c>
    </x:row>
    <x:row r="7">
      <x:c r="A7" s="42" t="n">
        <x:f>'Materials'!A7</x:f>
        <x:v>1006</x:v>
      </x:c>
      <x:c r="B7" s="41" t="n">
        <x:f>IF('Materials'!I7="","",'Materials'!I7)</x:f>
        <x:v>7850</x:v>
      </x:c>
      <x:c r="C7" s="41" t="n">
        <x:f>IF('Materials'!J7="","",'Materials'!J7)</x:f>
        <x:v>205</x:v>
      </x:c>
      <x:c r="D7" s="41" t="n">
        <x:f>IF('Materials'!N7="","",'Materials'!N7)</x:f>
        <x:v>79.45736434108527</x:v>
      </x:c>
      <x:c r="E7" s="41" t="n">
        <x:f>IF('Materials'!K7="","",'Materials'!K7)</x:f>
        <x:v>0.29</x:v>
      </x:c>
      <x:c r="F7" s="41" t="n">
        <x:f>IF('Materials'!P7="","",'Materials'!P7)</x:f>
        <x:v>435</x:v>
      </x:c>
      <x:c r="G7" s="41" t="n">
        <x:f>IF('Materials'!Q7="","",'Materials'!Q7)</x:f>
        <x:v>670</x:v>
      </x:c>
      <x:c r="H7" s="41" t="str">
        <x:f>IF('Materials'!R7="","",'Materials'!R7)</x:f>
      </x:c>
      <x:c r="I7" s="41" t="str">
        <x:f>IF('Materials'!S7="","",'Materials'!S7)</x:f>
      </x:c>
      <x:c r="J7" s="41" t="n">
        <x:f>IF('Materials'!T7="","",'Materials'!T7)</x:f>
        <x:v>0.21</x:v>
      </x:c>
      <x:c r="K7" s="41" t="n">
        <x:f>IF('Materials'!U7="","",'Materials'!U7)</x:f>
        <x:v>75</x:v>
      </x:c>
      <x:c r="L7" s="41" t="n">
        <x:f>IF('Materials'!V7="","",'Materials'!V7)</x:f>
        <x:v>42.7</x:v>
      </x:c>
      <x:c r="M7" s="41" t="n">
        <x:f>IF('Materials'!W7="","",'Materials'!W7)</x:f>
        <x:v>477</x:v>
      </x:c>
      <x:c r="N7" s="41" t="n">
        <x:f>IF('Materials'!X7="","",'Materials'!X7)</x:f>
        <x:v>12.2</x:v>
      </x:c>
      <x:c r="O7" s="43" t="n">
        <x:f>IF('Materials'!Y7="","",'Materials'!Y7)</x:f>
        <x:v>2.23e-7</x:v>
      </x:c>
      <x:c r="P7" s="41" t="n">
        <x:f>IF('Materials'!Z7="","",'Materials'!Z7)</x:f>
        <x:v>1430</x:v>
      </x:c>
      <x:c r="Q7" s="41" t="n">
        <x:f>IF('Materials'!AA7="","",'Materials'!AA7)</x:f>
        <x:v>480</x:v>
      </x:c>
      <x:c r="R7" s="41" t="n">
        <x:f>IF('Materials'!AB7="","",'Materials'!AB7)</x:f>
        <x:v>197</x:v>
      </x:c>
      <x:c r="S7" s="41" t="n">
        <x:f>IF('Materials'!O7="","",'Materials'!O7)</x:f>
        <x:v>162.69841269841268</x:v>
      </x:c>
    </x:row>
    <x:row r="8">
      <x:c r="A8" s="42" t="n">
        <x:f>'Materials'!A8</x:f>
        <x:v>1007</x:v>
      </x:c>
      <x:c r="B8" s="41" t="n">
        <x:f>IF('Materials'!I8="","",'Materials'!I8)</x:f>
        <x:v>7850</x:v>
      </x:c>
      <x:c r="C8" s="41" t="n">
        <x:f>IF('Materials'!J8="","",'Materials'!J8)</x:f>
        <x:v>205</x:v>
      </x:c>
      <x:c r="D8" s="41" t="n">
        <x:f>IF('Materials'!N8="","",'Materials'!N8)</x:f>
        <x:v>79.45736434108527</x:v>
      </x:c>
      <x:c r="E8" s="41" t="n">
        <x:f>IF('Materials'!K8="","",'Materials'!K8)</x:f>
        <x:v>0.29</x:v>
      </x:c>
      <x:c r="F8" s="41" t="n">
        <x:f>IF('Materials'!P8="","",'Materials'!P8)</x:f>
        <x:v>655</x:v>
      </x:c>
      <x:c r="G8" s="41" t="n">
        <x:f>IF('Materials'!Q8="","",'Materials'!Q8)</x:f>
        <x:v>1020</x:v>
      </x:c>
      <x:c r="H8" s="41" t="str">
        <x:f>IF('Materials'!R8="","",'Materials'!R8)</x:f>
      </x:c>
      <x:c r="I8" s="41" t="str">
        <x:f>IF('Materials'!S8="","",'Materials'!S8)</x:f>
      </x:c>
      <x:c r="J8" s="41" t="n">
        <x:f>IF('Materials'!T8="","",'Materials'!T8)</x:f>
        <x:v>0.15</x:v>
      </x:c>
      <x:c r="K8" s="41" t="n">
        <x:f>IF('Materials'!U8="","",'Materials'!U8)</x:f>
        <x:v>55</x:v>
      </x:c>
      <x:c r="L8" s="41" t="n">
        <x:f>IF('Materials'!V8="","",'Materials'!V8)</x:f>
        <x:v>42.6</x:v>
      </x:c>
      <x:c r="M8" s="41" t="n">
        <x:f>IF('Materials'!W8="","",'Materials'!W8)</x:f>
        <x:v>473</x:v>
      </x:c>
      <x:c r="N8" s="41" t="n">
        <x:f>IF('Materials'!X8="","",'Materials'!X8)</x:f>
        <x:v>12.3</x:v>
      </x:c>
      <x:c r="O8" s="43" t="n">
        <x:f>IF('Materials'!Y8="","",'Materials'!Y8)</x:f>
        <x:v>2.2e-7</x:v>
      </x:c>
      <x:c r="P8" s="41" t="n">
        <x:f>IF('Materials'!Z8="","",'Materials'!Z8)</x:f>
        <x:v>1415</x:v>
      </x:c>
      <x:c r="Q8" s="41" t="n">
        <x:f>IF('Materials'!AA8="","",'Materials'!AA8)</x:f>
        <x:v>480</x:v>
      </x:c>
      <x:c r="R8" s="41" t="n">
        <x:f>IF('Materials'!AB8="","",'Materials'!AB8)</x:f>
        <x:v>320</x:v>
      </x:c>
      <x:c r="S8" s="41" t="n">
        <x:f>IF('Materials'!O8="","",'Materials'!O8)</x:f>
        <x:v>162.69841269841268</x:v>
      </x:c>
    </x:row>
    <x:row r="9">
      <x:c r="A9" s="42" t="n">
        <x:f>'Materials'!A9</x:f>
        <x:v>1008</x:v>
      </x:c>
      <x:c r="B9" s="41" t="n">
        <x:f>IF('Materials'!I9="","",'Materials'!I9)</x:f>
        <x:v>7850</x:v>
      </x:c>
      <x:c r="C9" s="41" t="n">
        <x:f>IF('Materials'!J9="","",'Materials'!J9)</x:f>
        <x:v>205</x:v>
      </x:c>
      <x:c r="D9" s="41" t="n">
        <x:f>IF('Materials'!N9="","",'Materials'!N9)</x:f>
        <x:v>79.45736434108527</x:v>
      </x:c>
      <x:c r="E9" s="41" t="n">
        <x:f>IF('Materials'!K9="","",'Materials'!K9)</x:f>
        <x:v>0.29</x:v>
      </x:c>
      <x:c r="F9" s="41" t="n">
        <x:f>IF('Materials'!P9="","",'Materials'!P9)</x:f>
        <x:v>855</x:v>
      </x:c>
      <x:c r="G9" s="41" t="n">
        <x:f>IF('Materials'!Q9="","",'Materials'!Q9)</x:f>
        <x:v>1280</x:v>
      </x:c>
      <x:c r="H9" s="41" t="str">
        <x:f>IF('Materials'!R9="","",'Materials'!R9)</x:f>
      </x:c>
      <x:c r="I9" s="41" t="str">
        <x:f>IF('Materials'!S9="","",'Materials'!S9)</x:f>
      </x:c>
      <x:c r="J9" s="41" t="n">
        <x:f>IF('Materials'!T9="","",'Materials'!T9)</x:f>
        <x:v>0.12</x:v>
      </x:c>
      <x:c r="K9" s="41" t="n">
        <x:f>IF('Materials'!U9="","",'Materials'!U9)</x:f>
        <x:v>50</x:v>
      </x:c>
      <x:c r="L9" s="41" t="n">
        <x:f>IF('Materials'!V9="","",'Materials'!V9)</x:f>
        <x:v>44.5</x:v>
      </x:c>
      <x:c r="M9" s="41" t="n">
        <x:f>IF('Materials'!W9="","",'Materials'!W9)</x:f>
        <x:v>475</x:v>
      </x:c>
      <x:c r="N9" s="41" t="n">
        <x:f>IF('Materials'!X9="","",'Materials'!X9)</x:f>
        <x:v>12.3</x:v>
      </x:c>
      <x:c r="O9" s="43" t="n">
        <x:f>IF('Materials'!Y9="","",'Materials'!Y9)</x:f>
        <x:v>2.48e-7</x:v>
      </x:c>
      <x:c r="P9" s="41" t="n">
        <x:f>IF('Materials'!Z9="","",'Materials'!Z9)</x:f>
        <x:v>1425</x:v>
      </x:c>
      <x:c r="Q9" s="41" t="n">
        <x:f>IF('Materials'!AA9="","",'Materials'!AA9)</x:f>
        <x:v>480</x:v>
      </x:c>
      <x:c r="R9" s="41" t="n">
        <x:f>IF('Materials'!AB9="","",'Materials'!AB9)</x:f>
        <x:v>390</x:v>
      </x:c>
      <x:c r="S9" s="41" t="n">
        <x:f>IF('Materials'!O9="","",'Materials'!O9)</x:f>
        <x:v>162.69841269841268</x:v>
      </x:c>
    </x:row>
    <x:row r="10">
      <x:c r="A10" s="42" t="n">
        <x:f>'Materials'!A10</x:f>
        <x:v>1009</x:v>
      </x:c>
      <x:c r="B10" s="41" t="n">
        <x:f>IF('Materials'!I10="","",'Materials'!I10)</x:f>
        <x:v>7850</x:v>
      </x:c>
      <x:c r="C10" s="41" t="n">
        <x:f>IF('Materials'!J10="","",'Materials'!J10)</x:f>
        <x:v>200</x:v>
      </x:c>
      <x:c r="D10" s="41" t="n">
        <x:f>IF('Materials'!N10="","",'Materials'!N10)</x:f>
        <x:v>77.51937984496124</x:v>
      </x:c>
      <x:c r="E10" s="41" t="n">
        <x:f>IF('Materials'!K10="","",'Materials'!K10)</x:f>
        <x:v>0.29</x:v>
      </x:c>
      <x:c r="F10" s="41" t="n">
        <x:f>IF('Materials'!P10="","",'Materials'!P10)</x:f>
        <x:v>345</x:v>
      </x:c>
      <x:c r="G10" s="41" t="n">
        <x:f>IF('Materials'!Q10="","",'Materials'!Q10)</x:f>
        <x:v>450</x:v>
      </x:c>
      <x:c r="H10" s="41" t="str">
        <x:f>IF('Materials'!R10="","",'Materials'!R10)</x:f>
      </x:c>
      <x:c r="I10" s="41" t="str">
        <x:f>IF('Materials'!S10="","",'Materials'!S10)</x:f>
      </x:c>
      <x:c r="J10" s="41" t="n">
        <x:f>IF('Materials'!T10="","",'Materials'!T10)</x:f>
        <x:v>0.18</x:v>
      </x:c>
      <x:c r="K10" s="41" t="n">
        <x:f>IF('Materials'!U10="","",'Materials'!U10)</x:f>
        <x:v>50</x:v>
      </x:c>
      <x:c r="L10" s="41" t="n">
        <x:f>IF('Materials'!V10="","",'Materials'!V10)</x:f>
        <x:v>50</x:v>
      </x:c>
      <x:c r="M10" s="41" t="n">
        <x:f>IF('Materials'!W10="","",'Materials'!W10)</x:f>
        <x:v>486</x:v>
      </x:c>
      <x:c r="N10" s="41" t="n">
        <x:f>IF('Materials'!X10="","",'Materials'!X10)</x:f>
        <x:v>11.7</x:v>
      </x:c>
      <x:c r="O10" s="43" t="n">
        <x:f>IF('Materials'!Y10="","",'Materials'!Y10)</x:f>
        <x:v>1.43e-7</x:v>
      </x:c>
      <x:c r="P10" s="41" t="n">
        <x:f>IF('Materials'!Z10="","",'Materials'!Z10)</x:f>
        <x:v>1450</x:v>
      </x:c>
      <x:c r="Q10" s="41" t="n">
        <x:f>IF('Materials'!AA10="","",'Materials'!AA10)</x:f>
        <x:v>425</x:v>
      </x:c>
      <x:c r="R10" s="41" t="n">
        <x:f>IF('Materials'!AB10="","",'Materials'!AB10)</x:f>
        <x:v>145</x:v>
      </x:c>
      <x:c r="S10" s="41" t="n">
        <x:f>IF('Materials'!O10="","",'Materials'!O10)</x:f>
        <x:v>158.7301587301587</x:v>
      </x:c>
    </x:row>
    <x:row r="11">
      <x:c r="A11" s="42" t="n">
        <x:f>'Materials'!A11</x:f>
        <x:v>1010</x:v>
      </x:c>
      <x:c r="B11" s="41" t="n">
        <x:f>IF('Materials'!I11="","",'Materials'!I11)</x:f>
        <x:v>7850</x:v>
      </x:c>
      <x:c r="C11" s="41" t="n">
        <x:f>IF('Materials'!J11="","",'Materials'!J11)</x:f>
        <x:v>200</x:v>
      </x:c>
      <x:c r="D11" s="41" t="n">
        <x:f>IF('Materials'!N11="","",'Materials'!N11)</x:f>
        <x:v>77.51937984496124</x:v>
      </x:c>
      <x:c r="E11" s="41" t="n">
        <x:f>IF('Materials'!K11="","",'Materials'!K11)</x:f>
        <x:v>0.29</x:v>
      </x:c>
      <x:c r="F11" s="41" t="n">
        <x:f>IF('Materials'!P11="","",'Materials'!P11)</x:f>
        <x:v>345</x:v>
      </x:c>
      <x:c r="G11" s="41" t="n">
        <x:f>IF('Materials'!Q11="","",'Materials'!Q11)</x:f>
        <x:v>450</x:v>
      </x:c>
      <x:c r="H11" s="41" t="str">
        <x:f>IF('Materials'!R11="","",'Materials'!R11)</x:f>
      </x:c>
      <x:c r="I11" s="41" t="str">
        <x:f>IF('Materials'!S11="","",'Materials'!S11)</x:f>
      </x:c>
      <x:c r="J11" s="41" t="n">
        <x:f>IF('Materials'!T11="","",'Materials'!T11)</x:f>
        <x:v>0.18</x:v>
      </x:c>
      <x:c r="K11" s="41" t="n">
        <x:f>IF('Materials'!U11="","",'Materials'!U11)</x:f>
        <x:v>50</x:v>
      </x:c>
      <x:c r="L11" s="41" t="n">
        <x:f>IF('Materials'!V11="","",'Materials'!V11)</x:f>
        <x:v>50</x:v>
      </x:c>
      <x:c r="M11" s="41" t="n">
        <x:f>IF('Materials'!W11="","",'Materials'!W11)</x:f>
        <x:v>486</x:v>
      </x:c>
      <x:c r="N11" s="41" t="n">
        <x:f>IF('Materials'!X11="","",'Materials'!X11)</x:f>
        <x:v>11.7</x:v>
      </x:c>
      <x:c r="O11" s="43" t="n">
        <x:f>IF('Materials'!Y11="","",'Materials'!Y11)</x:f>
        <x:v>1.43e-7</x:v>
      </x:c>
      <x:c r="P11" s="41" t="n">
        <x:f>IF('Materials'!Z11="","",'Materials'!Z11)</x:f>
        <x:v>1450</x:v>
      </x:c>
      <x:c r="Q11" s="41" t="n">
        <x:f>IF('Materials'!AA11="","",'Materials'!AA11)</x:f>
        <x:v>425</x:v>
      </x:c>
      <x:c r="R11" s="41" t="n">
        <x:f>IF('Materials'!AB11="","",'Materials'!AB11)</x:f>
        <x:v>145</x:v>
      </x:c>
      <x:c r="S11" s="41" t="n">
        <x:f>IF('Materials'!O11="","",'Materials'!O11)</x:f>
        <x:v>158.7301587301587</x:v>
      </x:c>
    </x:row>
    <x:row r="12">
      <x:c r="A12" s="42" t="n">
        <x:f>'Materials'!A12</x:f>
        <x:v>1011</x:v>
      </x:c>
      <x:c r="B12" s="41" t="n">
        <x:f>IF('Materials'!I12="","",'Materials'!I12)</x:f>
        <x:v>7860</x:v>
      </x:c>
      <x:c r="C12" s="41" t="n">
        <x:f>IF('Materials'!J12="","",'Materials'!J12)</x:f>
        <x:v>203</x:v>
      </x:c>
      <x:c r="D12" s="41" t="n">
        <x:f>IF('Materials'!N12="","",'Materials'!N12)</x:f>
        <x:v>78.68217054263566</x:v>
      </x:c>
      <x:c r="E12" s="41" t="n">
        <x:f>IF('Materials'!K12="","",'Materials'!K12)</x:f>
        <x:v>0.29</x:v>
      </x:c>
      <x:c r="F12" s="41" t="n">
        <x:f>IF('Materials'!P12="","",'Materials'!P12)</x:f>
        <x:v>1580</x:v>
      </x:c>
      <x:c r="G12" s="41" t="n">
        <x:f>IF('Materials'!Q12="","",'Materials'!Q12)</x:f>
        <x:v>1900</x:v>
      </x:c>
      <x:c r="H12" s="41" t="str">
        <x:f>IF('Materials'!R12="","",'Materials'!R12)</x:f>
      </x:c>
      <x:c r="I12" s="41" t="str">
        <x:f>IF('Materials'!S12="","",'Materials'!S12)</x:f>
      </x:c>
      <x:c r="J12" s="41" t="n">
        <x:f>IF('Materials'!T12="","",'Materials'!T12)</x:f>
        <x:v>0.02</x:v>
      </x:c>
      <x:c r="K12" s="41" t="n">
        <x:f>IF('Materials'!U12="","",'Materials'!U12)</x:f>
        <x:v>20</x:v>
      </x:c>
      <x:c r="L12" s="41" t="n">
        <x:f>IF('Materials'!V12="","",'Materials'!V12)</x:f>
        <x:v>26</x:v>
      </x:c>
      <x:c r="M12" s="41" t="n">
        <x:f>IF('Materials'!W12="","",'Materials'!W12)</x:f>
        <x:v>460</x:v>
      </x:c>
      <x:c r="N12" s="41" t="n">
        <x:f>IF('Materials'!X12="","",'Materials'!X12)</x:f>
        <x:v>11.5</x:v>
      </x:c>
      <x:c r="O12" s="43" t="n">
        <x:f>IF('Materials'!Y12="","",'Materials'!Y12)</x:f>
        <x:v>4.7e-7</x:v>
      </x:c>
      <x:c r="P12" s="41" t="n">
        <x:f>IF('Materials'!Z12="","",'Materials'!Z12)</x:f>
        <x:v>1420</x:v>
      </x:c>
      <x:c r="Q12" s="41" t="n">
        <x:f>IF('Materials'!AA12="","",'Materials'!AA12)</x:f>
        <x:v>315</x:v>
      </x:c>
      <x:c r="R12" s="41" t="n">
        <x:f>IF('Materials'!AB12="","",'Materials'!AB12)</x:f>
        <x:v>650</x:v>
      </x:c>
      <x:c r="S12" s="41" t="n">
        <x:f>IF('Materials'!O12="","",'Materials'!O12)</x:f>
        <x:v>161.1111111111111</x:v>
      </x:c>
    </x:row>
    <x:row r="13">
      <x:c r="A13" s="42" t="n">
        <x:f>'Materials'!A13</x:f>
        <x:v>1012</x:v>
      </x:c>
      <x:c r="B13" s="41" t="n">
        <x:f>IF('Materials'!I13="","",'Materials'!I13)</x:f>
        <x:v>7700</x:v>
      </x:c>
      <x:c r="C13" s="41" t="n">
        <x:f>IF('Materials'!J13="","",'Materials'!J13)</x:f>
        <x:v>210</x:v>
      </x:c>
      <x:c r="D13" s="41" t="n">
        <x:f>IF('Materials'!N13="","",'Materials'!N13)</x:f>
        <x:v>82.03125</x:v>
      </x:c>
      <x:c r="E13" s="41" t="n">
        <x:f>IF('Materials'!K13="","",'Materials'!K13)</x:f>
        <x:v>0.28</x:v>
      </x:c>
      <x:c r="F13" s="41" t="n">
        <x:f>IF('Materials'!P13="","",'Materials'!P13)</x:f>
        <x:v>1530</x:v>
      </x:c>
      <x:c r="G13" s="41" t="n">
        <x:f>IF('Materials'!Q13="","",'Materials'!Q13)</x:f>
        <x:v>1900</x:v>
      </x:c>
      <x:c r="H13" s="41" t="str">
        <x:f>IF('Materials'!R13="","",'Materials'!R13)</x:f>
      </x:c>
      <x:c r="I13" s="41" t="str">
        <x:f>IF('Materials'!S13="","",'Materials'!S13)</x:f>
      </x:c>
      <x:c r="J13" s="41" t="n">
        <x:f>IF('Materials'!T13="","",'Materials'!T13)</x:f>
        <x:v>0.01</x:v>
      </x:c>
      <x:c r="K13" s="41" t="n">
        <x:f>IF('Materials'!U13="","",'Materials'!U13)</x:f>
        <x:v>18</x:v>
      </x:c>
      <x:c r="L13" s="41" t="n">
        <x:f>IF('Materials'!V13="","",'Materials'!V13)</x:f>
        <x:v>20</x:v>
      </x:c>
      <x:c r="M13" s="41" t="n">
        <x:f>IF('Materials'!W13="","",'Materials'!W13)</x:f>
        <x:v>460</x:v>
      </x:c>
      <x:c r="N13" s="41" t="n">
        <x:f>IF('Materials'!X13="","",'Materials'!X13)</x:f>
        <x:v>10.4</x:v>
      </x:c>
      <x:c r="O13" s="43" t="n">
        <x:f>IF('Materials'!Y13="","",'Materials'!Y13)</x:f>
        <x:v>5.4e-7</x:v>
      </x:c>
      <x:c r="P13" s="41" t="n">
        <x:f>IF('Materials'!Z13="","",'Materials'!Z13)</x:f>
        <x:v>1420</x:v>
      </x:c>
      <x:c r="Q13" s="41" t="n">
        <x:f>IF('Materials'!AA13="","",'Materials'!AA13)</x:f>
        <x:v>315</x:v>
      </x:c>
      <x:c r="R13" s="41" t="n">
        <x:f>IF('Materials'!AB13="","",'Materials'!AB13)</x:f>
        <x:v>700</x:v>
      </x:c>
      <x:c r="S13" s="41" t="n">
        <x:f>IF('Materials'!O13="","",'Materials'!O13)</x:f>
        <x:v>159.09090909090912</x:v>
      </x:c>
    </x:row>
    <x:row r="14">
      <x:c r="A14" s="42" t="n">
        <x:f>'Materials'!A14</x:f>
        <x:v>1013</x:v>
      </x:c>
      <x:c r="B14" s="41" t="n">
        <x:f>IF('Materials'!I14="","",'Materials'!I14)</x:f>
        <x:v>7800</x:v>
      </x:c>
      <x:c r="C14" s="41" t="n">
        <x:f>IF('Materials'!J14="","",'Materials'!J14)</x:f>
        <x:v>210</x:v>
      </x:c>
      <x:c r="D14" s="41" t="n">
        <x:f>IF('Materials'!N14="","",'Materials'!N14)</x:f>
        <x:v>81.3953488372093</x:v>
      </x:c>
      <x:c r="E14" s="41" t="n">
        <x:f>IF('Materials'!K14="","",'Materials'!K14)</x:f>
        <x:v>0.29</x:v>
      </x:c>
      <x:c r="F14" s="41" t="n">
        <x:f>IF('Materials'!P14="","",'Materials'!P14)</x:f>
        <x:v>1200</x:v>
      </x:c>
      <x:c r="G14" s="41" t="n">
        <x:f>IF('Materials'!Q14="","",'Materials'!Q14)</x:f>
        <x:v>1500</x:v>
      </x:c>
      <x:c r="H14" s="41" t="str">
        <x:f>IF('Materials'!R14="","",'Materials'!R14)</x:f>
      </x:c>
      <x:c r="I14" s="41" t="str">
        <x:f>IF('Materials'!S14="","",'Materials'!S14)</x:f>
      </x:c>
      <x:c r="J14" s="41" t="n">
        <x:f>IF('Materials'!T14="","",'Materials'!T14)</x:f>
        <x:v>0.08</x:v>
      </x:c>
      <x:c r="K14" s="41" t="n">
        <x:f>IF('Materials'!U14="","",'Materials'!U14)</x:f>
        <x:v>22</x:v>
      </x:c>
      <x:c r="L14" s="41" t="n">
        <x:f>IF('Materials'!V14="","",'Materials'!V14)</x:f>
        <x:v>28.6</x:v>
      </x:c>
      <x:c r="M14" s="41" t="n">
        <x:f>IF('Materials'!W14="","",'Materials'!W14)</x:f>
        <x:v>460</x:v>
      </x:c>
      <x:c r="N14" s="41" t="n">
        <x:f>IF('Materials'!X14="","",'Materials'!X14)</x:f>
        <x:v>11.9</x:v>
      </x:c>
      <x:c r="O14" s="43" t="n">
        <x:f>IF('Materials'!Y14="","",'Materials'!Y14)</x:f>
        <x:v>5.2e-7</x:v>
      </x:c>
      <x:c r="P14" s="41" t="n">
        <x:f>IF('Materials'!Z14="","",'Materials'!Z14)</x:f>
        <x:v>1425</x:v>
      </x:c>
      <x:c r="Q14" s="41" t="n">
        <x:f>IF('Materials'!AA14="","",'Materials'!AA14)</x:f>
        <x:v>540</x:v>
      </x:c>
      <x:c r="R14" s="41" t="n">
        <x:f>IF('Materials'!AB14="","",'Materials'!AB14)</x:f>
        <x:v>560</x:v>
      </x:c>
      <x:c r="S14" s="41" t="n">
        <x:f>IF('Materials'!O14="","",'Materials'!O14)</x:f>
        <x:v>166.66666666666663</x:v>
      </x:c>
    </x:row>
    <x:row r="15">
      <x:c r="A15" s="42" t="n">
        <x:f>'Materials'!A15</x:f>
        <x:v>1014</x:v>
      </x:c>
      <x:c r="B15" s="41" t="n">
        <x:f>IF('Materials'!I15="","",'Materials'!I15)</x:f>
        <x:v>8000</x:v>
      </x:c>
      <x:c r="C15" s="41" t="n">
        <x:f>IF('Materials'!J15="","",'Materials'!J15)</x:f>
        <x:v>190</x:v>
      </x:c>
      <x:c r="D15" s="41" t="n">
        <x:f>IF('Materials'!N15="","",'Materials'!N15)</x:f>
        <x:v>73.07692307692308</x:v>
      </x:c>
      <x:c r="E15" s="41" t="n">
        <x:f>IF('Materials'!K15="","",'Materials'!K15)</x:f>
        <x:v>0.3</x:v>
      </x:c>
      <x:c r="F15" s="41" t="n">
        <x:f>IF('Materials'!P15="","",'Materials'!P15)</x:f>
        <x:v>1700</x:v>
      </x:c>
      <x:c r="G15" s="41" t="n">
        <x:f>IF('Materials'!Q15="","",'Materials'!Q15)</x:f>
        <x:v>1800</x:v>
      </x:c>
      <x:c r="H15" s="41" t="str">
        <x:f>IF('Materials'!R15="","",'Materials'!R15)</x:f>
      </x:c>
      <x:c r="I15" s="41" t="str">
        <x:f>IF('Materials'!S15="","",'Materials'!S15)</x:f>
      </x:c>
      <x:c r="J15" s="41" t="n">
        <x:f>IF('Materials'!T15="","",'Materials'!T15)</x:f>
        <x:v>0.08</x:v>
      </x:c>
      <x:c r="K15" s="41" t="n">
        <x:f>IF('Materials'!U15="","",'Materials'!U15)</x:f>
        <x:v>70</x:v>
      </x:c>
      <x:c r="L15" s="41" t="n">
        <x:f>IF('Materials'!V15="","",'Materials'!V15)</x:f>
        <x:v>25.5</x:v>
      </x:c>
      <x:c r="M15" s="41" t="n">
        <x:f>IF('Materials'!W15="","",'Materials'!W15)</x:f>
        <x:v>460</x:v>
      </x:c>
      <x:c r="N15" s="41" t="n">
        <x:f>IF('Materials'!X15="","",'Materials'!X15)</x:f>
        <x:v>10.3</x:v>
      </x:c>
      <x:c r="O15" s="43" t="n">
        <x:f>IF('Materials'!Y15="","",'Materials'!Y15)</x:f>
        <x:v>8e-7</x:v>
      </x:c>
      <x:c r="P15" s="41" t="n">
        <x:f>IF('Materials'!Z15="","",'Materials'!Z15)</x:f>
        <x:v>1413</x:v>
      </x:c>
      <x:c r="Q15" s="41" t="n">
        <x:f>IF('Materials'!AA15="","",'Materials'!AA15)</x:f>
        <x:v>480</x:v>
      </x:c>
      <x:c r="R15" s="41" t="n">
        <x:f>IF('Materials'!AB15="","",'Materials'!AB15)</x:f>
        <x:v>540</x:v>
      </x:c>
      <x:c r="S15" s="41" t="n">
        <x:f>IF('Materials'!O15="","",'Materials'!O15)</x:f>
        <x:v>158.33333333333331</x:v>
      </x:c>
    </x:row>
    <x:row r="16">
      <x:c r="A16" s="42" t="n">
        <x:f>'Materials'!A16</x:f>
        <x:v>1101</x:v>
      </x:c>
      <x:c r="B16" s="41" t="n">
        <x:f>IF('Materials'!I16="","",'Materials'!I16)</x:f>
        <x:v>7900</x:v>
      </x:c>
      <x:c r="C16" s="41" t="n">
        <x:f>IF('Materials'!J16="","",'Materials'!J16)</x:f>
        <x:v>200</x:v>
      </x:c>
      <x:c r="D16" s="41" t="str">
        <x:f>IF('Materials'!N16="","",'Materials'!N16)</x:f>
      </x:c>
      <x:c r="E16" s="41" t="str">
        <x:f>IF('Materials'!K16="","",'Materials'!K16)</x:f>
      </x:c>
      <x:c r="F16" s="41" t="n">
        <x:f>IF('Materials'!P16="","",'Materials'!P16)</x:f>
        <x:v>230</x:v>
      </x:c>
      <x:c r="G16" s="41" t="n">
        <x:f>IF('Materials'!Q16="","",'Materials'!Q16)</x:f>
        <x:v>540</x:v>
      </x:c>
      <x:c r="H16" s="41" t="str">
        <x:f>IF('Materials'!R16="","",'Materials'!R16)</x:f>
      </x:c>
      <x:c r="I16" s="41" t="str">
        <x:f>IF('Materials'!S16="","",'Materials'!S16)</x:f>
      </x:c>
      <x:c r="J16" s="41" t="n">
        <x:f>IF('Materials'!T16="","",'Materials'!T16)</x:f>
        <x:v>0.45</x:v>
      </x:c>
      <x:c r="K16" s="41" t="str">
        <x:f>IF('Materials'!U16="","",'Materials'!U16)</x:f>
      </x:c>
      <x:c r="L16" s="41" t="n">
        <x:f>IF('Materials'!V16="","",'Materials'!V16)</x:f>
        <x:v>15</x:v>
      </x:c>
      <x:c r="M16" s="41" t="n">
        <x:f>IF('Materials'!W16="","",'Materials'!W16)</x:f>
        <x:v>500</x:v>
      </x:c>
      <x:c r="N16" s="41" t="n">
        <x:f>IF('Materials'!X16="","",'Materials'!X16)</x:f>
        <x:v>16</x:v>
      </x:c>
      <x:c r="O16" s="43" t="n">
        <x:f>IF('Materials'!Y16="","",'Materials'!Y16)</x:f>
        <x:v>7.3e-7</x:v>
      </x:c>
      <x:c r="P16" s="41" t="str">
        <x:f>IF('Materials'!Z16="","",'Materials'!Z16)</x:f>
      </x:c>
      <x:c r="Q16" s="41" t="str">
        <x:f>IF('Materials'!AA16="","",'Materials'!AA16)</x:f>
      </x:c>
      <x:c r="R16" s="41" t="str">
        <x:f>IF('Materials'!AB16="","",'Materials'!AB16)</x:f>
      </x:c>
      <x:c r="S16" s="41" t="str">
        <x:f>IF('Materials'!O16="","",'Materials'!O16)</x:f>
      </x:c>
    </x:row>
    <x:row r="17">
      <x:c r="A17" s="42" t="n">
        <x:f>'Materials'!A17</x:f>
        <x:v>1102</x:v>
      </x:c>
      <x:c r="B17" s="41" t="n">
        <x:f>IF('Materials'!I17="","",'Materials'!I17)</x:f>
        <x:v>7900</x:v>
      </x:c>
      <x:c r="C17" s="41" t="n">
        <x:f>IF('Materials'!J17="","",'Materials'!J17)</x:f>
        <x:v>200</x:v>
      </x:c>
      <x:c r="D17" s="41" t="str">
        <x:f>IF('Materials'!N17="","",'Materials'!N17)</x:f>
      </x:c>
      <x:c r="E17" s="41" t="str">
        <x:f>IF('Materials'!K17="","",'Materials'!K17)</x:f>
      </x:c>
      <x:c r="F17" s="41" t="n">
        <x:f>IF('Materials'!P17="","",'Materials'!P17)</x:f>
        <x:v>220</x:v>
      </x:c>
      <x:c r="G17" s="41" t="n">
        <x:f>IF('Materials'!Q17="","",'Materials'!Q17)</x:f>
        <x:v>520</x:v>
      </x:c>
      <x:c r="H17" s="41" t="str">
        <x:f>IF('Materials'!R17="","",'Materials'!R17)</x:f>
      </x:c>
      <x:c r="I17" s="41" t="str">
        <x:f>IF('Materials'!S17="","",'Materials'!S17)</x:f>
      </x:c>
      <x:c r="J17" s="41" t="n">
        <x:f>IF('Materials'!T17="","",'Materials'!T17)</x:f>
        <x:v>0.45</x:v>
      </x:c>
      <x:c r="K17" s="41" t="str">
        <x:f>IF('Materials'!U17="","",'Materials'!U17)</x:f>
      </x:c>
      <x:c r="L17" s="41" t="n">
        <x:f>IF('Materials'!V17="","",'Materials'!V17)</x:f>
        <x:v>15</x:v>
      </x:c>
      <x:c r="M17" s="41" t="n">
        <x:f>IF('Materials'!W17="","",'Materials'!W17)</x:f>
        <x:v>500</x:v>
      </x:c>
      <x:c r="N17" s="41" t="n">
        <x:f>IF('Materials'!X17="","",'Materials'!X17)</x:f>
        <x:v>16</x:v>
      </x:c>
      <x:c r="O17" s="43" t="n">
        <x:f>IF('Materials'!Y17="","",'Materials'!Y17)</x:f>
        <x:v>7.3e-7</x:v>
      </x:c>
      <x:c r="P17" s="41" t="str">
        <x:f>IF('Materials'!Z17="","",'Materials'!Z17)</x:f>
      </x:c>
      <x:c r="Q17" s="41" t="str">
        <x:f>IF('Materials'!AA17="","",'Materials'!AA17)</x:f>
      </x:c>
      <x:c r="R17" s="41" t="str">
        <x:f>IF('Materials'!AB17="","",'Materials'!AB17)</x:f>
      </x:c>
      <x:c r="S17" s="41" t="str">
        <x:f>IF('Materials'!O17="","",'Materials'!O17)</x:f>
      </x:c>
    </x:row>
    <x:row r="18">
      <x:c r="A18" s="42" t="n">
        <x:f>'Materials'!A18</x:f>
        <x:v>1103</x:v>
      </x:c>
      <x:c r="B18" s="41" t="n">
        <x:f>IF('Materials'!I18="","",'Materials'!I18)</x:f>
        <x:v>8000</x:v>
      </x:c>
      <x:c r="C18" s="41" t="n">
        <x:f>IF('Materials'!J18="","",'Materials'!J18)</x:f>
        <x:v>193</x:v>
      </x:c>
      <x:c r="D18" s="41" t="n">
        <x:f>IF('Materials'!N18="","",'Materials'!N18)</x:f>
        <x:v>74.23076923076923</x:v>
      </x:c>
      <x:c r="E18" s="41" t="n">
        <x:f>IF('Materials'!K18="","",'Materials'!K18)</x:f>
        <x:v>0.3</x:v>
      </x:c>
      <x:c r="F18" s="41" t="n">
        <x:f>IF('Materials'!P18="","",'Materials'!P18)</x:f>
        <x:v>205</x:v>
      </x:c>
      <x:c r="G18" s="41" t="n">
        <x:f>IF('Materials'!Q18="","",'Materials'!Q18)</x:f>
        <x:v>515</x:v>
      </x:c>
      <x:c r="H18" s="41" t="str">
        <x:f>IF('Materials'!R18="","",'Materials'!R18)</x:f>
      </x:c>
      <x:c r="I18" s="41" t="str">
        <x:f>IF('Materials'!S18="","",'Materials'!S18)</x:f>
      </x:c>
      <x:c r="J18" s="41" t="n">
        <x:f>IF('Materials'!T18="","",'Materials'!T18)</x:f>
        <x:v>0.6</x:v>
      </x:c>
      <x:c r="K18" s="41" t="n">
        <x:f>IF('Materials'!U18="","",'Materials'!U18)</x:f>
        <x:v>140</x:v>
      </x:c>
      <x:c r="L18" s="41" t="n">
        <x:f>IF('Materials'!V18="","",'Materials'!V18)</x:f>
        <x:v>16.3</x:v>
      </x:c>
      <x:c r="M18" s="41" t="n">
        <x:f>IF('Materials'!W18="","",'Materials'!W18)</x:f>
        <x:v>500</x:v>
      </x:c>
      <x:c r="N18" s="41" t="n">
        <x:f>IF('Materials'!X18="","",'Materials'!X18)</x:f>
        <x:v>15.9</x:v>
      </x:c>
      <x:c r="O18" s="43" t="n">
        <x:f>IF('Materials'!Y18="","",'Materials'!Y18)</x:f>
        <x:v>7.4e-7</x:v>
      </x:c>
      <x:c r="P18" s="41" t="n">
        <x:f>IF('Materials'!Z18="","",'Materials'!Z18)</x:f>
        <x:v>1380</x:v>
      </x:c>
      <x:c r="Q18" s="41" t="n">
        <x:f>IF('Materials'!AA18="","",'Materials'!AA18)</x:f>
        <x:v>870</x:v>
      </x:c>
      <x:c r="R18" s="41" t="n">
        <x:f>IF('Materials'!AB18="","",'Materials'!AB18)</x:f>
        <x:v>146</x:v>
      </x:c>
      <x:c r="S18" s="41" t="n">
        <x:f>IF('Materials'!O18="","",'Materials'!O18)</x:f>
        <x:v>160.83333333333331</x:v>
      </x:c>
    </x:row>
    <x:row r="19">
      <x:c r="A19" s="42" t="n">
        <x:f>'Materials'!A19</x:f>
        <x:v>1104</x:v>
      </x:c>
      <x:c r="B19" s="41" t="n">
        <x:f>IF('Materials'!I19="","",'Materials'!I19)</x:f>
        <x:v>8000</x:v>
      </x:c>
      <x:c r="C19" s="41" t="n">
        <x:f>IF('Materials'!J19="","",'Materials'!J19)</x:f>
        <x:v>193</x:v>
      </x:c>
      <x:c r="D19" s="41" t="n">
        <x:f>IF('Materials'!N19="","",'Materials'!N19)</x:f>
        <x:v>74.23076923076923</x:v>
      </x:c>
      <x:c r="E19" s="41" t="n">
        <x:f>IF('Materials'!K19="","",'Materials'!K19)</x:f>
        <x:v>0.3</x:v>
      </x:c>
      <x:c r="F19" s="41" t="n">
        <x:f>IF('Materials'!P19="","",'Materials'!P19)</x:f>
        <x:v>170</x:v>
      </x:c>
      <x:c r="G19" s="41" t="n">
        <x:f>IF('Materials'!Q19="","",'Materials'!Q19)</x:f>
        <x:v>485</x:v>
      </x:c>
      <x:c r="H19" s="41" t="str">
        <x:f>IF('Materials'!R19="","",'Materials'!R19)</x:f>
      </x:c>
      <x:c r="I19" s="41" t="str">
        <x:f>IF('Materials'!S19="","",'Materials'!S19)</x:f>
      </x:c>
      <x:c r="J19" s="41" t="n">
        <x:f>IF('Materials'!T19="","",'Materials'!T19)</x:f>
        <x:v>0.6</x:v>
      </x:c>
      <x:c r="K19" s="41" t="n">
        <x:f>IF('Materials'!U19="","",'Materials'!U19)</x:f>
        <x:v>140</x:v>
      </x:c>
      <x:c r="L19" s="41" t="n">
        <x:f>IF('Materials'!V19="","",'Materials'!V19)</x:f>
        <x:v>16.3</x:v>
      </x:c>
      <x:c r="M19" s="41" t="n">
        <x:f>IF('Materials'!W19="","",'Materials'!W19)</x:f>
        <x:v>500</x:v>
      </x:c>
      <x:c r="N19" s="41" t="n">
        <x:f>IF('Materials'!X19="","",'Materials'!X19)</x:f>
        <x:v>15.9</x:v>
      </x:c>
      <x:c r="O19" s="43" t="n">
        <x:f>IF('Materials'!Y19="","",'Materials'!Y19)</x:f>
        <x:v>7.4e-7</x:v>
      </x:c>
      <x:c r="P19" s="41" t="n">
        <x:f>IF('Materials'!Z19="","",'Materials'!Z19)</x:f>
        <x:v>1380</x:v>
      </x:c>
      <x:c r="Q19" s="41" t="n">
        <x:f>IF('Materials'!AA19="","",'Materials'!AA19)</x:f>
        <x:v>870</x:v>
      </x:c>
      <x:c r="R19" s="41" t="n">
        <x:f>IF('Materials'!AB19="","",'Materials'!AB19)</x:f>
        <x:v>140</x:v>
      </x:c>
      <x:c r="S19" s="41" t="n">
        <x:f>IF('Materials'!O19="","",'Materials'!O19)</x:f>
        <x:v>160.83333333333331</x:v>
      </x:c>
    </x:row>
    <x:row r="20">
      <x:c r="A20" s="42" t="n">
        <x:f>'Materials'!A20</x:f>
        <x:v>1105</x:v>
      </x:c>
      <x:c r="B20" s="41" t="n">
        <x:f>IF('Materials'!I20="","",'Materials'!I20)</x:f>
        <x:v>8020</x:v>
      </x:c>
      <x:c r="C20" s="41" t="n">
        <x:f>IF('Materials'!J20="","",'Materials'!J20)</x:f>
        <x:v>193</x:v>
      </x:c>
      <x:c r="D20" s="41" t="n">
        <x:f>IF('Materials'!N20="","",'Materials'!N20)</x:f>
        <x:v>74.8062015503876</x:v>
      </x:c>
      <x:c r="E20" s="41" t="n">
        <x:f>IF('Materials'!K20="","",'Materials'!K20)</x:f>
        <x:v>0.29</x:v>
      </x:c>
      <x:c r="F20" s="41" t="n">
        <x:f>IF('Materials'!P20="","",'Materials'!P20)</x:f>
        <x:v>205</x:v>
      </x:c>
      <x:c r="G20" s="41" t="n">
        <x:f>IF('Materials'!Q20="","",'Materials'!Q20)</x:f>
        <x:v>515</x:v>
      </x:c>
      <x:c r="H20" s="41" t="str">
        <x:f>IF('Materials'!R20="","",'Materials'!R20)</x:f>
      </x:c>
      <x:c r="I20" s="41" t="str">
        <x:f>IF('Materials'!S20="","",'Materials'!S20)</x:f>
      </x:c>
      <x:c r="J20" s="41" t="n">
        <x:f>IF('Materials'!T20="","",'Materials'!T20)</x:f>
        <x:v>0.4</x:v>
      </x:c>
      <x:c r="K20" s="41" t="n">
        <x:f>IF('Materials'!U20="","",'Materials'!U20)</x:f>
        <x:v>110</x:v>
      </x:c>
      <x:c r="L20" s="41" t="n">
        <x:f>IF('Materials'!V20="","",'Materials'!V20)</x:f>
        <x:v>16.1</x:v>
      </x:c>
      <x:c r="M20" s="41" t="n">
        <x:f>IF('Materials'!W20="","",'Materials'!W20)</x:f>
        <x:v>500</x:v>
      </x:c>
      <x:c r="N20" s="41" t="n">
        <x:f>IF('Materials'!X20="","",'Materials'!X20)</x:f>
        <x:v>16.6</x:v>
      </x:c>
      <x:c r="O20" s="43" t="n">
        <x:f>IF('Materials'!Y20="","",'Materials'!Y20)</x:f>
        <x:v>7.2e-7</x:v>
      </x:c>
      <x:c r="P20" s="41" t="n">
        <x:f>IF('Materials'!Z20="","",'Materials'!Z20)</x:f>
        <x:v>1400</x:v>
      </x:c>
      <x:c r="Q20" s="41" t="n">
        <x:f>IF('Materials'!AA20="","",'Materials'!AA20)</x:f>
        <x:v>870</x:v>
      </x:c>
      <x:c r="R20" s="41" t="n">
        <x:f>IF('Materials'!AB20="","",'Materials'!AB20)</x:f>
        <x:v>150</x:v>
      </x:c>
      <x:c r="S20" s="41" t="n">
        <x:f>IF('Materials'!O20="","",'Materials'!O20)</x:f>
        <x:v>153.17460317460313</x:v>
      </x:c>
    </x:row>
    <x:row r="21">
      <x:c r="A21" s="42" t="n">
        <x:f>'Materials'!A21</x:f>
        <x:v>1106</x:v>
      </x:c>
      <x:c r="B21" s="41" t="n">
        <x:f>IF('Materials'!I21="","",'Materials'!I21)</x:f>
        <x:v>7750</x:v>
      </x:c>
      <x:c r="C21" s="41" t="n">
        <x:f>IF('Materials'!J21="","",'Materials'!J21)</x:f>
        <x:v>200</x:v>
      </x:c>
      <x:c r="D21" s="41" t="n">
        <x:f>IF('Materials'!N21="","",'Materials'!N21)</x:f>
        <x:v>78.125</x:v>
      </x:c>
      <x:c r="E21" s="41" t="n">
        <x:f>IF('Materials'!K21="","",'Materials'!K21)</x:f>
        <x:v>0.28</x:v>
      </x:c>
      <x:c r="F21" s="41" t="n">
        <x:f>IF('Materials'!P21="","",'Materials'!P21)</x:f>
        <x:v>275</x:v>
      </x:c>
      <x:c r="G21" s="41" t="n">
        <x:f>IF('Materials'!Q21="","",'Materials'!Q21)</x:f>
        <x:v>480</x:v>
      </x:c>
      <x:c r="H21" s="41" t="str">
        <x:f>IF('Materials'!R21="","",'Materials'!R21)</x:f>
      </x:c>
      <x:c r="I21" s="41" t="str">
        <x:f>IF('Materials'!S21="","",'Materials'!S21)</x:f>
      </x:c>
      <x:c r="J21" s="41" t="n">
        <x:f>IF('Materials'!T21="","",'Materials'!T21)</x:f>
        <x:v>0.25</x:v>
      </x:c>
      <x:c r="K21" s="41" t="n">
        <x:f>IF('Materials'!U21="","",'Materials'!U21)</x:f>
        <x:v>65</x:v>
      </x:c>
      <x:c r="L21" s="41" t="n">
        <x:f>IF('Materials'!V21="","",'Materials'!V21)</x:f>
        <x:v>24.9</x:v>
      </x:c>
      <x:c r="M21" s="41" t="n">
        <x:f>IF('Materials'!W21="","",'Materials'!W21)</x:f>
        <x:v>460</x:v>
      </x:c>
      <x:c r="N21" s="41" t="n">
        <x:f>IF('Materials'!X21="","",'Materials'!X21)</x:f>
        <x:v>9.9</x:v>
      </x:c>
      <x:c r="O21" s="43" t="n">
        <x:f>IF('Materials'!Y21="","",'Materials'!Y21)</x:f>
        <x:v>5.7e-7</x:v>
      </x:c>
      <x:c r="P21" s="41" t="n">
        <x:f>IF('Materials'!Z21="","",'Materials'!Z21)</x:f>
        <x:v>1480</x:v>
      </x:c>
      <x:c r="Q21" s="41" t="n">
        <x:f>IF('Materials'!AA21="","",'Materials'!AA21)</x:f>
        <x:v>650</x:v>
      </x:c>
      <x:c r="R21" s="41" t="n">
        <x:f>IF('Materials'!AB21="","",'Materials'!AB21)</x:f>
        <x:v>155</x:v>
      </x:c>
      <x:c r="S21" s="41" t="n">
        <x:f>IF('Materials'!O21="","",'Materials'!O21)</x:f>
        <x:v>151.51515151515153</x:v>
      </x:c>
    </x:row>
    <x:row r="22">
      <x:c r="A22" s="42" t="n">
        <x:f>'Materials'!A22</x:f>
        <x:v>1107</x:v>
      </x:c>
      <x:c r="B22" s="41" t="n">
        <x:f>IF('Materials'!I22="","",'Materials'!I22)</x:f>
        <x:v>7740</x:v>
      </x:c>
      <x:c r="C22" s="41" t="n">
        <x:f>IF('Materials'!J22="","",'Materials'!J22)</x:f>
        <x:v>200</x:v>
      </x:c>
      <x:c r="D22" s="41" t="n">
        <x:f>IF('Materials'!N22="","",'Materials'!N22)</x:f>
        <x:v>78.125</x:v>
      </x:c>
      <x:c r="E22" s="41" t="n">
        <x:f>IF('Materials'!K22="","",'Materials'!K22)</x:f>
        <x:v>0.28</x:v>
      </x:c>
      <x:c r="F22" s="41" t="n">
        <x:f>IF('Materials'!P22="","",'Materials'!P22)</x:f>
        <x:v>1000</x:v>
      </x:c>
      <x:c r="G22" s="41" t="n">
        <x:f>IF('Materials'!Q22="","",'Materials'!Q22)</x:f>
        <x:v>1250</x:v>
      </x:c>
      <x:c r="H22" s="41" t="str">
        <x:f>IF('Materials'!R22="","",'Materials'!R22)</x:f>
      </x:c>
      <x:c r="I22" s="41" t="str">
        <x:f>IF('Materials'!S22="","",'Materials'!S22)</x:f>
      </x:c>
      <x:c r="J22" s="41" t="n">
        <x:f>IF('Materials'!T22="","",'Materials'!T22)</x:f>
        <x:v>0.05</x:v>
      </x:c>
      <x:c r="K22" s="41" t="n">
        <x:f>IF('Materials'!U22="","",'Materials'!U22)</x:f>
        <x:v>30</x:v>
      </x:c>
      <x:c r="L22" s="41" t="n">
        <x:f>IF('Materials'!V22="","",'Materials'!V22)</x:f>
        <x:v>24.9</x:v>
      </x:c>
      <x:c r="M22" s="41" t="n">
        <x:f>IF('Materials'!W22="","",'Materials'!W22)</x:f>
        <x:v>460</x:v>
      </x:c>
      <x:c r="N22" s="41" t="n">
        <x:f>IF('Materials'!X22="","",'Materials'!X22)</x:f>
        <x:v>10.3</x:v>
      </x:c>
      <x:c r="O22" s="43" t="n">
        <x:f>IF('Materials'!Y22="","",'Materials'!Y22)</x:f>
        <x:v>5.5e-7</x:v>
      </x:c>
      <x:c r="P22" s="41" t="n">
        <x:f>IF('Materials'!Z22="","",'Materials'!Z22)</x:f>
        <x:v>1450</x:v>
      </x:c>
      <x:c r="Q22" s="41" t="n">
        <x:f>IF('Materials'!AA22="","",'Materials'!AA22)</x:f>
        <x:v>540</x:v>
      </x:c>
      <x:c r="R22" s="41" t="n">
        <x:f>IF('Materials'!AB22="","",'Materials'!AB22)</x:f>
        <x:v>520</x:v>
      </x:c>
      <x:c r="S22" s="41" t="n">
        <x:f>IF('Materials'!O22="","",'Materials'!O22)</x:f>
        <x:v>151.51515151515153</x:v>
      </x:c>
    </x:row>
    <x:row r="23">
      <x:c r="A23" s="42" t="n">
        <x:f>'Materials'!A23</x:f>
        <x:v>1108</x:v>
      </x:c>
      <x:c r="B23" s="41" t="n">
        <x:f>IF('Materials'!I23="","",'Materials'!I23)</x:f>
        <x:v>7750</x:v>
      </x:c>
      <x:c r="C23" s="41" t="n">
        <x:f>IF('Materials'!J23="","",'Materials'!J23)</x:f>
        <x:v>200</x:v>
      </x:c>
      <x:c r="D23" s="41" t="n">
        <x:f>IF('Materials'!N23="","",'Materials'!N23)</x:f>
        <x:v>77.51937984496124</x:v>
      </x:c>
      <x:c r="E23" s="41" t="n">
        <x:f>IF('Materials'!K23="","",'Materials'!K23)</x:f>
        <x:v>0.29</x:v>
      </x:c>
      <x:c r="F23" s="41" t="n">
        <x:f>IF('Materials'!P23="","",'Materials'!P23)</x:f>
        <x:v>205</x:v>
      </x:c>
      <x:c r="G23" s="41" t="n">
        <x:f>IF('Materials'!Q23="","",'Materials'!Q23)</x:f>
        <x:v>450</x:v>
      </x:c>
      <x:c r="H23" s="41" t="str">
        <x:f>IF('Materials'!R23="","",'Materials'!R23)</x:f>
      </x:c>
      <x:c r="I23" s="41" t="str">
        <x:f>IF('Materials'!S23="","",'Materials'!S23)</x:f>
      </x:c>
      <x:c r="J23" s="41" t="n">
        <x:f>IF('Materials'!T23="","",'Materials'!T23)</x:f>
        <x:v>0.22</x:v>
      </x:c>
      <x:c r="K23" s="41" t="n">
        <x:f>IF('Materials'!U23="","",'Materials'!U23)</x:f>
        <x:v>55</x:v>
      </x:c>
      <x:c r="L23" s="41" t="n">
        <x:f>IF('Materials'!V23="","",'Materials'!V23)</x:f>
        <x:v>26.1</x:v>
      </x:c>
      <x:c r="M23" s="41" t="n">
        <x:f>IF('Materials'!W23="","",'Materials'!W23)</x:f>
        <x:v>460</x:v>
      </x:c>
      <x:c r="N23" s="41" t="n">
        <x:f>IF('Materials'!X23="","",'Materials'!X23)</x:f>
        <x:v>10.4</x:v>
      </x:c>
      <x:c r="O23" s="43" t="n">
        <x:f>IF('Materials'!Y23="","",'Materials'!Y23)</x:f>
        <x:v>6e-7</x:v>
      </x:c>
      <x:c r="P23" s="41" t="n">
        <x:f>IF('Materials'!Z23="","",'Materials'!Z23)</x:f>
        <x:v>1480</x:v>
      </x:c>
      <x:c r="Q23" s="41" t="n">
        <x:f>IF('Materials'!AA23="","",'Materials'!AA23)</x:f>
        <x:v>815</x:v>
      </x:c>
      <x:c r="R23" s="41" t="n">
        <x:f>IF('Materials'!AB23="","",'Materials'!AB23)</x:f>
        <x:v>160</x:v>
      </x:c>
      <x:c r="S23" s="41" t="n">
        <x:f>IF('Materials'!O23="","",'Materials'!O23)</x:f>
        <x:v>158.7301587301587</x:v>
      </x:c>
    </x:row>
    <x:row r="24">
      <x:c r="A24" s="42" t="n">
        <x:f>'Materials'!A24</x:f>
        <x:v>1109</x:v>
      </x:c>
      <x:c r="B24" s="41" t="n">
        <x:f>IF('Materials'!I24="","",'Materials'!I24)</x:f>
        <x:v>7780</x:v>
      </x:c>
      <x:c r="C24" s="41" t="n">
        <x:f>IF('Materials'!J24="","",'Materials'!J24)</x:f>
        <x:v>197</x:v>
      </x:c>
      <x:c r="D24" s="41" t="n">
        <x:f>IF('Materials'!N24="","",'Materials'!N24)</x:f>
        <x:v>77.55905511811024</x:v>
      </x:c>
      <x:c r="E24" s="41" t="n">
        <x:f>IF('Materials'!K24="","",'Materials'!K24)</x:f>
        <x:v>0.27</x:v>
      </x:c>
      <x:c r="F24" s="41" t="n">
        <x:f>IF('Materials'!P24="","",'Materials'!P24)</x:f>
        <x:v>1170</x:v>
      </x:c>
      <x:c r="G24" s="41" t="n">
        <x:f>IF('Materials'!Q24="","",'Materials'!Q24)</x:f>
        <x:v>1310</x:v>
      </x:c>
      <x:c r="H24" s="41" t="str">
        <x:f>IF('Materials'!R24="","",'Materials'!R24)</x:f>
      </x:c>
      <x:c r="I24" s="41" t="str">
        <x:f>IF('Materials'!S24="","",'Materials'!S24)</x:f>
      </x:c>
      <x:c r="J24" s="41" t="n">
        <x:f>IF('Materials'!T24="","",'Materials'!T24)</x:f>
        <x:v>0.1</x:v>
      </x:c>
      <x:c r="K24" s="41" t="n">
        <x:f>IF('Materials'!U24="","",'Materials'!U24)</x:f>
        <x:v>55</x:v>
      </x:c>
      <x:c r="L24" s="41" t="n">
        <x:f>IF('Materials'!V24="","",'Materials'!V24)</x:f>
        <x:v>18.3</x:v>
      </x:c>
      <x:c r="M24" s="41" t="n">
        <x:f>IF('Materials'!W24="","",'Materials'!W24)</x:f>
        <x:v>460</x:v>
      </x:c>
      <x:c r="N24" s="41" t="n">
        <x:f>IF('Materials'!X24="","",'Materials'!X24)</x:f>
        <x:v>10.8</x:v>
      </x:c>
      <x:c r="O24" s="43" t="n">
        <x:f>IF('Materials'!Y24="","",'Materials'!Y24)</x:f>
        <x:v>8e-7</x:v>
      </x:c>
      <x:c r="P24" s="41" t="n">
        <x:f>IF('Materials'!Z24="","",'Materials'!Z24)</x:f>
        <x:v>1400</x:v>
      </x:c>
      <x:c r="Q24" s="41" t="n">
        <x:f>IF('Materials'!AA24="","",'Materials'!AA24)</x:f>
        <x:v>315</x:v>
      </x:c>
      <x:c r="R24" s="41" t="n">
        <x:f>IF('Materials'!AB24="","",'Materials'!AB24)</x:f>
        <x:v>420</x:v>
      </x:c>
      <x:c r="S24" s="41" t="n">
        <x:f>IF('Materials'!O24="","",'Materials'!O24)</x:f>
        <x:v>142.7536231884058</x:v>
      </x:c>
    </x:row>
    <x:row r="25">
      <x:c r="A25" s="42" t="n">
        <x:f>'Materials'!A25</x:f>
        <x:v>1110</x:v>
      </x:c>
      <x:c r="B25" s="41" t="n">
        <x:f>IF('Materials'!I25="","",'Materials'!I25)</x:f>
        <x:v>7800</x:v>
      </x:c>
      <x:c r="C25" s="41" t="n">
        <x:f>IF('Materials'!J25="","",'Materials'!J25)</x:f>
        <x:v>200</x:v>
      </x:c>
      <x:c r="D25" s="41" t="n">
        <x:f>IF('Materials'!N25="","",'Materials'!N25)</x:f>
        <x:v>76.92307692307692</x:v>
      </x:c>
      <x:c r="E25" s="41" t="n">
        <x:f>IF('Materials'!K25="","",'Materials'!K25)</x:f>
        <x:v>0.3</x:v>
      </x:c>
      <x:c r="F25" s="41" t="n">
        <x:f>IF('Materials'!P25="","",'Materials'!P25)</x:f>
        <x:v>450</x:v>
      </x:c>
      <x:c r="G25" s="41" t="n">
        <x:f>IF('Materials'!Q25="","",'Materials'!Q25)</x:f>
        <x:v>655</x:v>
      </x:c>
      <x:c r="H25" s="41" t="str">
        <x:f>IF('Materials'!R25="","",'Materials'!R25)</x:f>
      </x:c>
      <x:c r="I25" s="41" t="str">
        <x:f>IF('Materials'!S25="","",'Materials'!S25)</x:f>
      </x:c>
      <x:c r="J25" s="41" t="n">
        <x:f>IF('Materials'!T25="","",'Materials'!T25)</x:f>
        <x:v>0.25</x:v>
      </x:c>
      <x:c r="K25" s="41" t="str">
        <x:f>IF('Materials'!U25="","",'Materials'!U25)</x:f>
      </x:c>
      <x:c r="L25" s="41" t="n">
        <x:f>IF('Materials'!V25="","",'Materials'!V25)</x:f>
        <x:v>15</x:v>
      </x:c>
      <x:c r="M25" s="41" t="n">
        <x:f>IF('Materials'!W25="","",'Materials'!W25)</x:f>
        <x:v>500</x:v>
      </x:c>
      <x:c r="N25" s="41" t="n">
        <x:f>IF('Materials'!X25="","",'Materials'!X25)</x:f>
        <x:v>13</x:v>
      </x:c>
      <x:c r="O25" s="43" t="n">
        <x:f>IF('Materials'!Y25="","",'Materials'!Y25)</x:f>
        <x:v>8e-7</x:v>
      </x:c>
      <x:c r="P25" s="41" t="str">
        <x:f>IF('Materials'!Z25="","",'Materials'!Z25)</x:f>
      </x:c>
      <x:c r="Q25" s="41" t="str">
        <x:f>IF('Materials'!AA25="","",'Materials'!AA25)</x:f>
      </x:c>
      <x:c r="R25" s="41" t="str">
        <x:f>IF('Materials'!AB25="","",'Materials'!AB25)</x:f>
      </x:c>
      <x:c r="S25" s="41" t="n">
        <x:f>IF('Materials'!O25="","",'Materials'!O25)</x:f>
        <x:v>166.66666666666663</x:v>
      </x:c>
    </x:row>
    <x:row r="26">
      <x:c r="A26" s="42" t="n">
        <x:f>'Materials'!A26</x:f>
        <x:v>1201</x:v>
      </x:c>
      <x:c r="B26" s="41" t="n">
        <x:f>IF('Materials'!I26="","",'Materials'!I26)</x:f>
        <x:v>7200</x:v>
      </x:c>
      <x:c r="C26" s="41" t="n">
        <x:f>IF('Materials'!J26="","",'Materials'!J26)</x:f>
        <x:v>110</x:v>
      </x:c>
      <x:c r="D26" s="41" t="n">
        <x:f>IF('Materials'!N26="","",'Materials'!N26)</x:f>
        <x:v>43.65079365079365</x:v>
      </x:c>
      <x:c r="E26" s="41" t="n">
        <x:f>IF('Materials'!K26="","",'Materials'!K26)</x:f>
        <x:v>0.26</x:v>
      </x:c>
      <x:c r="F26" s="41" t="str">
        <x:f>IF('Materials'!P26="","",'Materials'!P26)</x:f>
      </x:c>
      <x:c r="G26" s="41" t="n">
        <x:f>IF('Materials'!Q26="","",'Materials'!Q26)</x:f>
        <x:v>214</x:v>
      </x:c>
      <x:c r="H26" s="41" t="n">
        <x:f>IF('Materials'!R26="","",'Materials'!R26)</x:f>
        <x:v>750</x:v>
      </x:c>
      <x:c r="I26" s="41" t="n">
        <x:f>IF('Materials'!S26="","",'Materials'!S26)</x:f>
        <x:v>300</x:v>
      </x:c>
      <x:c r="J26" s="41" t="n">
        <x:f>IF('Materials'!T26="","",'Materials'!T26)</x:f>
        <x:v>0.005</x:v>
      </x:c>
      <x:c r="K26" s="41" t="n">
        <x:f>IF('Materials'!U26="","",'Materials'!U26)</x:f>
        <x:v>20</x:v>
      </x:c>
      <x:c r="L26" s="41" t="n">
        <x:f>IF('Materials'!V26="","",'Materials'!V26)</x:f>
        <x:v>53</x:v>
      </x:c>
      <x:c r="M26" s="41" t="n">
        <x:f>IF('Materials'!W26="","",'Materials'!W26)</x:f>
        <x:v>460</x:v>
      </x:c>
      <x:c r="N26" s="41" t="n">
        <x:f>IF('Materials'!X26="","",'Materials'!X26)</x:f>
        <x:v>10.5</x:v>
      </x:c>
      <x:c r="O26" s="43" t="n">
        <x:f>IF('Materials'!Y26="","",'Materials'!Y26)</x:f>
        <x:v>8e-7</x:v>
      </x:c>
      <x:c r="P26" s="41" t="n">
        <x:f>IF('Materials'!Z26="","",'Materials'!Z26)</x:f>
        <x:v>1150</x:v>
      </x:c>
      <x:c r="Q26" s="41" t="n">
        <x:f>IF('Materials'!AA26="","",'Materials'!AA26)</x:f>
        <x:v>400</x:v>
      </x:c>
      <x:c r="R26" s="41" t="n">
        <x:f>IF('Materials'!AB26="","",'Materials'!AB26)</x:f>
        <x:v>210</x:v>
      </x:c>
      <x:c r="S26" s="41" t="n">
        <x:f>IF('Materials'!O26="","",'Materials'!O26)</x:f>
        <x:v>76.38888888888889</x:v>
      </x:c>
    </x:row>
    <x:row r="27">
      <x:c r="A27" s="42" t="n">
        <x:f>'Materials'!A27</x:f>
        <x:v>1202</x:v>
      </x:c>
      <x:c r="B27" s="41" t="n">
        <x:f>IF('Materials'!I27="","",'Materials'!I27)</x:f>
        <x:v>7100</x:v>
      </x:c>
      <x:c r="C27" s="41" t="n">
        <x:f>IF('Materials'!J27="","",'Materials'!J27)</x:f>
        <x:v>169</x:v>
      </x:c>
      <x:c r="D27" s="41" t="n">
        <x:f>IF('Materials'!N27="","",'Materials'!N27)</x:f>
        <x:v>65.50387596899225</x:v>
      </x:c>
      <x:c r="E27" s="41" t="n">
        <x:f>IF('Materials'!K27="","",'Materials'!K27)</x:f>
        <x:v>0.29</x:v>
      </x:c>
      <x:c r="F27" s="41" t="n">
        <x:f>IF('Materials'!P27="","",'Materials'!P27)</x:f>
        <x:v>310</x:v>
      </x:c>
      <x:c r="G27" s="41" t="n">
        <x:f>IF('Materials'!Q27="","",'Materials'!Q27)</x:f>
        <x:v>450</x:v>
      </x:c>
      <x:c r="H27" s="41" t="n">
        <x:f>IF('Materials'!R27="","",'Materials'!R27)</x:f>
        <x:v>700</x:v>
      </x:c>
      <x:c r="I27" s="41" t="str">
        <x:f>IF('Materials'!S27="","",'Materials'!S27)</x:f>
      </x:c>
      <x:c r="J27" s="41" t="n">
        <x:f>IF('Materials'!T27="","",'Materials'!T27)</x:f>
        <x:v>0.12</x:v>
      </x:c>
      <x:c r="K27" s="41" t="n">
        <x:f>IF('Materials'!U27="","",'Materials'!U27)</x:f>
        <x:v>35</x:v>
      </x:c>
      <x:c r="L27" s="41" t="n">
        <x:f>IF('Materials'!V27="","",'Materials'!V27)</x:f>
        <x:v>36</x:v>
      </x:c>
      <x:c r="M27" s="41" t="n">
        <x:f>IF('Materials'!W27="","",'Materials'!W27)</x:f>
        <x:v>460</x:v>
      </x:c>
      <x:c r="N27" s="41" t="n">
        <x:f>IF('Materials'!X27="","",'Materials'!X27)</x:f>
        <x:v>11</x:v>
      </x:c>
      <x:c r="O27" s="43" t="n">
        <x:f>IF('Materials'!Y27="","",'Materials'!Y27)</x:f>
        <x:v>6e-7</x:v>
      </x:c>
      <x:c r="P27" s="41" t="n">
        <x:f>IF('Materials'!Z27="","",'Materials'!Z27)</x:f>
        <x:v>1150</x:v>
      </x:c>
      <x:c r="Q27" s="41" t="n">
        <x:f>IF('Materials'!AA27="","",'Materials'!AA27)</x:f>
        <x:v>400</x:v>
      </x:c>
      <x:c r="R27" s="41" t="n">
        <x:f>IF('Materials'!AB27="","",'Materials'!AB27)</x:f>
        <x:v>170</x:v>
      </x:c>
      <x:c r="S27" s="41" t="n">
        <x:f>IF('Materials'!O27="","",'Materials'!O27)</x:f>
        <x:v>134.1269841269841</x:v>
      </x:c>
    </x:row>
    <x:row r="28">
      <x:c r="A28" s="42" t="n">
        <x:f>'Materials'!A28</x:f>
        <x:v>1203</x:v>
      </x:c>
      <x:c r="B28" s="41" t="n">
        <x:f>IF('Materials'!I28="","",'Materials'!I28)</x:f>
        <x:v>7250</x:v>
      </x:c>
      <x:c r="C28" s="41" t="n">
        <x:f>IF('Materials'!J28="","",'Materials'!J28)</x:f>
        <x:v>150</x:v>
      </x:c>
      <x:c r="D28" s="41" t="n">
        <x:f>IF('Materials'!N28="","",'Materials'!N28)</x:f>
        <x:v>59.05511811023622</x:v>
      </x:c>
      <x:c r="E28" s="41" t="n">
        <x:f>IF('Materials'!K28="","",'Materials'!K28)</x:f>
        <x:v>0.27</x:v>
      </x:c>
      <x:c r="F28" s="41" t="n">
        <x:f>IF('Materials'!P28="","",'Materials'!P28)</x:f>
        <x:v>350</x:v>
      </x:c>
      <x:c r="G28" s="41" t="n">
        <x:f>IF('Materials'!Q28="","",'Materials'!Q28)</x:f>
        <x:v>500</x:v>
      </x:c>
      <x:c r="H28" s="41" t="n">
        <x:f>IF('Materials'!R28="","",'Materials'!R28)</x:f>
        <x:v>1000</x:v>
      </x:c>
      <x:c r="I28" s="41" t="n">
        <x:f>IF('Materials'!S28="","",'Materials'!S28)</x:f>
        <x:v>550</x:v>
      </x:c>
      <x:c r="J28" s="41" t="n">
        <x:f>IF('Materials'!T28="","",'Materials'!T28)</x:f>
        <x:v>0.03</x:v>
      </x:c>
      <x:c r="K28" s="41" t="n">
        <x:f>IF('Materials'!U28="","",'Materials'!U28)</x:f>
        <x:v>25</x:v>
      </x:c>
      <x:c r="L28" s="41" t="n">
        <x:f>IF('Materials'!V28="","",'Materials'!V28)</x:f>
        <x:v>42</x:v>
      </x:c>
      <x:c r="M28" s="41" t="n">
        <x:f>IF('Materials'!W28="","",'Materials'!W28)</x:f>
        <x:v>460</x:v>
      </x:c>
      <x:c r="N28" s="41" t="n">
        <x:f>IF('Materials'!X28="","",'Materials'!X28)</x:f>
        <x:v>11</x:v>
      </x:c>
      <x:c r="O28" s="43" t="n">
        <x:f>IF('Materials'!Y28="","",'Materials'!Y28)</x:f>
        <x:v>7e-7</x:v>
      </x:c>
      <x:c r="P28" s="41" t="n">
        <x:f>IF('Materials'!Z28="","",'Materials'!Z28)</x:f>
        <x:v>1150</x:v>
      </x:c>
      <x:c r="Q28" s="41" t="n">
        <x:f>IF('Materials'!AA28="","",'Materials'!AA28)</x:f>
        <x:v>450</x:v>
      </x:c>
      <x:c r="R28" s="41" t="n">
        <x:f>IF('Materials'!AB28="","",'Materials'!AB28)</x:f>
        <x:v>220</x:v>
      </x:c>
      <x:c r="S28" s="41" t="n">
        <x:f>IF('Materials'!O28="","",'Materials'!O28)</x:f>
        <x:v>108.69565217391305</x:v>
      </x:c>
    </x:row>
    <x:row r="29">
      <x:c r="A29" s="42" t="n">
        <x:f>'Materials'!A29</x:f>
        <x:v>2001</x:v>
      </x:c>
      <x:c r="B29" s="41" t="n">
        <x:f>IF('Materials'!I29="","",'Materials'!I29)</x:f>
        <x:v>2710</x:v>
      </x:c>
      <x:c r="C29" s="41" t="n">
        <x:f>IF('Materials'!J29="","",'Materials'!J29)</x:f>
        <x:v>69</x:v>
      </x:c>
      <x:c r="D29" s="41" t="n">
        <x:f>IF('Materials'!N29="","",'Materials'!N29)</x:f>
        <x:v>25.939849624060148</x:v>
      </x:c>
      <x:c r="E29" s="41" t="n">
        <x:f>IF('Materials'!K29="","",'Materials'!K29)</x:f>
        <x:v>0.33</x:v>
      </x:c>
      <x:c r="F29" s="41" t="n">
        <x:f>IF('Materials'!P29="","",'Materials'!P29)</x:f>
        <x:v>95</x:v>
      </x:c>
      <x:c r="G29" s="41" t="n">
        <x:f>IF('Materials'!Q29="","",'Materials'!Q29)</x:f>
        <x:v>110</x:v>
      </x:c>
      <x:c r="H29" s="41" t="str">
        <x:f>IF('Materials'!R29="","",'Materials'!R29)</x:f>
      </x:c>
      <x:c r="I29" s="41" t="str">
        <x:f>IF('Materials'!S29="","",'Materials'!S29)</x:f>
      </x:c>
      <x:c r="J29" s="41" t="n">
        <x:f>IF('Materials'!T29="","",'Materials'!T29)</x:f>
        <x:v>0.12</x:v>
      </x:c>
      <x:c r="K29" s="41" t="n">
        <x:f>IF('Materials'!U29="","",'Materials'!U29)</x:f>
        <x:v>25</x:v>
      </x:c>
      <x:c r="L29" s="41" t="n">
        <x:f>IF('Materials'!V29="","",'Materials'!V29)</x:f>
        <x:v>222</x:v>
      </x:c>
      <x:c r="M29" s="41" t="n">
        <x:f>IF('Materials'!W29="","",'Materials'!W29)</x:f>
        <x:v>904</x:v>
      </x:c>
      <x:c r="N29" s="41" t="n">
        <x:f>IF('Materials'!X29="","",'Materials'!X29)</x:f>
        <x:v>23.6</x:v>
      </x:c>
      <x:c r="O29" s="43" t="n">
        <x:f>IF('Materials'!Y29="","",'Materials'!Y29)</x:f>
        <x:v>2.82e-8</x:v>
      </x:c>
      <x:c r="P29" s="41" t="n">
        <x:f>IF('Materials'!Z29="","",'Materials'!Z29)</x:f>
        <x:v>657</x:v>
      </x:c>
      <x:c r="Q29" s="41" t="n">
        <x:f>IF('Materials'!AA29="","",'Materials'!AA29)</x:f>
        <x:v>200</x:v>
      </x:c>
      <x:c r="R29" s="41" t="n">
        <x:f>IF('Materials'!AB29="","",'Materials'!AB29)</x:f>
        <x:v>32</x:v>
      </x:c>
      <x:c r="S29" s="41" t="n">
        <x:f>IF('Materials'!O29="","",'Materials'!O29)</x:f>
        <x:v>67.6470588235294</x:v>
      </x:c>
    </x:row>
    <x:row r="30">
      <x:c r="A30" s="42" t="n">
        <x:f>'Materials'!A30</x:f>
        <x:v>2002</x:v>
      </x:c>
      <x:c r="B30" s="41" t="n">
        <x:f>IF('Materials'!I30="","",'Materials'!I30)</x:f>
        <x:v>2780</x:v>
      </x:c>
      <x:c r="C30" s="41" t="n">
        <x:f>IF('Materials'!J30="","",'Materials'!J30)</x:f>
        <x:v>73.1</x:v>
      </x:c>
      <x:c r="D30" s="41" t="n">
        <x:f>IF('Materials'!N30="","",'Materials'!N30)</x:f>
        <x:v>27.481203007518793</x:v>
      </x:c>
      <x:c r="E30" s="41" t="n">
        <x:f>IF('Materials'!K30="","",'Materials'!K30)</x:f>
        <x:v>0.33</x:v>
      </x:c>
      <x:c r="F30" s="41" t="n">
        <x:f>IF('Materials'!P30="","",'Materials'!P30)</x:f>
        <x:v>345</x:v>
      </x:c>
      <x:c r="G30" s="41" t="n">
        <x:f>IF('Materials'!Q30="","",'Materials'!Q30)</x:f>
        <x:v>483</x:v>
      </x:c>
      <x:c r="H30" s="41" t="str">
        <x:f>IF('Materials'!R30="","",'Materials'!R30)</x:f>
      </x:c>
      <x:c r="I30" s="41" t="str">
        <x:f>IF('Materials'!S30="","",'Materials'!S30)</x:f>
      </x:c>
      <x:c r="J30" s="41" t="n">
        <x:f>IF('Materials'!T30="","",'Materials'!T30)</x:f>
        <x:v>0.18</x:v>
      </x:c>
      <x:c r="K30" s="41" t="n">
        <x:f>IF('Materials'!U30="","",'Materials'!U30)</x:f>
        <x:v>35</x:v>
      </x:c>
      <x:c r="L30" s="41" t="n">
        <x:f>IF('Materials'!V30="","",'Materials'!V30)</x:f>
        <x:v>121</x:v>
      </x:c>
      <x:c r="M30" s="41" t="n">
        <x:f>IF('Materials'!W30="","",'Materials'!W30)</x:f>
        <x:v>875</x:v>
      </x:c>
      <x:c r="N30" s="41" t="n">
        <x:f>IF('Materials'!X30="","",'Materials'!X30)</x:f>
        <x:v>23.2</x:v>
      </x:c>
      <x:c r="O30" s="43" t="n">
        <x:f>IF('Materials'!Y30="","",'Materials'!Y30)</x:f>
        <x:v>5.8e-8</x:v>
      </x:c>
      <x:c r="P30" s="41" t="n">
        <x:f>IF('Materials'!Z30="","",'Materials'!Z30)</x:f>
        <x:v>502</x:v>
      </x:c>
      <x:c r="Q30" s="41" t="n">
        <x:f>IF('Materials'!AA30="","",'Materials'!AA30)</x:f>
        <x:v>150</x:v>
      </x:c>
      <x:c r="R30" s="41" t="n">
        <x:f>IF('Materials'!AB30="","",'Materials'!AB30)</x:f>
        <x:v>137</x:v>
      </x:c>
      <x:c r="S30" s="41" t="n">
        <x:f>IF('Materials'!O30="","",'Materials'!O30)</x:f>
        <x:v>71.66666666666666</x:v>
      </x:c>
    </x:row>
    <x:row r="31">
      <x:c r="A31" s="42" t="n">
        <x:f>'Materials'!A31</x:f>
        <x:v>2003</x:v>
      </x:c>
      <x:c r="B31" s="41" t="n">
        <x:f>IF('Materials'!I31="","",'Materials'!I31)</x:f>
        <x:v>2730</x:v>
      </x:c>
      <x:c r="C31" s="41" t="n">
        <x:f>IF('Materials'!J31="","",'Materials'!J31)</x:f>
        <x:v>69</x:v>
      </x:c>
      <x:c r="D31" s="41" t="n">
        <x:f>IF('Materials'!N31="","",'Materials'!N31)</x:f>
        <x:v>25.939849624060148</x:v>
      </x:c>
      <x:c r="E31" s="41" t="n">
        <x:f>IF('Materials'!K31="","",'Materials'!K31)</x:f>
        <x:v>0.33</x:v>
      </x:c>
      <x:c r="F31" s="41" t="n">
        <x:f>IF('Materials'!P31="","",'Materials'!P31)</x:f>
        <x:v>145</x:v>
      </x:c>
      <x:c r="G31" s="41" t="n">
        <x:f>IF('Materials'!Q31="","",'Materials'!Q31)</x:f>
        <x:v>152</x:v>
      </x:c>
      <x:c r="H31" s="41" t="str">
        <x:f>IF('Materials'!R31="","",'Materials'!R31)</x:f>
      </x:c>
      <x:c r="I31" s="41" t="str">
        <x:f>IF('Materials'!S31="","",'Materials'!S31)</x:f>
      </x:c>
      <x:c r="J31" s="41" t="n">
        <x:f>IF('Materials'!T31="","",'Materials'!T31)</x:f>
        <x:v>0.08</x:v>
      </x:c>
      <x:c r="K31" s="41" t="n">
        <x:f>IF('Materials'!U31="","",'Materials'!U31)</x:f>
        <x:v>25</x:v>
      </x:c>
      <x:c r="L31" s="41" t="n">
        <x:f>IF('Materials'!V31="","",'Materials'!V31)</x:f>
        <x:v>193</x:v>
      </x:c>
      <x:c r="M31" s="41" t="n">
        <x:f>IF('Materials'!W31="","",'Materials'!W31)</x:f>
        <x:v>893</x:v>
      </x:c>
      <x:c r="N31" s="41" t="n">
        <x:f>IF('Materials'!X31="","",'Materials'!X31)</x:f>
        <x:v>23.2</x:v>
      </x:c>
      <x:c r="O31" s="43" t="n">
        <x:f>IF('Materials'!Y31="","",'Materials'!Y31)</x:f>
        <x:v>3.4e-8</x:v>
      </x:c>
      <x:c r="P31" s="41" t="n">
        <x:f>IF('Materials'!Z31="","",'Materials'!Z31)</x:f>
        <x:v>643</x:v>
      </x:c>
      <x:c r="Q31" s="41" t="n">
        <x:f>IF('Materials'!AA31="","",'Materials'!AA31)</x:f>
        <x:v>175</x:v>
      </x:c>
      <x:c r="R31" s="41" t="n">
        <x:f>IF('Materials'!AB31="","",'Materials'!AB31)</x:f>
        <x:v>40</x:v>
      </x:c>
      <x:c r="S31" s="41" t="n">
        <x:f>IF('Materials'!O31="","",'Materials'!O31)</x:f>
        <x:v>67.6470588235294</x:v>
      </x:c>
    </x:row>
    <x:row r="32">
      <x:c r="A32" s="42" t="n">
        <x:f>'Materials'!A32</x:f>
        <x:v>2004</x:v>
      </x:c>
      <x:c r="B32" s="41" t="n">
        <x:f>IF('Materials'!I32="","",'Materials'!I32)</x:f>
        <x:v>2680</x:v>
      </x:c>
      <x:c r="C32" s="41" t="n">
        <x:f>IF('Materials'!J32="","",'Materials'!J32)</x:f>
        <x:v>70.3</x:v>
      </x:c>
      <x:c r="D32" s="41" t="n">
        <x:f>IF('Materials'!N32="","",'Materials'!N32)</x:f>
        <x:v>26.428571428571427</x:v>
      </x:c>
      <x:c r="E32" s="41" t="n">
        <x:f>IF('Materials'!K32="","",'Materials'!K32)</x:f>
        <x:v>0.33</x:v>
      </x:c>
      <x:c r="F32" s="41" t="n">
        <x:f>IF('Materials'!P32="","",'Materials'!P32)</x:f>
        <x:v>193</x:v>
      </x:c>
      <x:c r="G32" s="41" t="n">
        <x:f>IF('Materials'!Q32="","",'Materials'!Q32)</x:f>
        <x:v>228</x:v>
      </x:c>
      <x:c r="H32" s="41" t="str">
        <x:f>IF('Materials'!R32="","",'Materials'!R32)</x:f>
      </x:c>
      <x:c r="I32" s="41" t="str">
        <x:f>IF('Materials'!S32="","",'Materials'!S32)</x:f>
      </x:c>
      <x:c r="J32" s="41" t="n">
        <x:f>IF('Materials'!T32="","",'Materials'!T32)</x:f>
        <x:v>0.12</x:v>
      </x:c>
      <x:c r="K32" s="41" t="n">
        <x:f>IF('Materials'!U32="","",'Materials'!U32)</x:f>
        <x:v>30</x:v>
      </x:c>
      <x:c r="L32" s="41" t="n">
        <x:f>IF('Materials'!V32="","",'Materials'!V32)</x:f>
        <x:v>138</x:v>
      </x:c>
      <x:c r="M32" s="41" t="n">
        <x:f>IF('Materials'!W32="","",'Materials'!W32)</x:f>
        <x:v>880</x:v>
      </x:c>
      <x:c r="N32" s="41" t="n">
        <x:f>IF('Materials'!X32="","",'Materials'!X32)</x:f>
        <x:v>23.8</x:v>
      </x:c>
      <x:c r="O32" s="43" t="n">
        <x:f>IF('Materials'!Y32="","",'Materials'!Y32)</x:f>
        <x:v>4.9e-8</x:v>
      </x:c>
      <x:c r="P32" s="41" t="n">
        <x:f>IF('Materials'!Z32="","",'Materials'!Z32)</x:f>
        <x:v>607</x:v>
      </x:c>
      <x:c r="Q32" s="41" t="n">
        <x:f>IF('Materials'!AA32="","",'Materials'!AA32)</x:f>
        <x:v>150</x:v>
      </x:c>
      <x:c r="R32" s="41" t="n">
        <x:f>IF('Materials'!AB32="","",'Materials'!AB32)</x:f>
        <x:v>68</x:v>
      </x:c>
      <x:c r="S32" s="41" t="n">
        <x:f>IF('Materials'!O32="","",'Materials'!O32)</x:f>
        <x:v>68.92156862745098</x:v>
      </x:c>
    </x:row>
    <x:row r="33">
      <x:c r="A33" s="42" t="n">
        <x:f>'Materials'!A33</x:f>
        <x:v>2005</x:v>
      </x:c>
      <x:c r="B33" s="41" t="n">
        <x:f>IF('Materials'!I33="","",'Materials'!I33)</x:f>
        <x:v>2660</x:v>
      </x:c>
      <x:c r="C33" s="41" t="n">
        <x:f>IF('Materials'!J33="","",'Materials'!J33)</x:f>
        <x:v>71</x:v>
      </x:c>
      <x:c r="D33" s="41" t="n">
        <x:f>IF('Materials'!N33="","",'Materials'!N33)</x:f>
        <x:v>26.69172932330827</x:v>
      </x:c>
      <x:c r="E33" s="41" t="n">
        <x:f>IF('Materials'!K33="","",'Materials'!K33)</x:f>
        <x:v>0.33</x:v>
      </x:c>
      <x:c r="F33" s="41" t="n">
        <x:f>IF('Materials'!P33="","",'Materials'!P33)</x:f>
        <x:v>215</x:v>
      </x:c>
      <x:c r="G33" s="41" t="n">
        <x:f>IF('Materials'!Q33="","",'Materials'!Q33)</x:f>
        <x:v>305</x:v>
      </x:c>
      <x:c r="H33" s="41" t="str">
        <x:f>IF('Materials'!R33="","",'Materials'!R33)</x:f>
      </x:c>
      <x:c r="I33" s="41" t="str">
        <x:f>IF('Materials'!S33="","",'Materials'!S33)</x:f>
      </x:c>
      <x:c r="J33" s="41" t="n">
        <x:f>IF('Materials'!T33="","",'Materials'!T33)</x:f>
        <x:v>0.12</x:v>
      </x:c>
      <x:c r="K33" s="41" t="n">
        <x:f>IF('Materials'!U33="","",'Materials'!U33)</x:f>
        <x:v>32</x:v>
      </x:c>
      <x:c r="L33" s="41" t="n">
        <x:f>IF('Materials'!V33="","",'Materials'!V33)</x:f>
        <x:v>117</x:v>
      </x:c>
      <x:c r="M33" s="41" t="n">
        <x:f>IF('Materials'!W33="","",'Materials'!W33)</x:f>
        <x:v>900</x:v>
      </x:c>
      <x:c r="N33" s="41" t="n">
        <x:f>IF('Materials'!X33="","",'Materials'!X33)</x:f>
        <x:v>23.5</x:v>
      </x:c>
      <x:c r="O33" s="43" t="n">
        <x:f>IF('Materials'!Y33="","",'Materials'!Y33)</x:f>
        <x:v>5.9e-8</x:v>
      </x:c>
      <x:c r="P33" s="41" t="n">
        <x:f>IF('Materials'!Z33="","",'Materials'!Z33)</x:f>
        <x:v>590</x:v>
      </x:c>
      <x:c r="Q33" s="41" t="n">
        <x:f>IF('Materials'!AA33="","",'Materials'!AA33)</x:f>
        <x:v>150</x:v>
      </x:c>
      <x:c r="R33" s="41" t="n">
        <x:f>IF('Materials'!AB33="","",'Materials'!AB33)</x:f>
        <x:v>90</x:v>
      </x:c>
      <x:c r="S33" s="41" t="n">
        <x:f>IF('Materials'!O33="","",'Materials'!O33)</x:f>
        <x:v>69.6078431372549</x:v>
      </x:c>
    </x:row>
    <x:row r="34">
      <x:c r="A34" s="42" t="n">
        <x:f>'Materials'!A34</x:f>
        <x:v>2006</x:v>
      </x:c>
      <x:c r="B34" s="41" t="n">
        <x:f>IF('Materials'!I34="","",'Materials'!I34)</x:f>
        <x:v>2700</x:v>
      </x:c>
      <x:c r="C34" s="41" t="n">
        <x:f>IF('Materials'!J34="","",'Materials'!J34)</x:f>
        <x:v>68.9</x:v>
      </x:c>
      <x:c r="D34" s="41" t="n">
        <x:f>IF('Materials'!N34="","",'Materials'!N34)</x:f>
        <x:v>25.902255639097746</x:v>
      </x:c>
      <x:c r="E34" s="41" t="n">
        <x:f>IF('Materials'!K34="","",'Materials'!K34)</x:f>
        <x:v>0.33</x:v>
      </x:c>
      <x:c r="F34" s="41" t="n">
        <x:f>IF('Materials'!P34="","",'Materials'!P34)</x:f>
        <x:v>276</x:v>
      </x:c>
      <x:c r="G34" s="41" t="n">
        <x:f>IF('Materials'!Q34="","",'Materials'!Q34)</x:f>
        <x:v>310</x:v>
      </x:c>
      <x:c r="H34" s="41" t="str">
        <x:f>IF('Materials'!R34="","",'Materials'!R34)</x:f>
      </x:c>
      <x:c r="I34" s="41" t="str">
        <x:f>IF('Materials'!S34="","",'Materials'!S34)</x:f>
      </x:c>
      <x:c r="J34" s="41" t="n">
        <x:f>IF('Materials'!T34="","",'Materials'!T34)</x:f>
        <x:v>0.12</x:v>
      </x:c>
      <x:c r="K34" s="41" t="n">
        <x:f>IF('Materials'!U34="","",'Materials'!U34)</x:f>
        <x:v>29</x:v>
      </x:c>
      <x:c r="L34" s="41" t="n">
        <x:f>IF('Materials'!V34="","",'Materials'!V34)</x:f>
        <x:v>167</x:v>
      </x:c>
      <x:c r="M34" s="41" t="n">
        <x:f>IF('Materials'!W34="","",'Materials'!W34)</x:f>
        <x:v>896</x:v>
      </x:c>
      <x:c r="N34" s="41" t="n">
        <x:f>IF('Materials'!X34="","",'Materials'!X34)</x:f>
        <x:v>23.6</x:v>
      </x:c>
      <x:c r="O34" s="43" t="n">
        <x:f>IF('Materials'!Y34="","",'Materials'!Y34)</x:f>
        <x:v>4e-8</x:v>
      </x:c>
      <x:c r="P34" s="41" t="n">
        <x:f>IF('Materials'!Z34="","",'Materials'!Z34)</x:f>
        <x:v>582</x:v>
      </x:c>
      <x:c r="Q34" s="41" t="n">
        <x:f>IF('Materials'!AA34="","",'Materials'!AA34)</x:f>
        <x:v>150</x:v>
      </x:c>
      <x:c r="R34" s="41" t="n">
        <x:f>IF('Materials'!AB34="","",'Materials'!AB34)</x:f>
        <x:v>107</x:v>
      </x:c>
      <x:c r="S34" s="41" t="n">
        <x:f>IF('Materials'!O34="","",'Materials'!O34)</x:f>
        <x:v>67.54901960784314</x:v>
      </x:c>
    </x:row>
    <x:row r="35">
      <x:c r="A35" s="42" t="n">
        <x:f>'Materials'!A35</x:f>
        <x:v>2007</x:v>
      </x:c>
      <x:c r="B35" s="41" t="n">
        <x:f>IF('Materials'!I35="","",'Materials'!I35)</x:f>
        <x:v>2700</x:v>
      </x:c>
      <x:c r="C35" s="41" t="n">
        <x:f>IF('Materials'!J35="","",'Materials'!J35)</x:f>
        <x:v>68.9</x:v>
      </x:c>
      <x:c r="D35" s="41" t="n">
        <x:f>IF('Materials'!N35="","",'Materials'!N35)</x:f>
        <x:v>25.902255639097746</x:v>
      </x:c>
      <x:c r="E35" s="41" t="n">
        <x:f>IF('Materials'!K35="","",'Materials'!K35)</x:f>
        <x:v>0.33</x:v>
      </x:c>
      <x:c r="F35" s="41" t="n">
        <x:f>IF('Materials'!P35="","",'Materials'!P35)</x:f>
        <x:v>145</x:v>
      </x:c>
      <x:c r="G35" s="41" t="n">
        <x:f>IF('Materials'!Q35="","",'Materials'!Q35)</x:f>
        <x:v>186</x:v>
      </x:c>
      <x:c r="H35" s="41" t="str">
        <x:f>IF('Materials'!R35="","",'Materials'!R35)</x:f>
      </x:c>
      <x:c r="I35" s="41" t="str">
        <x:f>IF('Materials'!S35="","",'Materials'!S35)</x:f>
      </x:c>
      <x:c r="J35" s="41" t="n">
        <x:f>IF('Materials'!T35="","",'Materials'!T35)</x:f>
        <x:v>0.12</x:v>
      </x:c>
      <x:c r="K35" s="41" t="n">
        <x:f>IF('Materials'!U35="","",'Materials'!U35)</x:f>
        <x:v>25</x:v>
      </x:c>
      <x:c r="L35" s="41" t="n">
        <x:f>IF('Materials'!V35="","",'Materials'!V35)</x:f>
        <x:v>201</x:v>
      </x:c>
      <x:c r="M35" s="41" t="n">
        <x:f>IF('Materials'!W35="","",'Materials'!W35)</x:f>
        <x:v>900</x:v>
      </x:c>
      <x:c r="N35" s="41" t="n">
        <x:f>IF('Materials'!X35="","",'Materials'!X35)</x:f>
        <x:v>23.5</x:v>
      </x:c>
      <x:c r="O35" s="43" t="n">
        <x:f>IF('Materials'!Y35="","",'Materials'!Y35)</x:f>
        <x:v>3.3e-8</x:v>
      </x:c>
      <x:c r="P35" s="41" t="n">
        <x:f>IF('Materials'!Z35="","",'Materials'!Z35)</x:f>
        <x:v>616</x:v>
      </x:c>
      <x:c r="Q35" s="41" t="n">
        <x:f>IF('Materials'!AA35="","",'Materials'!AA35)</x:f>
        <x:v>150</x:v>
      </x:c>
      <x:c r="R35" s="41" t="n">
        <x:f>IF('Materials'!AB35="","",'Materials'!AB35)</x:f>
        <x:v>60</x:v>
      </x:c>
      <x:c r="S35" s="41" t="n">
        <x:f>IF('Materials'!O35="","",'Materials'!O35)</x:f>
        <x:v>67.54901960784314</x:v>
      </x:c>
    </x:row>
    <x:row r="36">
      <x:c r="A36" s="42" t="n">
        <x:f>'Materials'!A36</x:f>
        <x:v>2008</x:v>
      </x:c>
      <x:c r="B36" s="41" t="n">
        <x:f>IF('Materials'!I36="","",'Materials'!I36)</x:f>
        <x:v>2810</x:v>
      </x:c>
      <x:c r="C36" s="41" t="n">
        <x:f>IF('Materials'!J36="","",'Materials'!J36)</x:f>
        <x:v>71.7</x:v>
      </x:c>
      <x:c r="D36" s="41" t="n">
        <x:f>IF('Materials'!N36="","",'Materials'!N36)</x:f>
        <x:v>26.954887218045112</x:v>
      </x:c>
      <x:c r="E36" s="41" t="n">
        <x:f>IF('Materials'!K36="","",'Materials'!K36)</x:f>
        <x:v>0.33</x:v>
      </x:c>
      <x:c r="F36" s="41" t="n">
        <x:f>IF('Materials'!P36="","",'Materials'!P36)</x:f>
        <x:v>503</x:v>
      </x:c>
      <x:c r="G36" s="41" t="n">
        <x:f>IF('Materials'!Q36="","",'Materials'!Q36)</x:f>
        <x:v>572</x:v>
      </x:c>
      <x:c r="H36" s="41" t="str">
        <x:f>IF('Materials'!R36="","",'Materials'!R36)</x:f>
      </x:c>
      <x:c r="I36" s="41" t="str">
        <x:f>IF('Materials'!S36="","",'Materials'!S36)</x:f>
      </x:c>
      <x:c r="J36" s="41" t="n">
        <x:f>IF('Materials'!T36="","",'Materials'!T36)</x:f>
        <x:v>0.11</x:v>
      </x:c>
      <x:c r="K36" s="41" t="n">
        <x:f>IF('Materials'!U36="","",'Materials'!U36)</x:f>
        <x:v>25</x:v>
      </x:c>
      <x:c r="L36" s="41" t="n">
        <x:f>IF('Materials'!V36="","",'Materials'!V36)</x:f>
        <x:v>130</x:v>
      </x:c>
      <x:c r="M36" s="41" t="n">
        <x:f>IF('Materials'!W36="","",'Materials'!W36)</x:f>
        <x:v>960</x:v>
      </x:c>
      <x:c r="N36" s="41" t="n">
        <x:f>IF('Materials'!X36="","",'Materials'!X36)</x:f>
        <x:v>23.5</x:v>
      </x:c>
      <x:c r="O36" s="43" t="n">
        <x:f>IF('Materials'!Y36="","",'Materials'!Y36)</x:f>
        <x:v>5.2e-8</x:v>
      </x:c>
      <x:c r="P36" s="41" t="n">
        <x:f>IF('Materials'!Z36="","",'Materials'!Z36)</x:f>
        <x:v>477</x:v>
      </x:c>
      <x:c r="Q36" s="41" t="n">
        <x:f>IF('Materials'!AA36="","",'Materials'!AA36)</x:f>
        <x:v>120</x:v>
      </x:c>
      <x:c r="R36" s="41" t="n">
        <x:f>IF('Materials'!AB36="","",'Materials'!AB36)</x:f>
        <x:v>175</x:v>
      </x:c>
      <x:c r="S36" s="41" t="n">
        <x:f>IF('Materials'!O36="","",'Materials'!O36)</x:f>
        <x:v>70.29411764705883</x:v>
      </x:c>
    </x:row>
    <x:row r="37">
      <x:c r="A37" s="42" t="n">
        <x:f>'Materials'!A37</x:f>
        <x:v>2009</x:v>
      </x:c>
      <x:c r="B37" s="41" t="n">
        <x:f>IF('Materials'!I37="","",'Materials'!I37)</x:f>
        <x:v>2680</x:v>
      </x:c>
      <x:c r="C37" s="41" t="n">
        <x:f>IF('Materials'!J37="","",'Materials'!J37)</x:f>
        <x:v>72.4</x:v>
      </x:c>
      <x:c r="D37" s="41" t="n">
        <x:f>IF('Materials'!N37="","",'Materials'!N37)</x:f>
        <x:v>27.218045112781954</x:v>
      </x:c>
      <x:c r="E37" s="41" t="n">
        <x:f>IF('Materials'!K37="","",'Materials'!K37)</x:f>
        <x:v>0.33</x:v>
      </x:c>
      <x:c r="F37" s="41" t="n">
        <x:f>IF('Materials'!P37="","",'Materials'!P37)</x:f>
        <x:v>165</x:v>
      </x:c>
      <x:c r="G37" s="41" t="n">
        <x:f>IF('Materials'!Q37="","",'Materials'!Q37)</x:f>
        <x:v>230</x:v>
      </x:c>
      <x:c r="H37" s="41" t="str">
        <x:f>IF('Materials'!R37="","",'Materials'!R37)</x:f>
      </x:c>
      <x:c r="I37" s="41" t="str">
        <x:f>IF('Materials'!S37="","",'Materials'!S37)</x:f>
      </x:c>
      <x:c r="J37" s="41" t="n">
        <x:f>IF('Materials'!T37="","",'Materials'!T37)</x:f>
        <x:v>0.035</x:v>
      </x:c>
      <x:c r="K37" s="41" t="n">
        <x:f>IF('Materials'!U37="","",'Materials'!U37)</x:f>
        <x:v>22</x:v>
      </x:c>
      <x:c r="L37" s="41" t="n">
        <x:f>IF('Materials'!V37="","",'Materials'!V37)</x:f>
        <x:v>151</x:v>
      </x:c>
      <x:c r="M37" s="41" t="n">
        <x:f>IF('Materials'!W37="","",'Materials'!W37)</x:f>
        <x:v>963</x:v>
      </x:c>
      <x:c r="N37" s="41" t="n">
        <x:f>IF('Materials'!X37="","",'Materials'!X37)</x:f>
        <x:v>21.5</x:v>
      </x:c>
      <x:c r="O37" s="43" t="n">
        <x:f>IF('Materials'!Y37="","",'Materials'!Y37)</x:f>
        <x:v>4.5e-8</x:v>
      </x:c>
      <x:c r="P37" s="41" t="n">
        <x:f>IF('Materials'!Z37="","",'Materials'!Z37)</x:f>
        <x:v>557</x:v>
      </x:c>
      <x:c r="Q37" s="41" t="n">
        <x:f>IF('Materials'!AA37="","",'Materials'!AA37)</x:f>
        <x:v>200</x:v>
      </x:c>
      <x:c r="R37" s="41" t="n">
        <x:f>IF('Materials'!AB37="","",'Materials'!AB37)</x:f>
        <x:v>90</x:v>
      </x:c>
      <x:c r="S37" s="41" t="n">
        <x:f>IF('Materials'!O37="","",'Materials'!O37)</x:f>
        <x:v>70.98039215686275</x:v>
      </x:c>
    </x:row>
    <x:row r="38">
      <x:c r="A38" s="42" t="n">
        <x:f>'Materials'!A38</x:f>
        <x:v>2101</x:v>
      </x:c>
      <x:c r="B38" s="41" t="n">
        <x:f>IF('Materials'!I38="","",'Materials'!I38)</x:f>
        <x:v>8940</x:v>
      </x:c>
      <x:c r="C38" s="41" t="n">
        <x:f>IF('Materials'!J38="","",'Materials'!J38)</x:f>
        <x:v>117</x:v>
      </x:c>
      <x:c r="D38" s="41" t="n">
        <x:f>IF('Materials'!N38="","",'Materials'!N38)</x:f>
        <x:v>43.656716417910445</x:v>
      </x:c>
      <x:c r="E38" s="41" t="n">
        <x:f>IF('Materials'!K38="","",'Materials'!K38)</x:f>
        <x:v>0.34</x:v>
      </x:c>
      <x:c r="F38" s="41" t="n">
        <x:f>IF('Materials'!P38="","",'Materials'!P38)</x:f>
        <x:v>70</x:v>
      </x:c>
      <x:c r="G38" s="41" t="n">
        <x:f>IF('Materials'!Q38="","",'Materials'!Q38)</x:f>
        <x:v>220</x:v>
      </x:c>
      <x:c r="H38" s="41" t="str">
        <x:f>IF('Materials'!R38="","",'Materials'!R38)</x:f>
      </x:c>
      <x:c r="I38" s="41" t="str">
        <x:f>IF('Materials'!S38="","",'Materials'!S38)</x:f>
      </x:c>
      <x:c r="J38" s="41" t="n">
        <x:f>IF('Materials'!T38="","",'Materials'!T38)</x:f>
        <x:v>0.45</x:v>
      </x:c>
      <x:c r="K38" s="41" t="n">
        <x:f>IF('Materials'!U38="","",'Materials'!U38)</x:f>
        <x:v>70</x:v>
      </x:c>
      <x:c r="L38" s="41" t="n">
        <x:f>IF('Materials'!V38="","",'Materials'!V38)</x:f>
        <x:v>391</x:v>
      </x:c>
      <x:c r="M38" s="41" t="n">
        <x:f>IF('Materials'!W38="","",'Materials'!W38)</x:f>
        <x:v>385</x:v>
      </x:c>
      <x:c r="N38" s="41" t="n">
        <x:f>IF('Materials'!X38="","",'Materials'!X38)</x:f>
        <x:v>16.5</x:v>
      </x:c>
      <x:c r="O38" s="43" t="n">
        <x:f>IF('Materials'!Y38="","",'Materials'!Y38)</x:f>
        <x:v>1.72e-8</x:v>
      </x:c>
      <x:c r="P38" s="41" t="n">
        <x:f>IF('Materials'!Z38="","",'Materials'!Z38)</x:f>
        <x:v>1083</x:v>
      </x:c>
      <x:c r="Q38" s="41" t="n">
        <x:f>IF('Materials'!AA38="","",'Materials'!AA38)</x:f>
        <x:v>200</x:v>
      </x:c>
      <x:c r="R38" s="41" t="n">
        <x:f>IF('Materials'!AB38="","",'Materials'!AB38)</x:f>
        <x:v>50</x:v>
      </x:c>
      <x:c r="S38" s="41" t="n">
        <x:f>IF('Materials'!O38="","",'Materials'!O38)</x:f>
        <x:v>121.87500000000001</x:v>
      </x:c>
    </x:row>
    <x:row r="39">
      <x:c r="A39" s="42" t="n">
        <x:f>'Materials'!A39</x:f>
        <x:v>2102</x:v>
      </x:c>
      <x:c r="B39" s="41" t="n">
        <x:f>IF('Materials'!I39="","",'Materials'!I39)</x:f>
        <x:v>8530</x:v>
      </x:c>
      <x:c r="C39" s="41" t="n">
        <x:f>IF('Materials'!J39="","",'Materials'!J39)</x:f>
        <x:v>110</x:v>
      </x:c>
      <x:c r="D39" s="41" t="n">
        <x:f>IF('Materials'!N39="","",'Materials'!N39)</x:f>
        <x:v>41.04477611940298</x:v>
      </x:c>
      <x:c r="E39" s="41" t="n">
        <x:f>IF('Materials'!K39="","",'Materials'!K39)</x:f>
        <x:v>0.34</x:v>
      </x:c>
      <x:c r="F39" s="41" t="n">
        <x:f>IF('Materials'!P39="","",'Materials'!P39)</x:f>
        <x:v>345</x:v>
      </x:c>
      <x:c r="G39" s="41" t="n">
        <x:f>IF('Materials'!Q39="","",'Materials'!Q39)</x:f>
        <x:v>435</x:v>
      </x:c>
      <x:c r="H39" s="41" t="str">
        <x:f>IF('Materials'!R39="","",'Materials'!R39)</x:f>
      </x:c>
      <x:c r="I39" s="41" t="str">
        <x:f>IF('Materials'!S39="","",'Materials'!S39)</x:f>
      </x:c>
      <x:c r="J39" s="41" t="n">
        <x:f>IF('Materials'!T39="","",'Materials'!T39)</x:f>
        <x:v>0.15</x:v>
      </x:c>
      <x:c r="K39" s="41" t="n">
        <x:f>IF('Materials'!U39="","",'Materials'!U39)</x:f>
        <x:v>45</x:v>
      </x:c>
      <x:c r="L39" s="41" t="n">
        <x:f>IF('Materials'!V39="","",'Materials'!V39)</x:f>
        <x:v>120</x:v>
      </x:c>
      <x:c r="M39" s="41" t="n">
        <x:f>IF('Materials'!W39="","",'Materials'!W39)</x:f>
        <x:v>377</x:v>
      </x:c>
      <x:c r="N39" s="41" t="n">
        <x:f>IF('Materials'!X39="","",'Materials'!X39)</x:f>
        <x:v>20.5</x:v>
      </x:c>
      <x:c r="O39" s="43" t="n">
        <x:f>IF('Materials'!Y39="","",'Materials'!Y39)</x:f>
        <x:v>6.4e-8</x:v>
      </x:c>
      <x:c r="P39" s="41" t="n">
        <x:f>IF('Materials'!Z39="","",'Materials'!Z39)</x:f>
        <x:v>930</x:v>
      </x:c>
      <x:c r="Q39" s="41" t="n">
        <x:f>IF('Materials'!AA39="","",'Materials'!AA39)</x:f>
        <x:v>200</x:v>
      </x:c>
      <x:c r="R39" s="41" t="n">
        <x:f>IF('Materials'!AB39="","",'Materials'!AB39)</x:f>
        <x:v>125</x:v>
      </x:c>
      <x:c r="S39" s="41" t="n">
        <x:f>IF('Materials'!O39="","",'Materials'!O39)</x:f>
        <x:v>114.58333333333336</x:v>
      </x:c>
    </x:row>
    <x:row r="40">
      <x:c r="A40" s="42" t="n">
        <x:f>'Materials'!A40</x:f>
        <x:v>2103</x:v>
      </x:c>
      <x:c r="B40" s="41" t="n">
        <x:f>IF('Materials'!I40="","",'Materials'!I40)</x:f>
        <x:v>8500</x:v>
      </x:c>
      <x:c r="C40" s="41" t="n">
        <x:f>IF('Materials'!J40="","",'Materials'!J40)</x:f>
        <x:v>97</x:v>
      </x:c>
      <x:c r="D40" s="41" t="n">
        <x:f>IF('Materials'!N40="","",'Materials'!N40)</x:f>
        <x:v>37.02290076335878</x:v>
      </x:c>
      <x:c r="E40" s="41" t="n">
        <x:f>IF('Materials'!K40="","",'Materials'!K40)</x:f>
        <x:v>0.31</x:v>
      </x:c>
      <x:c r="F40" s="41" t="n">
        <x:f>IF('Materials'!P40="","",'Materials'!P40)</x:f>
        <x:v>310</x:v>
      </x:c>
      <x:c r="G40" s="41" t="n">
        <x:f>IF('Materials'!Q40="","",'Materials'!Q40)</x:f>
        <x:v>360</x:v>
      </x:c>
      <x:c r="H40" s="41" t="str">
        <x:f>IF('Materials'!R40="","",'Materials'!R40)</x:f>
      </x:c>
      <x:c r="I40" s="41" t="str">
        <x:f>IF('Materials'!S40="","",'Materials'!S40)</x:f>
      </x:c>
      <x:c r="J40" s="41" t="n">
        <x:f>IF('Materials'!T40="","",'Materials'!T40)</x:f>
        <x:v>0.18</x:v>
      </x:c>
      <x:c r="K40" s="41" t="n">
        <x:f>IF('Materials'!U40="","",'Materials'!U40)</x:f>
        <x:v>35</x:v>
      </x:c>
      <x:c r="L40" s="41" t="n">
        <x:f>IF('Materials'!V40="","",'Materials'!V40)</x:f>
        <x:v>115</x:v>
      </x:c>
      <x:c r="M40" s="41" t="n">
        <x:f>IF('Materials'!W40="","",'Materials'!W40)</x:f>
        <x:v>380</x:v>
      </x:c>
      <x:c r="N40" s="41" t="n">
        <x:f>IF('Materials'!X40="","",'Materials'!X40)</x:f>
        <x:v>20.5</x:v>
      </x:c>
      <x:c r="O40" s="43" t="n">
        <x:f>IF('Materials'!Y40="","",'Materials'!Y40)</x:f>
        <x:v>6.6e-8</x:v>
      </x:c>
      <x:c r="P40" s="41" t="n">
        <x:f>IF('Materials'!Z40="","",'Materials'!Z40)</x:f>
        <x:v>900</x:v>
      </x:c>
      <x:c r="Q40" s="41" t="n">
        <x:f>IF('Materials'!AA40="","",'Materials'!AA40)</x:f>
        <x:v>200</x:v>
      </x:c>
      <x:c r="R40" s="41" t="n">
        <x:f>IF('Materials'!AB40="","",'Materials'!AB40)</x:f>
        <x:v>110</x:v>
      </x:c>
      <x:c r="S40" s="41" t="n">
        <x:f>IF('Materials'!O40="","",'Materials'!O40)</x:f>
        <x:v>85.0877192982456</x:v>
      </x:c>
    </x:row>
    <x:row r="41">
      <x:c r="A41" s="42" t="n">
        <x:f>'Materials'!A41</x:f>
        <x:v>2104</x:v>
      </x:c>
      <x:c r="B41" s="41" t="n">
        <x:f>IF('Materials'!I41="","",'Materials'!I41)</x:f>
        <x:v>8860</x:v>
      </x:c>
      <x:c r="C41" s="41" t="n">
        <x:f>IF('Materials'!J41="","",'Materials'!J41)</x:f>
        <x:v>110</x:v>
      </x:c>
      <x:c r="D41" s="41" t="n">
        <x:f>IF('Materials'!N41="","",'Materials'!N41)</x:f>
        <x:v>41.04477611940298</x:v>
      </x:c>
      <x:c r="E41" s="41" t="n">
        <x:f>IF('Materials'!K41="","",'Materials'!K41)</x:f>
        <x:v>0.34</x:v>
      </x:c>
      <x:c r="F41" s="41" t="n">
        <x:f>IF('Materials'!P41="","",'Materials'!P41)</x:f>
        <x:v>380</x:v>
      </x:c>
      <x:c r="G41" s="41" t="n">
        <x:f>IF('Materials'!Q41="","",'Materials'!Q41)</x:f>
        <x:v>550</x:v>
      </x:c>
      <x:c r="H41" s="41" t="str">
        <x:f>IF('Materials'!R41="","",'Materials'!R41)</x:f>
      </x:c>
      <x:c r="I41" s="41" t="str">
        <x:f>IF('Materials'!S41="","",'Materials'!S41)</x:f>
      </x:c>
      <x:c r="J41" s="41" t="n">
        <x:f>IF('Materials'!T41="","",'Materials'!T41)</x:f>
        <x:v>0.12</x:v>
      </x:c>
      <x:c r="K41" s="41" t="n">
        <x:f>IF('Materials'!U41="","",'Materials'!U41)</x:f>
        <x:v>40</x:v>
      </x:c>
      <x:c r="L41" s="41" t="n">
        <x:f>IF('Materials'!V41="","",'Materials'!V41)</x:f>
        <x:v>63</x:v>
      </x:c>
      <x:c r="M41" s="41" t="n">
        <x:f>IF('Materials'!W41="","",'Materials'!W41)</x:f>
        <x:v>377</x:v>
      </x:c>
      <x:c r="N41" s="41" t="n">
        <x:f>IF('Materials'!X41="","",'Materials'!X41)</x:f>
        <x:v>17.8</x:v>
      </x:c>
      <x:c r="O41" s="43" t="n">
        <x:f>IF('Materials'!Y41="","",'Materials'!Y41)</x:f>
        <x:v>8.8e-8</x:v>
      </x:c>
      <x:c r="P41" s="41" t="n">
        <x:f>IF('Materials'!Z41="","",'Materials'!Z41)</x:f>
        <x:v>1000</x:v>
      </x:c>
      <x:c r="Q41" s="41" t="n">
        <x:f>IF('Materials'!AA41="","",'Materials'!AA41)</x:f>
        <x:v>250</x:v>
      </x:c>
      <x:c r="R41" s="41" t="n">
        <x:f>IF('Materials'!AB41="","",'Materials'!AB41)</x:f>
        <x:v>170</x:v>
      </x:c>
      <x:c r="S41" s="41" t="n">
        <x:f>IF('Materials'!O41="","",'Materials'!O41)</x:f>
        <x:v>114.58333333333336</x:v>
      </x:c>
    </x:row>
    <x:row r="42">
      <x:c r="A42" s="42" t="n">
        <x:f>'Materials'!A42</x:f>
        <x:v>2105</x:v>
      </x:c>
      <x:c r="B42" s="41" t="n">
        <x:f>IF('Materials'!I42="","",'Materials'!I42)</x:f>
        <x:v>8930</x:v>
      </x:c>
      <x:c r="C42" s="41" t="n">
        <x:f>IF('Materials'!J42="","",'Materials'!J42)</x:f>
        <x:v>103</x:v>
      </x:c>
      <x:c r="D42" s="41" t="n">
        <x:f>IF('Materials'!N42="","",'Materials'!N42)</x:f>
        <x:v>38.43283582089552</x:v>
      </x:c>
      <x:c r="E42" s="41" t="n">
        <x:f>IF('Materials'!K42="","",'Materials'!K42)</x:f>
        <x:v>0.34</x:v>
      </x:c>
      <x:c r="F42" s="41" t="n">
        <x:f>IF('Materials'!P42="","",'Materials'!P42)</x:f>
        <x:v>145</x:v>
      </x:c>
      <x:c r="G42" s="41" t="n">
        <x:f>IF('Materials'!Q42="","",'Materials'!Q42)</x:f>
        <x:v>240</x:v>
      </x:c>
      <x:c r="H42" s="41" t="str">
        <x:f>IF('Materials'!R42="","",'Materials'!R42)</x:f>
      </x:c>
      <x:c r="I42" s="41" t="str">
        <x:f>IF('Materials'!S42="","",'Materials'!S42)</x:f>
      </x:c>
      <x:c r="J42" s="41" t="n">
        <x:f>IF('Materials'!T42="","",'Materials'!T42)</x:f>
        <x:v>0.15</x:v>
      </x:c>
      <x:c r="K42" s="41" t="n">
        <x:f>IF('Materials'!U42="","",'Materials'!U42)</x:f>
        <x:v>25</x:v>
      </x:c>
      <x:c r="L42" s="41" t="n">
        <x:f>IF('Materials'!V42="","",'Materials'!V42)</x:f>
        <x:v>59</x:v>
      </x:c>
      <x:c r="M42" s="41" t="n">
        <x:f>IF('Materials'!W42="","",'Materials'!W42)</x:f>
        <x:v>380</x:v>
      </x:c>
      <x:c r="N42" s="41" t="n">
        <x:f>IF('Materials'!X42="","",'Materials'!X42)</x:f>
        <x:v>18</x:v>
      </x:c>
      <x:c r="O42" s="43" t="n">
        <x:f>IF('Materials'!Y42="","",'Materials'!Y42)</x:f>
        <x:v>1.3e-7</x:v>
      </x:c>
      <x:c r="P42" s="41" t="n">
        <x:f>IF('Materials'!Z42="","",'Materials'!Z42)</x:f>
        <x:v>900</x:v>
      </x:c>
      <x:c r="Q42" s="41" t="n">
        <x:f>IF('Materials'!AA42="","",'Materials'!AA42)</x:f>
        <x:v>260</x:v>
      </x:c>
      <x:c r="R42" s="41" t="n">
        <x:f>IF('Materials'!AB42="","",'Materials'!AB42)</x:f>
        <x:v>75</x:v>
      </x:c>
      <x:c r="S42" s="41" t="n">
        <x:f>IF('Materials'!O42="","",'Materials'!O42)</x:f>
        <x:v>107.29166666666669</x:v>
      </x:c>
    </x:row>
    <x:row r="43">
      <x:c r="A43" s="42" t="n">
        <x:f>'Materials'!A43</x:f>
        <x:v>2106</x:v>
      </x:c>
      <x:c r="B43" s="41" t="n">
        <x:f>IF('Materials'!I43="","",'Materials'!I43)</x:f>
        <x:v>8940</x:v>
      </x:c>
      <x:c r="C43" s="41" t="n">
        <x:f>IF('Materials'!J43="","",'Materials'!J43)</x:f>
        <x:v>150</x:v>
      </x:c>
      <x:c r="D43" s="41" t="n">
        <x:f>IF('Materials'!N43="","",'Materials'!N43)</x:f>
        <x:v>56.81818181818181</x:v>
      </x:c>
      <x:c r="E43" s="41" t="n">
        <x:f>IF('Materials'!K43="","",'Materials'!K43)</x:f>
        <x:v>0.32</x:v>
      </x:c>
      <x:c r="F43" s="41" t="n">
        <x:f>IF('Materials'!P43="","",'Materials'!P43)</x:f>
        <x:v>150</x:v>
      </x:c>
      <x:c r="G43" s="41" t="n">
        <x:f>IF('Materials'!Q43="","",'Materials'!Q43)</x:f>
        <x:v>372</x:v>
      </x:c>
      <x:c r="H43" s="41" t="str">
        <x:f>IF('Materials'!R43="","",'Materials'!R43)</x:f>
      </x:c>
      <x:c r="I43" s="41" t="str">
        <x:f>IF('Materials'!S43="","",'Materials'!S43)</x:f>
      </x:c>
      <x:c r="J43" s="41" t="n">
        <x:f>IF('Materials'!T43="","",'Materials'!T43)</x:f>
        <x:v>0.35</x:v>
      </x:c>
      <x:c r="K43" s="41" t="n">
        <x:f>IF('Materials'!U43="","",'Materials'!U43)</x:f>
        <x:v>90</x:v>
      </x:c>
      <x:c r="L43" s="41" t="n">
        <x:f>IF('Materials'!V43="","",'Materials'!V43)</x:f>
        <x:v>29</x:v>
      </x:c>
      <x:c r="M43" s="41" t="n">
        <x:f>IF('Materials'!W43="","",'Materials'!W43)</x:f>
        <x:v>377</x:v>
      </x:c>
      <x:c r="N43" s="41" t="n">
        <x:f>IF('Materials'!X43="","",'Materials'!X43)</x:f>
        <x:v>16.2</x:v>
      </x:c>
      <x:c r="O43" s="43" t="n">
        <x:f>IF('Materials'!Y43="","",'Materials'!Y43)</x:f>
        <x:v>3.7e-7</x:v>
      </x:c>
      <x:c r="P43" s="41" t="n">
        <x:f>IF('Materials'!Z43="","",'Materials'!Z43)</x:f>
        <x:v>1170</x:v>
      </x:c>
      <x:c r="Q43" s="41" t="n">
        <x:f>IF('Materials'!AA43="","",'Materials'!AA43)</x:f>
        <x:v>315</x:v>
      </x:c>
      <x:c r="R43" s="41" t="n">
        <x:f>IF('Materials'!AB43="","",'Materials'!AB43)</x:f>
        <x:v>100</x:v>
      </x:c>
      <x:c r="S43" s="41" t="n">
        <x:f>IF('Materials'!O43="","",'Materials'!O43)</x:f>
        <x:v>138.88888888888889</x:v>
      </x:c>
    </x:row>
    <x:row r="44">
      <x:c r="A44" s="42" t="n">
        <x:f>'Materials'!A44</x:f>
        <x:v>2201</x:v>
      </x:c>
      <x:c r="B44" s="41" t="n">
        <x:f>IF('Materials'!I44="","",'Materials'!I44)</x:f>
        <x:v>1770</x:v>
      </x:c>
      <x:c r="C44" s="41" t="n">
        <x:f>IF('Materials'!J44="","",'Materials'!J44)</x:f>
        <x:v>45</x:v>
      </x:c>
      <x:c r="D44" s="41" t="n">
        <x:f>IF('Materials'!N44="","",'Materials'!N44)</x:f>
        <x:v>16.666666666666664</x:v>
      </x:c>
      <x:c r="E44" s="41" t="n">
        <x:f>IF('Materials'!K44="","",'Materials'!K44)</x:f>
        <x:v>0.35</x:v>
      </x:c>
      <x:c r="F44" s="41" t="n">
        <x:f>IF('Materials'!P44="","",'Materials'!P44)</x:f>
        <x:v>220</x:v>
      </x:c>
      <x:c r="G44" s="41" t="n">
        <x:f>IF('Materials'!Q44="","",'Materials'!Q44)</x:f>
        <x:v>290</x:v>
      </x:c>
      <x:c r="H44" s="41" t="str">
        <x:f>IF('Materials'!R44="","",'Materials'!R44)</x:f>
      </x:c>
      <x:c r="I44" s="41" t="str">
        <x:f>IF('Materials'!S44="","",'Materials'!S44)</x:f>
      </x:c>
      <x:c r="J44" s="41" t="n">
        <x:f>IF('Materials'!T44="","",'Materials'!T44)</x:f>
        <x:v>0.15</x:v>
      </x:c>
      <x:c r="K44" s="41" t="n">
        <x:f>IF('Materials'!U44="","",'Materials'!U44)</x:f>
        <x:v>18</x:v>
      </x:c>
      <x:c r="L44" s="41" t="n">
        <x:f>IF('Materials'!V44="","",'Materials'!V44)</x:f>
        <x:v>96</x:v>
      </x:c>
      <x:c r="M44" s="41" t="n">
        <x:f>IF('Materials'!W44="","",'Materials'!W44)</x:f>
        <x:v>1040</x:v>
      </x:c>
      <x:c r="N44" s="41" t="n">
        <x:f>IF('Materials'!X44="","",'Materials'!X44)</x:f>
        <x:v>26</x:v>
      </x:c>
      <x:c r="O44" s="43" t="n">
        <x:f>IF('Materials'!Y44="","",'Materials'!Y44)</x:f>
        <x:v>9.2e-8</x:v>
      </x:c>
      <x:c r="P44" s="41" t="n">
        <x:f>IF('Materials'!Z44="","",'Materials'!Z44)</x:f>
        <x:v>630</x:v>
      </x:c>
      <x:c r="Q44" s="41" t="n">
        <x:f>IF('Materials'!AA44="","",'Materials'!AA44)</x:f>
        <x:v>120</x:v>
      </x:c>
      <x:c r="R44" s="41" t="n">
        <x:f>IF('Materials'!AB44="","",'Materials'!AB44)</x:f>
        <x:v>73</x:v>
      </x:c>
      <x:c r="S44" s="41" t="n">
        <x:f>IF('Materials'!O44="","",'Materials'!O44)</x:f>
        <x:v>49.99999999999999</x:v>
      </x:c>
    </x:row>
    <x:row r="45">
      <x:c r="A45" s="42" t="n">
        <x:f>'Materials'!A45</x:f>
        <x:v>2202</x:v>
      </x:c>
      <x:c r="B45" s="41" t="n">
        <x:f>IF('Materials'!I45="","",'Materials'!I45)</x:f>
        <x:v>1810</x:v>
      </x:c>
      <x:c r="C45" s="41" t="n">
        <x:f>IF('Materials'!J45="","",'Materials'!J45)</x:f>
        <x:v>45</x:v>
      </x:c>
      <x:c r="D45" s="41" t="n">
        <x:f>IF('Materials'!N45="","",'Materials'!N45)</x:f>
        <x:v>16.666666666666664</x:v>
      </x:c>
      <x:c r="E45" s="41" t="n">
        <x:f>IF('Materials'!K45="","",'Materials'!K45)</x:f>
        <x:v>0.35</x:v>
      </x:c>
      <x:c r="F45" s="41" t="n">
        <x:f>IF('Materials'!P45="","",'Materials'!P45)</x:f>
        <x:v>160</x:v>
      </x:c>
      <x:c r="G45" s="41" t="n">
        <x:f>IF('Materials'!Q45="","",'Materials'!Q45)</x:f>
        <x:v>230</x:v>
      </x:c>
      <x:c r="H45" s="41" t="str">
        <x:f>IF('Materials'!R45="","",'Materials'!R45)</x:f>
      </x:c>
      <x:c r="I45" s="41" t="str">
        <x:f>IF('Materials'!S45="","",'Materials'!S45)</x:f>
      </x:c>
      <x:c r="J45" s="41" t="n">
        <x:f>IF('Materials'!T45="","",'Materials'!T45)</x:f>
        <x:v>0.03</x:v>
      </x:c>
      <x:c r="K45" s="41" t="n">
        <x:f>IF('Materials'!U45="","",'Materials'!U45)</x:f>
        <x:v>12</x:v>
      </x:c>
      <x:c r="L45" s="41" t="n">
        <x:f>IF('Materials'!V45="","",'Materials'!V45)</x:f>
        <x:v>72</x:v>
      </x:c>
      <x:c r="M45" s="41" t="n">
        <x:f>IF('Materials'!W45="","",'Materials'!W45)</x:f>
        <x:v>1020</x:v>
      </x:c>
      <x:c r="N45" s="41" t="n">
        <x:f>IF('Materials'!X45="","",'Materials'!X45)</x:f>
        <x:v>26</x:v>
      </x:c>
      <x:c r="O45" s="43" t="n">
        <x:f>IF('Materials'!Y45="","",'Materials'!Y45)</x:f>
        <x:v>1.4e-7</x:v>
      </x:c>
      <x:c r="P45" s="41" t="n">
        <x:f>IF('Materials'!Z45="","",'Materials'!Z45)</x:f>
        <x:v>595</x:v>
      </x:c>
      <x:c r="Q45" s="41" t="n">
        <x:f>IF('Materials'!AA45="","",'Materials'!AA45)</x:f>
        <x:v>120</x:v>
      </x:c>
      <x:c r="R45" s="41" t="n">
        <x:f>IF('Materials'!AB45="","",'Materials'!AB45)</x:f>
        <x:v>75</x:v>
      </x:c>
      <x:c r="S45" s="41" t="n">
        <x:f>IF('Materials'!O45="","",'Materials'!O45)</x:f>
        <x:v>49.99999999999999</x:v>
      </x:c>
    </x:row>
    <x:row r="46">
      <x:c r="A46" s="42" t="n">
        <x:f>'Materials'!A46</x:f>
        <x:v>2301</x:v>
      </x:c>
      <x:c r="B46" s="41" t="n">
        <x:f>IF('Materials'!I46="","",'Materials'!I46)</x:f>
        <x:v>4510</x:v>
      </x:c>
      <x:c r="C46" s="41" t="n">
        <x:f>IF('Materials'!J46="","",'Materials'!J46)</x:f>
        <x:v>105</x:v>
      </x:c>
      <x:c r="D46" s="41" t="n">
        <x:f>IF('Materials'!N46="","",'Materials'!N46)</x:f>
        <x:v>39.179104477611936</x:v>
      </x:c>
      <x:c r="E46" s="41" t="n">
        <x:f>IF('Materials'!K46="","",'Materials'!K46)</x:f>
        <x:v>0.34</x:v>
      </x:c>
      <x:c r="F46" s="41" t="n">
        <x:f>IF('Materials'!P46="","",'Materials'!P46)</x:f>
        <x:v>275</x:v>
      </x:c>
      <x:c r="G46" s="41" t="n">
        <x:f>IF('Materials'!Q46="","",'Materials'!Q46)</x:f>
        <x:v>345</x:v>
      </x:c>
      <x:c r="H46" s="41" t="str">
        <x:f>IF('Materials'!R46="","",'Materials'!R46)</x:f>
      </x:c>
      <x:c r="I46" s="41" t="str">
        <x:f>IF('Materials'!S46="","",'Materials'!S46)</x:f>
      </x:c>
      <x:c r="J46" s="41" t="n">
        <x:f>IF('Materials'!T46="","",'Materials'!T46)</x:f>
        <x:v>0.2</x:v>
      </x:c>
      <x:c r="K46" s="41" t="n">
        <x:f>IF('Materials'!U46="","",'Materials'!U46)</x:f>
        <x:v>70</x:v>
      </x:c>
      <x:c r="L46" s="41" t="n">
        <x:f>IF('Materials'!V46="","",'Materials'!V46)</x:f>
        <x:v>16.4</x:v>
      </x:c>
      <x:c r="M46" s="41" t="n">
        <x:f>IF('Materials'!W46="","",'Materials'!W46)</x:f>
        <x:v>523</x:v>
      </x:c>
      <x:c r="N46" s="41" t="n">
        <x:f>IF('Materials'!X46="","",'Materials'!X46)</x:f>
        <x:v>8.6</x:v>
      </x:c>
      <x:c r="O46" s="43" t="n">
        <x:f>IF('Materials'!Y46="","",'Materials'!Y46)</x:f>
        <x:v>4.2e-7</x:v>
      </x:c>
      <x:c r="P46" s="41" t="n">
        <x:f>IF('Materials'!Z46="","",'Materials'!Z46)</x:f>
        <x:v>1665</x:v>
      </x:c>
      <x:c r="Q46" s="41" t="n">
        <x:f>IF('Materials'!AA46="","",'Materials'!AA46)</x:f>
        <x:v>540</x:v>
      </x:c>
      <x:c r="R46" s="41" t="n">
        <x:f>IF('Materials'!AB46="","",'Materials'!AB46)</x:f>
        <x:v>145</x:v>
      </x:c>
      <x:c r="S46" s="41" t="n">
        <x:f>IF('Materials'!O46="","",'Materials'!O46)</x:f>
        <x:v>109.37500000000001</x:v>
      </x:c>
    </x:row>
    <x:row r="47">
      <x:c r="A47" s="42" t="n">
        <x:f>'Materials'!A47</x:f>
        <x:v>2302</x:v>
      </x:c>
      <x:c r="B47" s="41" t="n">
        <x:f>IF('Materials'!I47="","",'Materials'!I47)</x:f>
        <x:v>4430</x:v>
      </x:c>
      <x:c r="C47" s="41" t="n">
        <x:f>IF('Materials'!J47="","",'Materials'!J47)</x:f>
        <x:v>114</x:v>
      </x:c>
      <x:c r="D47" s="41" t="n">
        <x:f>IF('Materials'!N47="","",'Materials'!N47)</x:f>
        <x:v>42.537313432835816</x:v>
      </x:c>
      <x:c r="E47" s="41" t="n">
        <x:f>IF('Materials'!K47="","",'Materials'!K47)</x:f>
        <x:v>0.34</x:v>
      </x:c>
      <x:c r="F47" s="41" t="n">
        <x:f>IF('Materials'!P47="","",'Materials'!P47)</x:f>
        <x:v>880</x:v>
      </x:c>
      <x:c r="G47" s="41" t="n">
        <x:f>IF('Materials'!Q47="","",'Materials'!Q47)</x:f>
        <x:v>950</x:v>
      </x:c>
      <x:c r="H47" s="41" t="str">
        <x:f>IF('Materials'!R47="","",'Materials'!R47)</x:f>
      </x:c>
      <x:c r="I47" s="41" t="str">
        <x:f>IF('Materials'!S47="","",'Materials'!S47)</x:f>
      </x:c>
      <x:c r="J47" s="41" t="n">
        <x:f>IF('Materials'!T47="","",'Materials'!T47)</x:f>
        <x:v>0.14</x:v>
      </x:c>
      <x:c r="K47" s="41" t="n">
        <x:f>IF('Materials'!U47="","",'Materials'!U47)</x:f>
        <x:v>75</x:v>
      </x:c>
      <x:c r="L47" s="41" t="n">
        <x:f>IF('Materials'!V47="","",'Materials'!V47)</x:f>
        <x:v>6.7</x:v>
      </x:c>
      <x:c r="M47" s="41" t="n">
        <x:f>IF('Materials'!W47="","",'Materials'!W47)</x:f>
        <x:v>526</x:v>
      </x:c>
      <x:c r="N47" s="41" t="n">
        <x:f>IF('Materials'!X47="","",'Materials'!X47)</x:f>
        <x:v>8.6</x:v>
      </x:c>
      <x:c r="O47" s="43" t="n">
        <x:f>IF('Materials'!Y47="","",'Materials'!Y47)</x:f>
        <x:v>0.00000178</x:v>
      </x:c>
      <x:c r="P47" s="41" t="n">
        <x:f>IF('Materials'!Z47="","",'Materials'!Z47)</x:f>
        <x:v>1604</x:v>
      </x:c>
      <x:c r="Q47" s="41" t="n">
        <x:f>IF('Materials'!AA47="","",'Materials'!AA47)</x:f>
        <x:v>400</x:v>
      </x:c>
      <x:c r="R47" s="41" t="n">
        <x:f>IF('Materials'!AB47="","",'Materials'!AB47)</x:f>
        <x:v>349</x:v>
      </x:c>
      <x:c r="S47" s="41" t="n">
        <x:f>IF('Materials'!O47="","",'Materials'!O47)</x:f>
        <x:v>118.75000000000001</x:v>
      </x:c>
    </x:row>
    <x:row r="48">
      <x:c r="A48" s="42" t="n">
        <x:f>'Materials'!A48</x:f>
        <x:v>2401</x:v>
      </x:c>
      <x:c r="B48" s="41" t="n">
        <x:f>IF('Materials'!I48="","",'Materials'!I48)</x:f>
        <x:v>8890</x:v>
      </x:c>
      <x:c r="C48" s="41" t="n">
        <x:f>IF('Materials'!J48="","",'Materials'!J48)</x:f>
        <x:v>207</x:v>
      </x:c>
      <x:c r="D48" s="41" t="n">
        <x:f>IF('Materials'!N48="","",'Materials'!N48)</x:f>
        <x:v>79.00763358778626</x:v>
      </x:c>
      <x:c r="E48" s="41" t="n">
        <x:f>IF('Materials'!K48="","",'Materials'!K48)</x:f>
        <x:v>0.31</x:v>
      </x:c>
      <x:c r="F48" s="41" t="n">
        <x:f>IF('Materials'!P48="","",'Materials'!P48)</x:f>
        <x:v>100</x:v>
      </x:c>
      <x:c r="G48" s="41" t="n">
        <x:f>IF('Materials'!Q48="","",'Materials'!Q48)</x:f>
        <x:v>380</x:v>
      </x:c>
      <x:c r="H48" s="41" t="str">
        <x:f>IF('Materials'!R48="","",'Materials'!R48)</x:f>
      </x:c>
      <x:c r="I48" s="41" t="str">
        <x:f>IF('Materials'!S48="","",'Materials'!S48)</x:f>
      </x:c>
      <x:c r="J48" s="41" t="n">
        <x:f>IF('Materials'!T48="","",'Materials'!T48)</x:f>
        <x:v>0.45</x:v>
      </x:c>
      <x:c r="K48" s="41" t="n">
        <x:f>IF('Materials'!U48="","",'Materials'!U48)</x:f>
        <x:v>150</x:v>
      </x:c>
      <x:c r="L48" s="41" t="n">
        <x:f>IF('Materials'!V48="","",'Materials'!V48)</x:f>
        <x:v>90.9</x:v>
      </x:c>
      <x:c r="M48" s="41" t="n">
        <x:f>IF('Materials'!W48="","",'Materials'!W48)</x:f>
        <x:v>456</x:v>
      </x:c>
      <x:c r="N48" s="41" t="n">
        <x:f>IF('Materials'!X48="","",'Materials'!X48)</x:f>
        <x:v>13.3</x:v>
      </x:c>
      <x:c r="O48" s="43" t="n">
        <x:f>IF('Materials'!Y48="","",'Materials'!Y48)</x:f>
        <x:v>9.6e-8</x:v>
      </x:c>
      <x:c r="P48" s="41" t="n">
        <x:f>IF('Materials'!Z48="","",'Materials'!Z48)</x:f>
        <x:v>1455</x:v>
      </x:c>
      <x:c r="Q48" s="41" t="n">
        <x:f>IF('Materials'!AA48="","",'Materials'!AA48)</x:f>
        <x:v>600</x:v>
      </x:c>
      <x:c r="R48" s="41" t="n">
        <x:f>IF('Materials'!AB48="","",'Materials'!AB48)</x:f>
        <x:v>100</x:v>
      </x:c>
      <x:c r="S48" s="41" t="n">
        <x:f>IF('Materials'!O48="","",'Materials'!O48)</x:f>
        <x:v>181.57894736842104</x:v>
      </x:c>
    </x:row>
    <x:row r="49">
      <x:c r="A49" s="42" t="n">
        <x:f>'Materials'!A49</x:f>
        <x:v>2402</x:v>
      </x:c>
      <x:c r="B49" s="41" t="n">
        <x:f>IF('Materials'!I49="","",'Materials'!I49)</x:f>
        <x:v>8800</x:v>
      </x:c>
      <x:c r="C49" s="41" t="n">
        <x:f>IF('Materials'!J49="","",'Materials'!J49)</x:f>
        <x:v>179</x:v>
      </x:c>
      <x:c r="D49" s="41" t="n">
        <x:f>IF('Materials'!N49="","",'Materials'!N49)</x:f>
        <x:v>67.8030303030303</x:v>
      </x:c>
      <x:c r="E49" s="41" t="n">
        <x:f>IF('Materials'!K49="","",'Materials'!K49)</x:f>
        <x:v>0.32</x:v>
      </x:c>
      <x:c r="F49" s="41" t="n">
        <x:f>IF('Materials'!P49="","",'Materials'!P49)</x:f>
        <x:v>240</x:v>
      </x:c>
      <x:c r="G49" s="41" t="n">
        <x:f>IF('Materials'!Q49="","",'Materials'!Q49)</x:f>
        <x:v>550</x:v>
      </x:c>
      <x:c r="H49" s="41" t="str">
        <x:f>IF('Materials'!R49="","",'Materials'!R49)</x:f>
      </x:c>
      <x:c r="I49" s="41" t="str">
        <x:f>IF('Materials'!S49="","",'Materials'!S49)</x:f>
      </x:c>
      <x:c r="J49" s="41" t="n">
        <x:f>IF('Materials'!T49="","",'Materials'!T49)</x:f>
        <x:v>0.35</x:v>
      </x:c>
      <x:c r="K49" s="41" t="n">
        <x:f>IF('Materials'!U49="","",'Materials'!U49)</x:f>
        <x:v>150</x:v>
      </x:c>
      <x:c r="L49" s="41" t="n">
        <x:f>IF('Materials'!V49="","",'Materials'!V49)</x:f>
        <x:v>21.8</x:v>
      </x:c>
      <x:c r="M49" s="41" t="n">
        <x:f>IF('Materials'!W49="","",'Materials'!W49)</x:f>
        <x:v>427</x:v>
      </x:c>
      <x:c r="N49" s="41" t="n">
        <x:f>IF('Materials'!X49="","",'Materials'!X49)</x:f>
        <x:v>13.9</x:v>
      </x:c>
      <x:c r="O49" s="43" t="n">
        <x:f>IF('Materials'!Y49="","",'Materials'!Y49)</x:f>
        <x:v>5.1e-7</x:v>
      </x:c>
      <x:c r="P49" s="41" t="n">
        <x:f>IF('Materials'!Z49="","",'Materials'!Z49)</x:f>
        <x:v>1345</x:v>
      </x:c>
      <x:c r="Q49" s="41" t="n">
        <x:f>IF('Materials'!AA49="","",'Materials'!AA49)</x:f>
        <x:v>480</x:v>
      </x:c>
      <x:c r="R49" s="41" t="n">
        <x:f>IF('Materials'!AB49="","",'Materials'!AB49)</x:f>
        <x:v>135</x:v>
      </x:c>
      <x:c r="S49" s="41" t="n">
        <x:f>IF('Materials'!O49="","",'Materials'!O49)</x:f>
        <x:v>165.74074074074073</x:v>
      </x:c>
    </x:row>
    <x:row r="50">
      <x:c r="A50" s="42" t="n">
        <x:f>'Materials'!A50</x:f>
        <x:v>2403</x:v>
      </x:c>
      <x:c r="B50" s="41" t="n">
        <x:f>IF('Materials'!I50="","",'Materials'!I50)</x:f>
        <x:v>8440</x:v>
      </x:c>
      <x:c r="C50" s="41" t="n">
        <x:f>IF('Materials'!J50="","",'Materials'!J50)</x:f>
        <x:v>208</x:v>
      </x:c>
      <x:c r="D50" s="41" t="n">
        <x:f>IF('Materials'!N50="","",'Materials'!N50)</x:f>
        <x:v>80</x:v>
      </x:c>
      <x:c r="E50" s="41" t="n">
        <x:f>IF('Materials'!K50="","",'Materials'!K50)</x:f>
        <x:v>0.3</x:v>
      </x:c>
      <x:c r="F50" s="41" t="n">
        <x:f>IF('Materials'!P50="","",'Materials'!P50)</x:f>
        <x:v>460</x:v>
      </x:c>
      <x:c r="G50" s="41" t="n">
        <x:f>IF('Materials'!Q50="","",'Materials'!Q50)</x:f>
        <x:v>930</x:v>
      </x:c>
      <x:c r="H50" s="41" t="str">
        <x:f>IF('Materials'!R50="","",'Materials'!R50)</x:f>
      </x:c>
      <x:c r="I50" s="41" t="str">
        <x:f>IF('Materials'!S50="","",'Materials'!S50)</x:f>
      </x:c>
      <x:c r="J50" s="41" t="n">
        <x:f>IF('Materials'!T50="","",'Materials'!T50)</x:f>
        <x:v>0.5</x:v>
      </x:c>
      <x:c r="K50" s="41" t="n">
        <x:f>IF('Materials'!U50="","",'Materials'!U50)</x:f>
        <x:v>120</x:v>
      </x:c>
      <x:c r="L50" s="41" t="n">
        <x:f>IF('Materials'!V50="","",'Materials'!V50)</x:f>
        <x:v>9.8</x:v>
      </x:c>
      <x:c r="M50" s="41" t="n">
        <x:f>IF('Materials'!W50="","",'Materials'!W50)</x:f>
        <x:v>410</x:v>
      </x:c>
      <x:c r="N50" s="41" t="n">
        <x:f>IF('Materials'!X50="","",'Materials'!X50)</x:f>
        <x:v>12.8</x:v>
      </x:c>
      <x:c r="O50" s="43" t="n">
        <x:f>IF('Materials'!Y50="","",'Materials'!Y50)</x:f>
        <x:v>0.00000129</x:v>
      </x:c>
      <x:c r="P50" s="41" t="n">
        <x:f>IF('Materials'!Z50="","",'Materials'!Z50)</x:f>
        <x:v>1335</x:v>
      </x:c>
      <x:c r="Q50" s="41" t="n">
        <x:f>IF('Materials'!AA50="","",'Materials'!AA50)</x:f>
        <x:v>980</x:v>
      </x:c>
      <x:c r="R50" s="41" t="n">
        <x:f>IF('Materials'!AB50="","",'Materials'!AB50)</x:f>
        <x:v>260</x:v>
      </x:c>
      <x:c r="S50" s="41" t="n">
        <x:f>IF('Materials'!O50="","",'Materials'!O50)</x:f>
        <x:v>173.33333333333331</x:v>
      </x:c>
    </x:row>
    <x:row r="51">
      <x:c r="A51" s="42" t="n">
        <x:f>'Materials'!A51</x:f>
        <x:v>2404</x:v>
      </x:c>
      <x:c r="B51" s="41" t="n">
        <x:f>IF('Materials'!I51="","",'Materials'!I51)</x:f>
        <x:v>8190</x:v>
      </x:c>
      <x:c r="C51" s="41" t="n">
        <x:f>IF('Materials'!J51="","",'Materials'!J51)</x:f>
        <x:v>200</x:v>
      </x:c>
      <x:c r="D51" s="41" t="n">
        <x:f>IF('Materials'!N51="","",'Materials'!N51)</x:f>
        <x:v>77.51937984496124</x:v>
      </x:c>
      <x:c r="E51" s="41" t="n">
        <x:f>IF('Materials'!K51="","",'Materials'!K51)</x:f>
        <x:v>0.29</x:v>
      </x:c>
      <x:c r="F51" s="41" t="n">
        <x:f>IF('Materials'!P51="","",'Materials'!P51)</x:f>
        <x:v>1035</x:v>
      </x:c>
      <x:c r="G51" s="41" t="n">
        <x:f>IF('Materials'!Q51="","",'Materials'!Q51)</x:f>
        <x:v>1240</x:v>
      </x:c>
      <x:c r="H51" s="41" t="str">
        <x:f>IF('Materials'!R51="","",'Materials'!R51)</x:f>
      </x:c>
      <x:c r="I51" s="41" t="str">
        <x:f>IF('Materials'!S51="","",'Materials'!S51)</x:f>
      </x:c>
      <x:c r="J51" s="41" t="n">
        <x:f>IF('Materials'!T51="","",'Materials'!T51)</x:f>
        <x:v>0.12</x:v>
      </x:c>
      <x:c r="K51" s="41" t="n">
        <x:f>IF('Materials'!U51="","",'Materials'!U51)</x:f>
        <x:v>85</x:v>
      </x:c>
      <x:c r="L51" s="41" t="n">
        <x:f>IF('Materials'!V51="","",'Materials'!V51)</x:f>
        <x:v>11.4</x:v>
      </x:c>
      <x:c r="M51" s="41" t="n">
        <x:f>IF('Materials'!W51="","",'Materials'!W51)</x:f>
        <x:v>435</x:v>
      </x:c>
      <x:c r="N51" s="41" t="n">
        <x:f>IF('Materials'!X51="","",'Materials'!X51)</x:f>
        <x:v>13</x:v>
      </x:c>
      <x:c r="O51" s="43" t="n">
        <x:f>IF('Materials'!Y51="","",'Materials'!Y51)</x:f>
        <x:v>0.00000125</x:v>
      </x:c>
      <x:c r="P51" s="41" t="n">
        <x:f>IF('Materials'!Z51="","",'Materials'!Z51)</x:f>
        <x:v>1300</x:v>
      </x:c>
      <x:c r="Q51" s="41" t="n">
        <x:f>IF('Materials'!AA51="","",'Materials'!AA51)</x:f>
        <x:v>650</x:v>
      </x:c>
      <x:c r="R51" s="41" t="n">
        <x:f>IF('Materials'!AB51="","",'Materials'!AB51)</x:f>
        <x:v>400</x:v>
      </x:c>
      <x:c r="S51" s="41" t="n">
        <x:f>IF('Materials'!O51="","",'Materials'!O51)</x:f>
        <x:v>158.7301587301587</x:v>
      </x:c>
    </x:row>
    <x:row r="52">
      <x:c r="A52" s="42" t="n">
        <x:f>'Materials'!A52</x:f>
        <x:v>2405</x:v>
      </x:c>
      <x:c r="B52" s="41" t="n">
        <x:f>IF('Materials'!I52="","",'Materials'!I52)</x:f>
        <x:v>8890</x:v>
      </x:c>
      <x:c r="C52" s="41" t="n">
        <x:f>IF('Materials'!J52="","",'Materials'!J52)</x:f>
        <x:v>205</x:v>
      </x:c>
      <x:c r="D52" s="41" t="n">
        <x:f>IF('Materials'!N52="","",'Materials'!N52)</x:f>
        <x:v>78.2442748091603</x:v>
      </x:c>
      <x:c r="E52" s="41" t="n">
        <x:f>IF('Materials'!K52="","",'Materials'!K52)</x:f>
        <x:v>0.31</x:v>
      </x:c>
      <x:c r="F52" s="41" t="n">
        <x:f>IF('Materials'!P52="","",'Materials'!P52)</x:f>
        <x:v>355</x:v>
      </x:c>
      <x:c r="G52" s="41" t="n">
        <x:f>IF('Materials'!Q52="","",'Materials'!Q52)</x:f>
        <x:v>790</x:v>
      </x:c>
      <x:c r="H52" s="41" t="str">
        <x:f>IF('Materials'!R52="","",'Materials'!R52)</x:f>
      </x:c>
      <x:c r="I52" s="41" t="str">
        <x:f>IF('Materials'!S52="","",'Materials'!S52)</x:f>
      </x:c>
      <x:c r="J52" s="41" t="n">
        <x:f>IF('Materials'!T52="","",'Materials'!T52)</x:f>
        <x:v>0.4</x:v>
      </x:c>
      <x:c r="K52" s="41" t="n">
        <x:f>IF('Materials'!U52="","",'Materials'!U52)</x:f>
        <x:v>120</x:v>
      </x:c>
      <x:c r="L52" s="41" t="n">
        <x:f>IF('Materials'!V52="","",'Materials'!V52)</x:f>
        <x:v>10.2</x:v>
      </x:c>
      <x:c r="M52" s="41" t="n">
        <x:f>IF('Materials'!W52="","",'Materials'!W52)</x:f>
        <x:v>427</x:v>
      </x:c>
      <x:c r="N52" s="41" t="n">
        <x:f>IF('Materials'!X52="","",'Materials'!X52)</x:f>
        <x:v>11.2</x:v>
      </x:c>
      <x:c r="O52" s="43" t="n">
        <x:f>IF('Materials'!Y52="","",'Materials'!Y52)</x:f>
        <x:v>0.0000013</x:v>
      </x:c>
      <x:c r="P52" s="41" t="n">
        <x:f>IF('Materials'!Z52="","",'Materials'!Z52)</x:f>
        <x:v>1325</x:v>
      </x:c>
      <x:c r="Q52" s="41" t="n">
        <x:f>IF('Materials'!AA52="","",'Materials'!AA52)</x:f>
        <x:v>540</x:v>
      </x:c>
      <x:c r="R52" s="41" t="n">
        <x:f>IF('Materials'!AB52="","",'Materials'!AB52)</x:f>
        <x:v>230</x:v>
      </x:c>
      <x:c r="S52" s="41" t="n">
        <x:f>IF('Materials'!O52="","",'Materials'!O52)</x:f>
        <x:v>179.82456140350874</x:v>
      </x:c>
    </x:row>
    <x:row r="53">
      <x:c r="A53" s="42" t="n">
        <x:f>'Materials'!A53</x:f>
        <x:v>2501</x:v>
      </x:c>
      <x:c r="B53" s="41" t="n">
        <x:f>IF('Materials'!I53="","",'Materials'!I53)</x:f>
        <x:v>6600</x:v>
      </x:c>
      <x:c r="C53" s="41" t="n">
        <x:f>IF('Materials'!J53="","",'Materials'!J53)</x:f>
        <x:v>86</x:v>
      </x:c>
      <x:c r="D53" s="41" t="n">
        <x:f>IF('Materials'!N53="","",'Materials'!N53)</x:f>
        <x:v>33.85826771653543</x:v>
      </x:c>
      <x:c r="E53" s="41" t="n">
        <x:f>IF('Materials'!K53="","",'Materials'!K53)</x:f>
        <x:v>0.27</x:v>
      </x:c>
      <x:c r="F53" s="41" t="n">
        <x:f>IF('Materials'!P53="","",'Materials'!P53)</x:f>
        <x:v>210</x:v>
      </x:c>
      <x:c r="G53" s="41" t="n">
        <x:f>IF('Materials'!Q53="","",'Materials'!Q53)</x:f>
        <x:v>283</x:v>
      </x:c>
      <x:c r="H53" s="41" t="str">
        <x:f>IF('Materials'!R53="","",'Materials'!R53)</x:f>
      </x:c>
      <x:c r="I53" s="41" t="str">
        <x:f>IF('Materials'!S53="","",'Materials'!S53)</x:f>
      </x:c>
      <x:c r="J53" s="41" t="n">
        <x:f>IF('Materials'!T53="","",'Materials'!T53)</x:f>
        <x:v>0.1</x:v>
      </x:c>
      <x:c r="K53" s="41" t="n">
        <x:f>IF('Materials'!U53="","",'Materials'!U53)</x:f>
        <x:v>18</x:v>
      </x:c>
      <x:c r="L53" s="41" t="n">
        <x:f>IF('Materials'!V53="","",'Materials'!V53)</x:f>
        <x:v>113</x:v>
      </x:c>
      <x:c r="M53" s="41" t="n">
        <x:f>IF('Materials'!W53="","",'Materials'!W53)</x:f>
        <x:v>420</x:v>
      </x:c>
      <x:c r="N53" s="41" t="n">
        <x:f>IF('Materials'!X53="","",'Materials'!X53)</x:f>
        <x:v>27.4</x:v>
      </x:c>
      <x:c r="O53" s="43" t="n">
        <x:f>IF('Materials'!Y53="","",'Materials'!Y53)</x:f>
        <x:v>6.4e-8</x:v>
      </x:c>
      <x:c r="P53" s="41" t="n">
        <x:f>IF('Materials'!Z53="","",'Materials'!Z53)</x:f>
        <x:v>385</x:v>
      </x:c>
      <x:c r="Q53" s="41" t="n">
        <x:f>IF('Materials'!AA53="","",'Materials'!AA53)</x:f>
        <x:v>95</x:v>
      </x:c>
      <x:c r="R53" s="41" t="n">
        <x:f>IF('Materials'!AB53="","",'Materials'!AB53)</x:f>
        <x:v>82</x:v>
      </x:c>
      <x:c r="S53" s="41" t="n">
        <x:f>IF('Materials'!O53="","",'Materials'!O53)</x:f>
        <x:v>62.31884057971015</x:v>
      </x:c>
    </x:row>
    <x:row r="54">
      <x:c r="A54" s="42" t="n">
        <x:f>'Materials'!A54</x:f>
        <x:v>2502</x:v>
      </x:c>
      <x:c r="B54" s="41" t="n">
        <x:f>IF('Materials'!I54="","",'Materials'!I54)</x:f>
        <x:v>11340</x:v>
      </x:c>
      <x:c r="C54" s="41" t="n">
        <x:f>IF('Materials'!J54="","",'Materials'!J54)</x:f>
        <x:v>16</x:v>
      </x:c>
      <x:c r="D54" s="41" t="n">
        <x:f>IF('Materials'!N54="","",'Materials'!N54)</x:f>
        <x:v>5.555555555555555</x:v>
      </x:c>
      <x:c r="E54" s="41" t="n">
        <x:f>IF('Materials'!K54="","",'Materials'!K54)</x:f>
        <x:v>0.44</x:v>
      </x:c>
      <x:c r="F54" s="41" t="n">
        <x:f>IF('Materials'!P54="","",'Materials'!P54)</x:f>
        <x:v>12</x:v>
      </x:c>
      <x:c r="G54" s="41" t="n">
        <x:f>IF('Materials'!Q54="","",'Materials'!Q54)</x:f>
        <x:v>18</x:v>
      </x:c>
      <x:c r="H54" s="41" t="str">
        <x:f>IF('Materials'!R54="","",'Materials'!R54)</x:f>
      </x:c>
      <x:c r="I54" s="41" t="str">
        <x:f>IF('Materials'!S54="","",'Materials'!S54)</x:f>
      </x:c>
      <x:c r="J54" s="41" t="n">
        <x:f>IF('Materials'!T54="","",'Materials'!T54)</x:f>
        <x:v>0.5</x:v>
      </x:c>
      <x:c r="K54" s="41" t="n">
        <x:f>IF('Materials'!U54="","",'Materials'!U54)</x:f>
        <x:v>8</x:v>
      </x:c>
      <x:c r="L54" s="41" t="n">
        <x:f>IF('Materials'!V54="","",'Materials'!V54)</x:f>
        <x:v>35</x:v>
      </x:c>
      <x:c r="M54" s="41" t="n">
        <x:f>IF('Materials'!W54="","",'Materials'!W54)</x:f>
        <x:v>128</x:v>
      </x:c>
      <x:c r="N54" s="41" t="n">
        <x:f>IF('Materials'!X54="","",'Materials'!X54)</x:f>
        <x:v>28.9</x:v>
      </x:c>
      <x:c r="O54" s="43" t="n">
        <x:f>IF('Materials'!Y54="","",'Materials'!Y54)</x:f>
        <x:v>2.08e-7</x:v>
      </x:c>
      <x:c r="P54" s="41" t="n">
        <x:f>IF('Materials'!Z54="","",'Materials'!Z54)</x:f>
        <x:v>327</x:v>
      </x:c>
      <x:c r="Q54" s="41" t="n">
        <x:f>IF('Materials'!AA54="","",'Materials'!AA54)</x:f>
        <x:v>100</x:v>
      </x:c>
      <x:c r="R54" s="41" t="n">
        <x:f>IF('Materials'!AB54="","",'Materials'!AB54)</x:f>
        <x:v>5</x:v>
      </x:c>
      <x:c r="S54" s="41" t="n">
        <x:f>IF('Materials'!O54="","",'Materials'!O54)</x:f>
        <x:v>44.44444444444444</x:v>
      </x:c>
    </x:row>
    <x:row r="55">
      <x:c r="A55" s="42" t="n">
        <x:f>'Materials'!A55</x:f>
        <x:v>2503</x:v>
      </x:c>
      <x:c r="B55" s="41" t="n">
        <x:f>IF('Materials'!I55="","",'Materials'!I55)</x:f>
        <x:v>7310</x:v>
      </x:c>
      <x:c r="C55" s="41" t="n">
        <x:f>IF('Materials'!J55="","",'Materials'!J55)</x:f>
        <x:v>50</x:v>
      </x:c>
      <x:c r="D55" s="41" t="n">
        <x:f>IF('Materials'!N55="","",'Materials'!N55)</x:f>
        <x:v>18.38235294117647</x:v>
      </x:c>
      <x:c r="E55" s="41" t="n">
        <x:f>IF('Materials'!K55="","",'Materials'!K55)</x:f>
        <x:v>0.36</x:v>
      </x:c>
      <x:c r="F55" s="41" t="n">
        <x:f>IF('Materials'!P55="","",'Materials'!P55)</x:f>
        <x:v>11</x:v>
      </x:c>
      <x:c r="G55" s="41" t="n">
        <x:f>IF('Materials'!Q55="","",'Materials'!Q55)</x:f>
        <x:v>20</x:v>
      </x:c>
      <x:c r="H55" s="41" t="str">
        <x:f>IF('Materials'!R55="","",'Materials'!R55)</x:f>
      </x:c>
      <x:c r="I55" s="41" t="str">
        <x:f>IF('Materials'!S55="","",'Materials'!S55)</x:f>
      </x:c>
      <x:c r="J55" s="41" t="n">
        <x:f>IF('Materials'!T55="","",'Materials'!T55)</x:f>
        <x:v>0.4</x:v>
      </x:c>
      <x:c r="K55" s="41" t="n">
        <x:f>IF('Materials'!U55="","",'Materials'!U55)</x:f>
        <x:v>15</x:v>
      </x:c>
      <x:c r="L55" s="41" t="n">
        <x:f>IF('Materials'!V55="","",'Materials'!V55)</x:f>
        <x:v>67</x:v>
      </x:c>
      <x:c r="M55" s="41" t="n">
        <x:f>IF('Materials'!W55="","",'Materials'!W55)</x:f>
        <x:v>230</x:v>
      </x:c>
      <x:c r="N55" s="41" t="n">
        <x:f>IF('Materials'!X55="","",'Materials'!X55)</x:f>
        <x:v>22</x:v>
      </x:c>
      <x:c r="O55" s="43" t="n">
        <x:f>IF('Materials'!Y55="","",'Materials'!Y55)</x:f>
        <x:v>1.15e-7</x:v>
      </x:c>
      <x:c r="P55" s="41" t="n">
        <x:f>IF('Materials'!Z55="","",'Materials'!Z55)</x:f>
        <x:v>232</x:v>
      </x:c>
      <x:c r="Q55" s="41" t="n">
        <x:f>IF('Materials'!AA55="","",'Materials'!AA55)</x:f>
        <x:v>100</x:v>
      </x:c>
      <x:c r="R55" s="41" t="n">
        <x:f>IF('Materials'!AB55="","",'Materials'!AB55)</x:f>
        <x:v>9</x:v>
      </x:c>
      <x:c r="S55" s="41" t="n">
        <x:f>IF('Materials'!O55="","",'Materials'!O55)</x:f>
        <x:v>59.52380952380952</x:v>
      </x:c>
    </x:row>
    <x:row r="56">
      <x:c r="A56" s="42" t="n">
        <x:f>'Materials'!A56</x:f>
        <x:v>3001</x:v>
      </x:c>
      <x:c r="B56" s="41" t="n">
        <x:f>IF('Materials'!I56="","",'Materials'!I56)</x:f>
        <x:v>1040</x:v>
      </x:c>
      <x:c r="C56" s="41" t="n">
        <x:f>IF('Materials'!J56="","",'Materials'!J56)</x:f>
        <x:v>2.1</x:v>
      </x:c>
      <x:c r="D56" s="41" t="n">
        <x:f>IF('Materials'!N56="","",'Materials'!N56)</x:f>
        <x:v>0.7777777777777778</x:v>
      </x:c>
      <x:c r="E56" s="41" t="n">
        <x:f>IF('Materials'!K56="","",'Materials'!K56)</x:f>
        <x:v>0.35</x:v>
      </x:c>
      <x:c r="F56" s="41" t="n">
        <x:f>IF('Materials'!P56="","",'Materials'!P56)</x:f>
        <x:v>42</x:v>
      </x:c>
      <x:c r="G56" s="41" t="n">
        <x:f>IF('Materials'!Q56="","",'Materials'!Q56)</x:f>
        <x:v>45</x:v>
      </x:c>
      <x:c r="H56" s="41" t="n">
        <x:f>IF('Materials'!R56="","",'Materials'!R56)</x:f>
        <x:v>65</x:v>
      </x:c>
      <x:c r="I56" s="41" t="n">
        <x:f>IF('Materials'!S56="","",'Materials'!S56)</x:f>
        <x:v>70</x:v>
      </x:c>
      <x:c r="J56" s="41" t="n">
        <x:f>IF('Materials'!T56="","",'Materials'!T56)</x:f>
        <x:v>0.2</x:v>
      </x:c>
      <x:c r="K56" s="41" t="n">
        <x:f>IF('Materials'!U56="","",'Materials'!U56)</x:f>
        <x:v>3</x:v>
      </x:c>
      <x:c r="L56" s="41" t="n">
        <x:f>IF('Materials'!V56="","",'Materials'!V56)</x:f>
        <x:v>0.18</x:v>
      </x:c>
      <x:c r="M56" s="41" t="n">
        <x:f>IF('Materials'!W56="","",'Materials'!W56)</x:f>
        <x:v>1300</x:v>
      </x:c>
      <x:c r="N56" s="41" t="n">
        <x:f>IF('Materials'!X56="","",'Materials'!X56)</x:f>
        <x:v>90</x:v>
      </x:c>
      <x:c r="O56" s="43" t="n">
        <x:f>IF('Materials'!Y56="","",'Materials'!Y56)</x:f>
        <x:v>100000000000000</x:v>
      </x:c>
      <x:c r="P56" s="41" t="n">
        <x:f>IF('Materials'!Z56="","",'Materials'!Z56)</x:f>
        <x:v>105</x:v>
      </x:c>
      <x:c r="Q56" s="41" t="n">
        <x:f>IF('Materials'!AA56="","",'Materials'!AA56)</x:f>
        <x:v>80</x:v>
      </x:c>
      <x:c r="R56" s="41" t="str">
        <x:f>IF('Materials'!AB56="","",'Materials'!AB56)</x:f>
      </x:c>
      <x:c r="S56" s="41" t="n">
        <x:f>IF('Materials'!O56="","",'Materials'!O56)</x:f>
        <x:v>2.333333333333333</x:v>
      </x:c>
    </x:row>
    <x:row r="57">
      <x:c r="A57" s="42" t="n">
        <x:f>'Materials'!A57</x:f>
        <x:v>3002</x:v>
      </x:c>
      <x:c r="B57" s="41" t="n">
        <x:f>IF('Materials'!I57="","",'Materials'!I57)</x:f>
        <x:v>1240</x:v>
      </x:c>
      <x:c r="C57" s="41" t="n">
        <x:f>IF('Materials'!J57="","",'Materials'!J57)</x:f>
        <x:v>3.5</x:v>
      </x:c>
      <x:c r="D57" s="41" t="n">
        <x:f>IF('Materials'!N57="","",'Materials'!N57)</x:f>
        <x:v>1.286764705882353</x:v>
      </x:c>
      <x:c r="E57" s="41" t="n">
        <x:f>IF('Materials'!K57="","",'Materials'!K57)</x:f>
        <x:v>0.36</x:v>
      </x:c>
      <x:c r="F57" s="41" t="n">
        <x:f>IF('Materials'!P57="","",'Materials'!P57)</x:f>
        <x:v>60</x:v>
      </x:c>
      <x:c r="G57" s="41" t="n">
        <x:f>IF('Materials'!Q57="","",'Materials'!Q57)</x:f>
        <x:v>60</x:v>
      </x:c>
      <x:c r="H57" s="41" t="n">
        <x:f>IF('Materials'!R57="","",'Materials'!R57)</x:f>
        <x:v>80</x:v>
      </x:c>
      <x:c r="I57" s="41" t="n">
        <x:f>IF('Materials'!S57="","",'Materials'!S57)</x:f>
        <x:v>95</x:v>
      </x:c>
      <x:c r="J57" s="41" t="n">
        <x:f>IF('Materials'!T57="","",'Materials'!T57)</x:f>
        <x:v>0.06</x:v>
      </x:c>
      <x:c r="K57" s="41" t="n">
        <x:f>IF('Materials'!U57="","",'Materials'!U57)</x:f>
        <x:v>2.5</x:v>
      </x:c>
      <x:c r="L57" s="41" t="n">
        <x:f>IF('Materials'!V57="","",'Materials'!V57)</x:f>
        <x:v>0.13</x:v>
      </x:c>
      <x:c r="M57" s="41" t="n">
        <x:f>IF('Materials'!W57="","",'Materials'!W57)</x:f>
        <x:v>1800</x:v>
      </x:c>
      <x:c r="N57" s="41" t="n">
        <x:f>IF('Materials'!X57="","",'Materials'!X57)</x:f>
        <x:v>68</x:v>
      </x:c>
      <x:c r="O57" s="43" t="n">
        <x:f>IF('Materials'!Y57="","",'Materials'!Y57)</x:f>
        <x:v>100000000000000</x:v>
      </x:c>
      <x:c r="P57" s="41" t="n">
        <x:f>IF('Materials'!Z57="","",'Materials'!Z57)</x:f>
        <x:v>160</x:v>
      </x:c>
      <x:c r="Q57" s="41" t="n">
        <x:f>IF('Materials'!AA57="","",'Materials'!AA57)</x:f>
        <x:v>50</x:v>
      </x:c>
      <x:c r="R57" s="41" t="str">
        <x:f>IF('Materials'!AB57="","",'Materials'!AB57)</x:f>
      </x:c>
      <x:c r="S57" s="41" t="n">
        <x:f>IF('Materials'!O57="","",'Materials'!O57)</x:f>
        <x:v>4.166666666666666</x:v>
      </x:c>
    </x:row>
    <x:row r="58">
      <x:c r="A58" s="42" t="n">
        <x:f>'Materials'!A58</x:f>
        <x:v>3003</x:v>
      </x:c>
      <x:c r="B58" s="41" t="n">
        <x:f>IF('Materials'!I58="","",'Materials'!I58)</x:f>
        <x:v>1040</x:v>
      </x:c>
      <x:c r="C58" s="41" t="n">
        <x:f>IF('Materials'!J58="","",'Materials'!J58)</x:f>
        <x:v>2</x:v>
      </x:c>
      <x:c r="D58" s="41" t="n">
        <x:f>IF('Materials'!N58="","",'Materials'!N58)</x:f>
        <x:v>0.7462686567164178</x:v>
      </x:c>
      <x:c r="E58" s="41" t="n">
        <x:f>IF('Materials'!K58="","",'Materials'!K58)</x:f>
        <x:v>0.34</x:v>
      </x:c>
      <x:c r="F58" s="41" t="n">
        <x:f>IF('Materials'!P58="","",'Materials'!P58)</x:f>
        <x:v>25</x:v>
      </x:c>
      <x:c r="G58" s="41" t="n">
        <x:f>IF('Materials'!Q58="","",'Materials'!Q58)</x:f>
        <x:v>32</x:v>
      </x:c>
      <x:c r="H58" s="41" t="n">
        <x:f>IF('Materials'!R58="","",'Materials'!R58)</x:f>
        <x:v>55</x:v>
      </x:c>
      <x:c r="I58" s="41" t="n">
        <x:f>IF('Materials'!S58="","",'Materials'!S58)</x:f>
        <x:v>45</x:v>
      </x:c>
      <x:c r="J58" s="41" t="n">
        <x:f>IF('Materials'!T58="","",'Materials'!T58)</x:f>
        <x:v>0.4</x:v>
      </x:c>
      <x:c r="K58" s="41" t="n">
        <x:f>IF('Materials'!U58="","",'Materials'!U58)</x:f>
        <x:v>2.5</x:v>
      </x:c>
      <x:c r="L58" s="41" t="n">
        <x:f>IF('Materials'!V58="","",'Materials'!V58)</x:f>
        <x:v>0.17</x:v>
      </x:c>
      <x:c r="M58" s="41" t="n">
        <x:f>IF('Materials'!W58="","",'Materials'!W58)</x:f>
        <x:v>1300</x:v>
      </x:c>
      <x:c r="N58" s="41" t="n">
        <x:f>IF('Materials'!X58="","",'Materials'!X58)</x:f>
        <x:v>80</x:v>
      </x:c>
      <x:c r="O58" s="43" t="n">
        <x:f>IF('Materials'!Y58="","",'Materials'!Y58)</x:f>
        <x:v>100000000000000</x:v>
      </x:c>
      <x:c r="P58" s="41" t="n">
        <x:f>IF('Materials'!Z58="","",'Materials'!Z58)</x:f>
        <x:v>95</x:v>
      </x:c>
      <x:c r="Q58" s="41" t="n">
        <x:f>IF('Materials'!AA58="","",'Materials'!AA58)</x:f>
        <x:v>75</x:v>
      </x:c>
      <x:c r="R58" s="41" t="str">
        <x:f>IF('Materials'!AB58="","",'Materials'!AB58)</x:f>
      </x:c>
      <x:c r="S58" s="41" t="n">
        <x:f>IF('Materials'!O58="","",'Materials'!O58)</x:f>
        <x:v>2.0833333333333335</x:v>
      </x:c>
    </x:row>
    <x:row r="59">
      <x:c r="A59" s="42" t="n">
        <x:f>'Materials'!A59</x:f>
        <x:v>3004</x:v>
      </x:c>
      <x:c r="B59" s="41" t="n">
        <x:f>IF('Materials'!I59="","",'Materials'!I59)</x:f>
        <x:v>950</x:v>
      </x:c>
      <x:c r="C59" s="41" t="n">
        <x:f>IF('Materials'!J59="","",'Materials'!J59)</x:f>
        <x:v>1</x:v>
      </x:c>
      <x:c r="D59" s="41" t="n">
        <x:f>IF('Materials'!N59="","",'Materials'!N59)</x:f>
        <x:v>0.3424657534246575</x:v>
      </x:c>
      <x:c r="E59" s="41" t="n">
        <x:f>IF('Materials'!K59="","",'Materials'!K59)</x:f>
        <x:v>0.46</x:v>
      </x:c>
      <x:c r="F59" s="41" t="n">
        <x:f>IF('Materials'!P59="","",'Materials'!P59)</x:f>
        <x:v>26</x:v>
      </x:c>
      <x:c r="G59" s="41" t="n">
        <x:f>IF('Materials'!Q59="","",'Materials'!Q59)</x:f>
        <x:v>32</x:v>
      </x:c>
      <x:c r="H59" s="41" t="n">
        <x:f>IF('Materials'!R59="","",'Materials'!R59)</x:f>
        <x:v>22</x:v>
      </x:c>
      <x:c r="I59" s="41" t="n">
        <x:f>IF('Materials'!S59="","",'Materials'!S59)</x:f>
        <x:v>30</x:v>
      </x:c>
      <x:c r="J59" s="41" t="n">
        <x:f>IF('Materials'!T59="","",'Materials'!T59)</x:f>
        <x:v>6</x:v>
      </x:c>
      <x:c r="K59" s="41" t="n">
        <x:f>IF('Materials'!U59="","",'Materials'!U59)</x:f>
        <x:v>3</x:v>
      </x:c>
      <x:c r="L59" s="41" t="n">
        <x:f>IF('Materials'!V59="","",'Materials'!V59)</x:f>
        <x:v>0.5</x:v>
      </x:c>
      <x:c r="M59" s="41" t="n">
        <x:f>IF('Materials'!W59="","",'Materials'!W59)</x:f>
        <x:v>1900</x:v>
      </x:c>
      <x:c r="N59" s="41" t="n">
        <x:f>IF('Materials'!X59="","",'Materials'!X59)</x:f>
        <x:v>120</x:v>
      </x:c>
      <x:c r="O59" s="43" t="n">
        <x:f>IF('Materials'!Y59="","",'Materials'!Y59)</x:f>
        <x:v>10000000000000000</x:v>
      </x:c>
      <x:c r="P59" s="41" t="n">
        <x:f>IF('Materials'!Z59="","",'Materials'!Z59)</x:f>
        <x:v>130</x:v>
      </x:c>
      <x:c r="Q59" s="41" t="n">
        <x:f>IF('Materials'!AA59="","",'Materials'!AA59)</x:f>
        <x:v>80</x:v>
      </x:c>
      <x:c r="R59" s="41" t="str">
        <x:f>IF('Materials'!AB59="","",'Materials'!AB59)</x:f>
      </x:c>
      <x:c r="S59" s="41" t="n">
        <x:f>IF('Materials'!O59="","",'Materials'!O59)</x:f>
        <x:v>4.166666666666669</x:v>
      </x:c>
    </x:row>
    <x:row r="60">
      <x:c r="A60" s="42" t="n">
        <x:f>'Materials'!A60</x:f>
        <x:v>3005</x:v>
      </x:c>
      <x:c r="B60" s="41" t="n">
        <x:f>IF('Materials'!I60="","",'Materials'!I60)</x:f>
        <x:v>920</x:v>
      </x:c>
      <x:c r="C60" s="41" t="n">
        <x:f>IF('Materials'!J60="","",'Materials'!J60)</x:f>
        <x:v>0.25</x:v>
      </x:c>
      <x:c r="D60" s="41" t="n">
        <x:f>IF('Materials'!N60="","",'Materials'!N60)</x:f>
        <x:v>0.08561643835616438</x:v>
      </x:c>
      <x:c r="E60" s="41" t="n">
        <x:f>IF('Materials'!K60="","",'Materials'!K60)</x:f>
        <x:v>0.46</x:v>
      </x:c>
      <x:c r="F60" s="41" t="n">
        <x:f>IF('Materials'!P60="","",'Materials'!P60)</x:f>
        <x:v>10</x:v>
      </x:c>
      <x:c r="G60" s="41" t="n">
        <x:f>IF('Materials'!Q60="","",'Materials'!Q60)</x:f>
        <x:v>15</x:v>
      </x:c>
      <x:c r="H60" s="41" t="n">
        <x:f>IF('Materials'!R60="","",'Materials'!R60)</x:f>
        <x:v>12</x:v>
      </x:c>
      <x:c r="I60" s="41" t="n">
        <x:f>IF('Materials'!S60="","",'Materials'!S60)</x:f>
        <x:v>10</x:v>
      </x:c>
      <x:c r="J60" s="41" t="n">
        <x:f>IF('Materials'!T60="","",'Materials'!T60)</x:f>
        <x:v>5</x:v>
      </x:c>
      <x:c r="K60" s="41" t="n">
        <x:f>IF('Materials'!U60="","",'Materials'!U60)</x:f>
        <x:v>2</x:v>
      </x:c>
      <x:c r="L60" s="41" t="n">
        <x:f>IF('Materials'!V60="","",'Materials'!V60)</x:f>
        <x:v>0.33</x:v>
      </x:c>
      <x:c r="M60" s="41" t="n">
        <x:f>IF('Materials'!W60="","",'Materials'!W60)</x:f>
        <x:v>2300</x:v>
      </x:c>
      <x:c r="N60" s="41" t="n">
        <x:f>IF('Materials'!X60="","",'Materials'!X60)</x:f>
        <x:v>180</x:v>
      </x:c>
      <x:c r="O60" s="43" t="n">
        <x:f>IF('Materials'!Y60="","",'Materials'!Y60)</x:f>
        <x:v>10000000000000000</x:v>
      </x:c>
      <x:c r="P60" s="41" t="n">
        <x:f>IF('Materials'!Z60="","",'Materials'!Z60)</x:f>
        <x:v>110</x:v>
      </x:c>
      <x:c r="Q60" s="41" t="n">
        <x:f>IF('Materials'!AA60="","",'Materials'!AA60)</x:f>
        <x:v>65</x:v>
      </x:c>
      <x:c r="R60" s="41" t="str">
        <x:f>IF('Materials'!AB60="","",'Materials'!AB60)</x:f>
      </x:c>
      <x:c r="S60" s="41" t="n">
        <x:f>IF('Materials'!O60="","",'Materials'!O60)</x:f>
        <x:v>1.0416666666666672</x:v>
      </x:c>
    </x:row>
    <x:row r="61">
      <x:c r="A61" s="42" t="n">
        <x:f>'Materials'!A61</x:f>
        <x:v>3006</x:v>
      </x:c>
      <x:c r="B61" s="41" t="n">
        <x:f>IF('Materials'!I61="","",'Materials'!I61)</x:f>
        <x:v>940</x:v>
      </x:c>
      <x:c r="C61" s="41" t="n">
        <x:f>IF('Materials'!J61="","",'Materials'!J61)</x:f>
        <x:v>0.8</x:v>
      </x:c>
      <x:c r="D61" s="41" t="n">
        <x:f>IF('Materials'!N61="","",'Materials'!N61)</x:f>
        <x:v>0.27397260273972607</x:v>
      </x:c>
      <x:c r="E61" s="41" t="n">
        <x:f>IF('Materials'!K61="","",'Materials'!K61)</x:f>
        <x:v>0.46</x:v>
      </x:c>
      <x:c r="F61" s="41" t="n">
        <x:f>IF('Materials'!P61="","",'Materials'!P61)</x:f>
        <x:v>21</x:v>
      </x:c>
      <x:c r="G61" s="41" t="n">
        <x:f>IF('Materials'!Q61="","",'Materials'!Q61)</x:f>
        <x:v>40</x:v>
      </x:c>
      <x:c r="H61" s="41" t="n">
        <x:f>IF('Materials'!R61="","",'Materials'!R61)</x:f>
        <x:v>20</x:v>
      </x:c>
      <x:c r="I61" s="41" t="n">
        <x:f>IF('Materials'!S61="","",'Materials'!S61)</x:f>
        <x:v>25</x:v>
      </x:c>
      <x:c r="J61" s="41" t="n">
        <x:f>IF('Materials'!T61="","",'Materials'!T61)</x:f>
        <x:v>3</x:v>
      </x:c>
      <x:c r="K61" s="41" t="n">
        <x:f>IF('Materials'!U61="","",'Materials'!U61)</x:f>
        <x:v>4</x:v>
      </x:c>
      <x:c r="L61" s="41" t="n">
        <x:f>IF('Materials'!V61="","",'Materials'!V61)</x:f>
        <x:v>0.42</x:v>
      </x:c>
      <x:c r="M61" s="41" t="n">
        <x:f>IF('Materials'!W61="","",'Materials'!W61)</x:f>
        <x:v>1900</x:v>
      </x:c>
      <x:c r="N61" s="41" t="n">
        <x:f>IF('Materials'!X61="","",'Materials'!X61)</x:f>
        <x:v>150</x:v>
      </x:c>
      <x:c r="O61" s="43" t="n">
        <x:f>IF('Materials'!Y61="","",'Materials'!Y61)</x:f>
        <x:v>10000000000000000</x:v>
      </x:c>
      <x:c r="P61" s="41" t="n">
        <x:f>IF('Materials'!Z61="","",'Materials'!Z61)</x:f>
        <x:v>135</x:v>
      </x:c>
      <x:c r="Q61" s="41" t="n">
        <x:f>IF('Materials'!AA61="","",'Materials'!AA61)</x:f>
        <x:v>80</x:v>
      </x:c>
      <x:c r="R61" s="41" t="str">
        <x:f>IF('Materials'!AB61="","",'Materials'!AB61)</x:f>
      </x:c>
      <x:c r="S61" s="41" t="n">
        <x:f>IF('Materials'!O61="","",'Materials'!O61)</x:f>
        <x:v>3.3333333333333353</x:v>
      </x:c>
    </x:row>
    <x:row r="62">
      <x:c r="A62" s="42" t="n">
        <x:f>'Materials'!A62</x:f>
        <x:v>3007</x:v>
      </x:c>
      <x:c r="B62" s="41" t="n">
        <x:f>IF('Materials'!I62="","",'Materials'!I62)</x:f>
        <x:v>905</x:v>
      </x:c>
      <x:c r="C62" s="41" t="n">
        <x:f>IF('Materials'!J62="","",'Materials'!J62)</x:f>
        <x:v>1.5</x:v>
      </x:c>
      <x:c r="D62" s="41" t="n">
        <x:f>IF('Materials'!N62="","",'Materials'!N62)</x:f>
        <x:v>0.5281690140845071</x:v>
      </x:c>
      <x:c r="E62" s="41" t="n">
        <x:f>IF('Materials'!K62="","",'Materials'!K62)</x:f>
        <x:v>0.42</x:v>
      </x:c>
      <x:c r="F62" s="41" t="n">
        <x:f>IF('Materials'!P62="","",'Materials'!P62)</x:f>
        <x:v>35</x:v>
      </x:c>
      <x:c r="G62" s="41" t="n">
        <x:f>IF('Materials'!Q62="","",'Materials'!Q62)</x:f>
        <x:v>38</x:v>
      </x:c>
      <x:c r="H62" s="41" t="n">
        <x:f>IF('Materials'!R62="","",'Materials'!R62)</x:f>
        <x:v>50</x:v>
      </x:c>
      <x:c r="I62" s="41" t="n">
        <x:f>IF('Materials'!S62="","",'Materials'!S62)</x:f>
        <x:v>50</x:v>
      </x:c>
      <x:c r="J62" s="41" t="n">
        <x:f>IF('Materials'!T62="","",'Materials'!T62)</x:f>
        <x:v>2</x:v>
      </x:c>
      <x:c r="K62" s="41" t="n">
        <x:f>IF('Materials'!U62="","",'Materials'!U62)</x:f>
        <x:v>3</x:v>
      </x:c>
      <x:c r="L62" s="41" t="n">
        <x:f>IF('Materials'!V62="","",'Materials'!V62)</x:f>
        <x:v>0.22</x:v>
      </x:c>
      <x:c r="M62" s="41" t="n">
        <x:f>IF('Materials'!W62="","",'Materials'!W62)</x:f>
        <x:v>1900</x:v>
      </x:c>
      <x:c r="N62" s="41" t="n">
        <x:f>IF('Materials'!X62="","",'Materials'!X62)</x:f>
        <x:v>100</x:v>
      </x:c>
      <x:c r="O62" s="43" t="n">
        <x:f>IF('Materials'!Y62="","",'Materials'!Y62)</x:f>
        <x:v>1000000000000000</x:v>
      </x:c>
      <x:c r="P62" s="41" t="n">
        <x:f>IF('Materials'!Z62="","",'Materials'!Z62)</x:f>
        <x:v>165</x:v>
      </x:c>
      <x:c r="Q62" s="41" t="n">
        <x:f>IF('Materials'!AA62="","",'Materials'!AA62)</x:f>
        <x:v>100</x:v>
      </x:c>
      <x:c r="R62" s="41" t="str">
        <x:f>IF('Materials'!AB62="","",'Materials'!AB62)</x:f>
      </x:c>
      <x:c r="S62" s="41" t="n">
        <x:f>IF('Materials'!O62="","",'Materials'!O62)</x:f>
        <x:v>3.1249999999999996</x:v>
      </x:c>
    </x:row>
    <x:row r="63">
      <x:c r="A63" s="42" t="n">
        <x:f>'Materials'!A63</x:f>
        <x:v>3008</x:v>
      </x:c>
      <x:c r="B63" s="41" t="n">
        <x:f>IF('Materials'!I63="","",'Materials'!I63)</x:f>
        <x:v>1400</x:v>
      </x:c>
      <x:c r="C63" s="41" t="n">
        <x:f>IF('Materials'!J63="","",'Materials'!J63)</x:f>
        <x:v>3</x:v>
      </x:c>
      <x:c r="D63" s="41" t="n">
        <x:f>IF('Materials'!N63="","",'Materials'!N63)</x:f>
        <x:v>1.0869565217391306</x:v>
      </x:c>
      <x:c r="E63" s="41" t="n">
        <x:f>IF('Materials'!K63="","",'Materials'!K63)</x:f>
        <x:v>0.38</x:v>
      </x:c>
      <x:c r="F63" s="41" t="n">
        <x:f>IF('Materials'!P63="","",'Materials'!P63)</x:f>
        <x:v>50</x:v>
      </x:c>
      <x:c r="G63" s="41" t="n">
        <x:f>IF('Materials'!Q63="","",'Materials'!Q63)</x:f>
        <x:v>55</x:v>
      </x:c>
      <x:c r="H63" s="41" t="n">
        <x:f>IF('Materials'!R63="","",'Materials'!R63)</x:f>
        <x:v>70</x:v>
      </x:c>
      <x:c r="I63" s="41" t="n">
        <x:f>IF('Materials'!S63="","",'Materials'!S63)</x:f>
        <x:v>80</x:v>
      </x:c>
      <x:c r="J63" s="41" t="n">
        <x:f>IF('Materials'!T63="","",'Materials'!T63)</x:f>
        <x:v>0.4</x:v>
      </x:c>
      <x:c r="K63" s="41" t="n">
        <x:f>IF('Materials'!U63="","",'Materials'!U63)</x:f>
        <x:v>2.5</x:v>
      </x:c>
      <x:c r="L63" s="41" t="n">
        <x:f>IF('Materials'!V63="","",'Materials'!V63)</x:f>
        <x:v>0.19</x:v>
      </x:c>
      <x:c r="M63" s="41" t="n">
        <x:f>IF('Materials'!W63="","",'Materials'!W63)</x:f>
        <x:v>900</x:v>
      </x:c>
      <x:c r="N63" s="41" t="n">
        <x:f>IF('Materials'!X63="","",'Materials'!X63)</x:f>
        <x:v>55</x:v>
      </x:c>
      <x:c r="O63" s="43" t="n">
        <x:f>IF('Materials'!Y63="","",'Materials'!Y63)</x:f>
        <x:v>10000000000000</x:v>
      </x:c>
      <x:c r="P63" s="41" t="n">
        <x:f>IF('Materials'!Z63="","",'Materials'!Z63)</x:f>
        <x:v>82</x:v>
      </x:c>
      <x:c r="Q63" s="41" t="n">
        <x:f>IF('Materials'!AA63="","",'Materials'!AA63)</x:f>
        <x:v>60</x:v>
      </x:c>
      <x:c r="R63" s="41" t="str">
        <x:f>IF('Materials'!AB63="","",'Materials'!AB63)</x:f>
      </x:c>
      <x:c r="S63" s="41" t="n">
        <x:f>IF('Materials'!O63="","",'Materials'!O63)</x:f>
        <x:v>4.166666666666667</x:v>
      </x:c>
    </x:row>
    <x:row r="64">
      <x:c r="A64" s="42" t="n">
        <x:f>'Materials'!A64</x:f>
        <x:v>3009</x:v>
      </x:c>
      <x:c r="B64" s="41" t="n">
        <x:f>IF('Materials'!I64="","",'Materials'!I64)</x:f>
        <x:v>1550</x:v>
      </x:c>
      <x:c r="C64" s="41" t="n">
        <x:f>IF('Materials'!J64="","",'Materials'!J64)</x:f>
        <x:v>2.8</x:v>
      </x:c>
      <x:c r="D64" s="41" t="n">
        <x:f>IF('Materials'!N64="","",'Materials'!N64)</x:f>
        <x:v>1.0144927536231885</x:v>
      </x:c>
      <x:c r="E64" s="41" t="n">
        <x:f>IF('Materials'!K64="","",'Materials'!K64)</x:f>
        <x:v>0.38</x:v>
      </x:c>
      <x:c r="F64" s="41" t="n">
        <x:f>IF('Materials'!P64="","",'Materials'!P64)</x:f>
        <x:v>55</x:v>
      </x:c>
      <x:c r="G64" s="41" t="n">
        <x:f>IF('Materials'!Q64="","",'Materials'!Q64)</x:f>
        <x:v>60</x:v>
      </x:c>
      <x:c r="H64" s="41" t="n">
        <x:f>IF('Materials'!R64="","",'Materials'!R64)</x:f>
        <x:v>80</x:v>
      </x:c>
      <x:c r="I64" s="41" t="n">
        <x:f>IF('Materials'!S64="","",'Materials'!S64)</x:f>
        <x:v>90</x:v>
      </x:c>
      <x:c r="J64" s="41" t="n">
        <x:f>IF('Materials'!T64="","",'Materials'!T64)</x:f>
        <x:v>0.3</x:v>
      </x:c>
      <x:c r="K64" s="41" t="n">
        <x:f>IF('Materials'!U64="","",'Materials'!U64)</x:f>
        <x:v>2.5</x:v>
      </x:c>
      <x:c r="L64" s="41" t="n">
        <x:f>IF('Materials'!V64="","",'Materials'!V64)</x:f>
        <x:v>0.14</x:v>
      </x:c>
      <x:c r="M64" s="41" t="n">
        <x:f>IF('Materials'!W64="","",'Materials'!W64)</x:f>
        <x:v>1000</x:v>
      </x:c>
      <x:c r="N64" s="41" t="n">
        <x:f>IF('Materials'!X64="","",'Materials'!X64)</x:f>
        <x:v>65</x:v>
      </x:c>
      <x:c r="O64" s="43" t="n">
        <x:f>IF('Materials'!Y64="","",'Materials'!Y64)</x:f>
        <x:v>10000000000000</x:v>
      </x:c>
      <x:c r="P64" s="41" t="n">
        <x:f>IF('Materials'!Z64="","",'Materials'!Z64)</x:f>
        <x:v>110</x:v>
      </x:c>
      <x:c r="Q64" s="41" t="n">
        <x:f>IF('Materials'!AA64="","",'Materials'!AA64)</x:f>
        <x:v>95</x:v>
      </x:c>
      <x:c r="R64" s="41" t="str">
        <x:f>IF('Materials'!AB64="","",'Materials'!AB64)</x:f>
      </x:c>
      <x:c r="S64" s="41" t="n">
        <x:f>IF('Materials'!O64="","",'Materials'!O64)</x:f>
        <x:v>3.888888888888889</x:v>
      </x:c>
    </x:row>
    <x:row r="65">
      <x:c r="A65" s="42" t="n">
        <x:f>'Materials'!A65</x:f>
        <x:v>3010</x:v>
      </x:c>
      <x:c r="B65" s="41" t="n">
        <x:f>IF('Materials'!I65="","",'Materials'!I65)</x:f>
        <x:v>1380</x:v>
      </x:c>
      <x:c r="C65" s="41" t="n">
        <x:f>IF('Materials'!J65="","",'Materials'!J65)</x:f>
        <x:v>2.8</x:v>
      </x:c>
      <x:c r="D65" s="41" t="n">
        <x:f>IF('Materials'!N65="","",'Materials'!N65)</x:f>
        <x:v>1.0144927536231885</x:v>
      </x:c>
      <x:c r="E65" s="41" t="n">
        <x:f>IF('Materials'!K65="","",'Materials'!K65)</x:f>
        <x:v>0.38</x:v>
      </x:c>
      <x:c r="F65" s="41" t="n">
        <x:f>IF('Materials'!P65="","",'Materials'!P65)</x:f>
        <x:v>55</x:v>
      </x:c>
      <x:c r="G65" s="41" t="n">
        <x:f>IF('Materials'!Q65="","",'Materials'!Q65)</x:f>
        <x:v>65</x:v>
      </x:c>
      <x:c r="H65" s="41" t="n">
        <x:f>IF('Materials'!R65="","",'Materials'!R65)</x:f>
        <x:v>80</x:v>
      </x:c>
      <x:c r="I65" s="41" t="n">
        <x:f>IF('Materials'!S65="","",'Materials'!S65)</x:f>
        <x:v>90</x:v>
      </x:c>
      <x:c r="J65" s="41" t="n">
        <x:f>IF('Materials'!T65="","",'Materials'!T65)</x:f>
        <x:v>0.7</x:v>
      </x:c>
      <x:c r="K65" s="41" t="n">
        <x:f>IF('Materials'!U65="","",'Materials'!U65)</x:f>
        <x:v>4</x:v>
      </x:c>
      <x:c r="L65" s="41" t="n">
        <x:f>IF('Materials'!V65="","",'Materials'!V65)</x:f>
        <x:v>0.24</x:v>
      </x:c>
      <x:c r="M65" s="41" t="n">
        <x:f>IF('Materials'!W65="","",'Materials'!W65)</x:f>
        <x:v>1200</x:v>
      </x:c>
      <x:c r="N65" s="41" t="n">
        <x:f>IF('Materials'!X65="","",'Materials'!X65)</x:f>
        <x:v>65</x:v>
      </x:c>
      <x:c r="O65" s="43" t="n">
        <x:f>IF('Materials'!Y65="","",'Materials'!Y65)</x:f>
        <x:v>100000000000000</x:v>
      </x:c>
      <x:c r="P65" s="41" t="n">
        <x:f>IF('Materials'!Z65="","",'Materials'!Z65)</x:f>
        <x:v>250</x:v>
      </x:c>
      <x:c r="Q65" s="41" t="n">
        <x:f>IF('Materials'!AA65="","",'Materials'!AA65)</x:f>
        <x:v>120</x:v>
      </x:c>
      <x:c r="R65" s="41" t="str">
        <x:f>IF('Materials'!AB65="","",'Materials'!AB65)</x:f>
      </x:c>
      <x:c r="S65" s="41" t="n">
        <x:f>IF('Materials'!O65="","",'Materials'!O65)</x:f>
        <x:v>3.888888888888889</x:v>
      </x:c>
    </x:row>
    <x:row r="66">
      <x:c r="A66" s="42" t="n">
        <x:f>'Materials'!A66</x:f>
        <x:v>3011</x:v>
      </x:c>
      <x:c r="B66" s="41" t="n">
        <x:f>IF('Materials'!I66="","",'Materials'!I66)</x:f>
        <x:v>1270</x:v>
      </x:c>
      <x:c r="C66" s="41" t="n">
        <x:f>IF('Materials'!J66="","",'Materials'!J66)</x:f>
        <x:v>2.1</x:v>
      </x:c>
      <x:c r="D66" s="41" t="n">
        <x:f>IF('Materials'!N66="","",'Materials'!N66)</x:f>
        <x:v>0.7608695652173914</x:v>
      </x:c>
      <x:c r="E66" s="41" t="n">
        <x:f>IF('Materials'!K66="","",'Materials'!K66)</x:f>
        <x:v>0.38</x:v>
      </x:c>
      <x:c r="F66" s="41" t="n">
        <x:f>IF('Materials'!P66="","",'Materials'!P66)</x:f>
        <x:v>50</x:v>
      </x:c>
      <x:c r="G66" s="41" t="n">
        <x:f>IF('Materials'!Q66="","",'Materials'!Q66)</x:f>
        <x:v>53</x:v>
      </x:c>
      <x:c r="H66" s="41" t="n">
        <x:f>IF('Materials'!R66="","",'Materials'!R66)</x:f>
        <x:v>70</x:v>
      </x:c>
      <x:c r="I66" s="41" t="n">
        <x:f>IF('Materials'!S66="","",'Materials'!S66)</x:f>
        <x:v>70</x:v>
      </x:c>
      <x:c r="J66" s="41" t="n">
        <x:f>IF('Materials'!T66="","",'Materials'!T66)</x:f>
        <x:v>0.25</x:v>
      </x:c>
      <x:c r="K66" s="41" t="n">
        <x:f>IF('Materials'!U66="","",'Materials'!U66)</x:f>
        <x:v>3.5</x:v>
      </x:c>
      <x:c r="L66" s="41" t="n">
        <x:f>IF('Materials'!V66="","",'Materials'!V66)</x:f>
        <x:v>0.2</x:v>
      </x:c>
      <x:c r="M66" s="41" t="n">
        <x:f>IF('Materials'!W66="","",'Materials'!W66)</x:f>
        <x:v>1200</x:v>
      </x:c>
      <x:c r="N66" s="41" t="n">
        <x:f>IF('Materials'!X66="","",'Materials'!X66)</x:f>
        <x:v>68</x:v>
      </x:c>
      <x:c r="O66" s="43" t="n">
        <x:f>IF('Materials'!Y66="","",'Materials'!Y66)</x:f>
        <x:v>100000000000000</x:v>
      </x:c>
      <x:c r="P66" s="41" t="n">
        <x:f>IF('Materials'!Z66="","",'Materials'!Z66)</x:f>
        <x:v>80</x:v>
      </x:c>
      <x:c r="Q66" s="41" t="n">
        <x:f>IF('Materials'!AA66="","",'Materials'!AA66)</x:f>
        <x:v>70</x:v>
      </x:c>
      <x:c r="R66" s="41" t="str">
        <x:f>IF('Materials'!AB66="","",'Materials'!AB66)</x:f>
      </x:c>
      <x:c r="S66" s="41" t="n">
        <x:f>IF('Materials'!O66="","",'Materials'!O66)</x:f>
        <x:v>2.916666666666667</x:v>
      </x:c>
    </x:row>
    <x:row r="67">
      <x:c r="A67" s="42" t="n">
        <x:f>'Materials'!A67</x:f>
        <x:v>3012</x:v>
      </x:c>
      <x:c r="B67" s="41" t="n">
        <x:f>IF('Materials'!I67="","",'Materials'!I67)</x:f>
        <x:v>1130</x:v>
      </x:c>
      <x:c r="C67" s="41" t="n">
        <x:f>IF('Materials'!J67="","",'Materials'!J67)</x:f>
        <x:v>2.8</x:v>
      </x:c>
      <x:c r="D67" s="41" t="n">
        <x:f>IF('Materials'!N67="","",'Materials'!N67)</x:f>
        <x:v>1.0071942446043165</x:v>
      </x:c>
      <x:c r="E67" s="41" t="n">
        <x:f>IF('Materials'!K67="","",'Materials'!K67)</x:f>
        <x:v>0.39</x:v>
      </x:c>
      <x:c r="F67" s="41" t="n">
        <x:f>IF('Materials'!P67="","",'Materials'!P67)</x:f>
        <x:v>75</x:v>
      </x:c>
      <x:c r="G67" s="41" t="n">
        <x:f>IF('Materials'!Q67="","",'Materials'!Q67)</x:f>
        <x:v>80</x:v>
      </x:c>
      <x:c r="H67" s="41" t="n">
        <x:f>IF('Materials'!R67="","",'Materials'!R67)</x:f>
        <x:v>90</x:v>
      </x:c>
      <x:c r="I67" s="41" t="n">
        <x:f>IF('Materials'!S67="","",'Materials'!S67)</x:f>
        <x:v>105</x:v>
      </x:c>
      <x:c r="J67" s="41" t="n">
        <x:f>IF('Materials'!T67="","",'Materials'!T67)</x:f>
        <x:v>0.5</x:v>
      </x:c>
      <x:c r="K67" s="41" t="n">
        <x:f>IF('Materials'!U67="","",'Materials'!U67)</x:f>
        <x:v>4</x:v>
      </x:c>
      <x:c r="L67" s="41" t="n">
        <x:f>IF('Materials'!V67="","",'Materials'!V67)</x:f>
        <x:v>0.25</x:v>
      </x:c>
      <x:c r="M67" s="41" t="n">
        <x:f>IF('Materials'!W67="","",'Materials'!W67)</x:f>
        <x:v>1700</x:v>
      </x:c>
      <x:c r="N67" s="41" t="n">
        <x:f>IF('Materials'!X67="","",'Materials'!X67)</x:f>
        <x:v>85</x:v>
      </x:c>
      <x:c r="O67" s="43" t="n">
        <x:f>IF('Materials'!Y67="","",'Materials'!Y67)</x:f>
        <x:v>1000000000000</x:v>
      </x:c>
      <x:c r="P67" s="41" t="n">
        <x:f>IF('Materials'!Z67="","",'Materials'!Z67)</x:f>
        <x:v>220</x:v>
      </x:c>
      <x:c r="Q67" s="41" t="n">
        <x:f>IF('Materials'!AA67="","",'Materials'!AA67)</x:f>
        <x:v>105</x:v>
      </x:c>
      <x:c r="R67" s="41" t="str">
        <x:f>IF('Materials'!AB67="","",'Materials'!AB67)</x:f>
      </x:c>
      <x:c r="S67" s="41" t="n">
        <x:f>IF('Materials'!O67="","",'Materials'!O67)</x:f>
        <x:v>4.242424242424243</x:v>
      </x:c>
    </x:row>
    <x:row r="68">
      <x:c r="A68" s="42" t="n">
        <x:f>'Materials'!A68</x:f>
        <x:v>3013</x:v>
      </x:c>
      <x:c r="B68" s="41" t="n">
        <x:f>IF('Materials'!I68="","",'Materials'!I68)</x:f>
        <x:v>1140</x:v>
      </x:c>
      <x:c r="C68" s="41" t="n">
        <x:f>IF('Materials'!J68="","",'Materials'!J68)</x:f>
        <x:v>3</x:v>
      </x:c>
      <x:c r="D68" s="41" t="n">
        <x:f>IF('Materials'!N68="","",'Materials'!N68)</x:f>
        <x:v>1.079136690647482</x:v>
      </x:c>
      <x:c r="E68" s="41" t="n">
        <x:f>IF('Materials'!K68="","",'Materials'!K68)</x:f>
        <x:v>0.39</x:v>
      </x:c>
      <x:c r="F68" s="41" t="n">
        <x:f>IF('Materials'!P68="","",'Materials'!P68)</x:f>
        <x:v>85</x:v>
      </x:c>
      <x:c r="G68" s="41" t="n">
        <x:f>IF('Materials'!Q68="","",'Materials'!Q68)</x:f>
        <x:v>90</x:v>
      </x:c>
      <x:c r="H68" s="41" t="n">
        <x:f>IF('Materials'!R68="","",'Materials'!R68)</x:f>
        <x:v>100</x:v>
      </x:c>
      <x:c r="I68" s="41" t="n">
        <x:f>IF('Materials'!S68="","",'Materials'!S68)</x:f>
        <x:v>115</x:v>
      </x:c>
      <x:c r="J68" s="41" t="n">
        <x:f>IF('Materials'!T68="","",'Materials'!T68)</x:f>
        <x:v>0.35</x:v>
      </x:c>
      <x:c r="K68" s="41" t="n">
        <x:f>IF('Materials'!U68="","",'Materials'!U68)</x:f>
        <x:v>4.5</x:v>
      </x:c>
      <x:c r="L68" s="41" t="n">
        <x:f>IF('Materials'!V68="","",'Materials'!V68)</x:f>
        <x:v>0.25</x:v>
      </x:c>
      <x:c r="M68" s="41" t="n">
        <x:f>IF('Materials'!W68="","",'Materials'!W68)</x:f>
        <x:v>1670</x:v>
      </x:c>
      <x:c r="N68" s="41" t="n">
        <x:f>IF('Materials'!X68="","",'Materials'!X68)</x:f>
        <x:v>80</x:v>
      </x:c>
      <x:c r="O68" s="43" t="n">
        <x:f>IF('Materials'!Y68="","",'Materials'!Y68)</x:f>
        <x:v>1000000000000</x:v>
      </x:c>
      <x:c r="P68" s="41" t="n">
        <x:f>IF('Materials'!Z68="","",'Materials'!Z68)</x:f>
        <x:v>260</x:v>
      </x:c>
      <x:c r="Q68" s="41" t="n">
        <x:f>IF('Materials'!AA68="","",'Materials'!AA68)</x:f>
        <x:v>120</x:v>
      </x:c>
      <x:c r="R68" s="41" t="str">
        <x:f>IF('Materials'!AB68="","",'Materials'!AB68)</x:f>
      </x:c>
      <x:c r="S68" s="41" t="n">
        <x:f>IF('Materials'!O68="","",'Materials'!O68)</x:f>
        <x:v>4.545454545454546</x:v>
      </x:c>
    </x:row>
    <x:row r="69">
      <x:c r="A69" s="42" t="n">
        <x:f>'Materials'!A69</x:f>
        <x:v>3014</x:v>
      </x:c>
      <x:c r="B69" s="41" t="n">
        <x:f>IF('Materials'!I69="","",'Materials'!I69)</x:f>
        <x:v>1420</x:v>
      </x:c>
      <x:c r="C69" s="41" t="n">
        <x:f>IF('Materials'!J69="","",'Materials'!J69)</x:f>
        <x:v>3.1</x:v>
      </x:c>
      <x:c r="D69" s="41" t="n">
        <x:f>IF('Materials'!N69="","",'Materials'!N69)</x:f>
        <x:v>1.1481481481481481</x:v>
      </x:c>
      <x:c r="E69" s="41" t="n">
        <x:f>IF('Materials'!K69="","",'Materials'!K69)</x:f>
        <x:v>0.35</x:v>
      </x:c>
      <x:c r="F69" s="41" t="n">
        <x:f>IF('Materials'!P69="","",'Materials'!P69)</x:f>
        <x:v>69</x:v>
      </x:c>
      <x:c r="G69" s="41" t="n">
        <x:f>IF('Materials'!Q69="","",'Materials'!Q69)</x:f>
        <x:v>75</x:v>
      </x:c>
      <x:c r="H69" s="41" t="n">
        <x:f>IF('Materials'!R69="","",'Materials'!R69)</x:f>
        <x:v>110</x:v>
      </x:c>
      <x:c r="I69" s="41" t="n">
        <x:f>IF('Materials'!S69="","",'Materials'!S69)</x:f>
        <x:v>95</x:v>
      </x:c>
      <x:c r="J69" s="41" t="n">
        <x:f>IF('Materials'!T69="","",'Materials'!T69)</x:f>
        <x:v>0.3</x:v>
      </x:c>
      <x:c r="K69" s="41" t="n">
        <x:f>IF('Materials'!U69="","",'Materials'!U69)</x:f>
        <x:v>5</x:v>
      </x:c>
      <x:c r="L69" s="41" t="n">
        <x:f>IF('Materials'!V69="","",'Materials'!V69)</x:f>
        <x:v>0.31</x:v>
      </x:c>
      <x:c r="M69" s="41" t="n">
        <x:f>IF('Materials'!W69="","",'Materials'!W69)</x:f>
        <x:v>1470</x:v>
      </x:c>
      <x:c r="N69" s="41" t="n">
        <x:f>IF('Materials'!X69="","",'Materials'!X69)</x:f>
        <x:v>100</x:v>
      </x:c>
      <x:c r="O69" s="43" t="n">
        <x:f>IF('Materials'!Y69="","",'Materials'!Y69)</x:f>
        <x:v>10000000000000</x:v>
      </x:c>
      <x:c r="P69" s="41" t="n">
        <x:f>IF('Materials'!Z69="","",'Materials'!Z69)</x:f>
        <x:v>175</x:v>
      </x:c>
      <x:c r="Q69" s="41" t="n">
        <x:f>IF('Materials'!AA69="","",'Materials'!AA69)</x:f>
        <x:v>105</x:v>
      </x:c>
      <x:c r="R69" s="41" t="str">
        <x:f>IF('Materials'!AB69="","",'Materials'!AB69)</x:f>
      </x:c>
      <x:c r="S69" s="41" t="n">
        <x:f>IF('Materials'!O69="","",'Materials'!O69)</x:f>
        <x:v>3.444444444444444</x:v>
      </x:c>
    </x:row>
    <x:row r="70">
      <x:c r="A70" s="42" t="n">
        <x:f>'Materials'!A70</x:f>
        <x:v>3015</x:v>
      </x:c>
      <x:c r="B70" s="41" t="n">
        <x:f>IF('Materials'!I70="","",'Materials'!I70)</x:f>
        <x:v>1200</x:v>
      </x:c>
      <x:c r="C70" s="41" t="n">
        <x:f>IF('Materials'!J70="","",'Materials'!J70)</x:f>
        <x:v>2.3</x:v>
      </x:c>
      <x:c r="D70" s="41" t="n">
        <x:f>IF('Materials'!N70="","",'Materials'!N70)</x:f>
        <x:v>0.8394160583941604</x:v>
      </x:c>
      <x:c r="E70" s="41" t="n">
        <x:f>IF('Materials'!K70="","",'Materials'!K70)</x:f>
        <x:v>0.37</x:v>
      </x:c>
      <x:c r="F70" s="41" t="n">
        <x:f>IF('Materials'!P70="","",'Materials'!P70)</x:f>
        <x:v>62</x:v>
      </x:c>
      <x:c r="G70" s="41" t="n">
        <x:f>IF('Materials'!Q70="","",'Materials'!Q70)</x:f>
        <x:v>65</x:v>
      </x:c>
      <x:c r="H70" s="41" t="n">
        <x:f>IF('Materials'!R70="","",'Materials'!R70)</x:f>
        <x:v>80</x:v>
      </x:c>
      <x:c r="I70" s="41" t="n">
        <x:f>IF('Materials'!S70="","",'Materials'!S70)</x:f>
        <x:v>90</x:v>
      </x:c>
      <x:c r="J70" s="41" t="n">
        <x:f>IF('Materials'!T70="","",'Materials'!T70)</x:f>
        <x:v>1</x:v>
      </x:c>
      <x:c r="K70" s="41" t="n">
        <x:f>IF('Materials'!U70="","",'Materials'!U70)</x:f>
        <x:v>4</x:v>
      </x:c>
      <x:c r="L70" s="41" t="n">
        <x:f>IF('Materials'!V70="","",'Materials'!V70)</x:f>
        <x:v>0.2</x:v>
      </x:c>
      <x:c r="M70" s="41" t="n">
        <x:f>IF('Materials'!W70="","",'Materials'!W70)</x:f>
        <x:v>1200</x:v>
      </x:c>
      <x:c r="N70" s="41" t="n">
        <x:f>IF('Materials'!X70="","",'Materials'!X70)</x:f>
        <x:v>65</x:v>
      </x:c>
      <x:c r="O70" s="43" t="n">
        <x:f>IF('Materials'!Y70="","",'Materials'!Y70)</x:f>
        <x:v>100000000000000</x:v>
      </x:c>
      <x:c r="P70" s="41" t="n">
        <x:f>IF('Materials'!Z70="","",'Materials'!Z70)</x:f>
        <x:v>147</x:v>
      </x:c>
      <x:c r="Q70" s="41" t="n">
        <x:f>IF('Materials'!AA70="","",'Materials'!AA70)</x:f>
        <x:v>120</x:v>
      </x:c>
      <x:c r="R70" s="41" t="str">
        <x:f>IF('Materials'!AB70="","",'Materials'!AB70)</x:f>
      </x:c>
      <x:c r="S70" s="41" t="n">
        <x:f>IF('Materials'!O70="","",'Materials'!O70)</x:f>
        <x:v>2.9487179487179485</x:v>
      </x:c>
    </x:row>
    <x:row r="71">
      <x:c r="A71" s="42" t="n">
        <x:f>'Materials'!A71</x:f>
        <x:v>3016</x:v>
      </x:c>
      <x:c r="B71" s="41" t="n">
        <x:f>IF('Materials'!I71="","",'Materials'!I71)</x:f>
        <x:v>1180</x:v>
      </x:c>
      <x:c r="C71" s="41" t="n">
        <x:f>IF('Materials'!J71="","",'Materials'!J71)</x:f>
        <x:v>3.2</x:v>
      </x:c>
      <x:c r="D71" s="41" t="n">
        <x:f>IF('Materials'!N71="","",'Materials'!N71)</x:f>
        <x:v>1.1851851851851851</x:v>
      </x:c>
      <x:c r="E71" s="41" t="n">
        <x:f>IF('Materials'!K71="","",'Materials'!K71)</x:f>
        <x:v>0.35</x:v>
      </x:c>
      <x:c r="F71" s="41" t="n">
        <x:f>IF('Materials'!P71="","",'Materials'!P71)</x:f>
        <x:v>65</x:v>
      </x:c>
      <x:c r="G71" s="41" t="n">
        <x:f>IF('Materials'!Q71="","",'Materials'!Q71)</x:f>
        <x:v>70</x:v>
      </x:c>
      <x:c r="H71" s="41" t="n">
        <x:f>IF('Materials'!R71="","",'Materials'!R71)</x:f>
        <x:v>100</x:v>
      </x:c>
      <x:c r="I71" s="41" t="n">
        <x:f>IF('Materials'!S71="","",'Materials'!S71)</x:f>
        <x:v>110</x:v>
      </x:c>
      <x:c r="J71" s="41" t="n">
        <x:f>IF('Materials'!T71="","",'Materials'!T71)</x:f>
        <x:v>0.05</x:v>
      </x:c>
      <x:c r="K71" s="41" t="n">
        <x:f>IF('Materials'!U71="","",'Materials'!U71)</x:f>
        <x:v>1.5</x:v>
      </x:c>
      <x:c r="L71" s="41" t="n">
        <x:f>IF('Materials'!V71="","",'Materials'!V71)</x:f>
        <x:v>0.19</x:v>
      </x:c>
      <x:c r="M71" s="41" t="n">
        <x:f>IF('Materials'!W71="","",'Materials'!W71)</x:f>
        <x:v>1470</x:v>
      </x:c>
      <x:c r="N71" s="41" t="n">
        <x:f>IF('Materials'!X71="","",'Materials'!X71)</x:f>
        <x:v>70</x:v>
      </x:c>
      <x:c r="O71" s="43" t="n">
        <x:f>IF('Materials'!Y71="","",'Materials'!Y71)</x:f>
        <x:v>100000000000000</x:v>
      </x:c>
      <x:c r="P71" s="41" t="n">
        <x:f>IF('Materials'!Z71="","",'Materials'!Z71)</x:f>
        <x:v>105</x:v>
      </x:c>
      <x:c r="Q71" s="41" t="n">
        <x:f>IF('Materials'!AA71="","",'Materials'!AA71)</x:f>
        <x:v>80</x:v>
      </x:c>
      <x:c r="R71" s="41" t="str">
        <x:f>IF('Materials'!AB71="","",'Materials'!AB71)</x:f>
      </x:c>
      <x:c r="S71" s="41" t="n">
        <x:f>IF('Materials'!O71="","",'Materials'!O71)</x:f>
        <x:v>3.5555555555555554</x:v>
      </x:c>
    </x:row>
    <x:row r="72">
      <x:c r="A72" s="42" t="n">
        <x:f>'Materials'!A72</x:f>
        <x:v>3017</x:v>
      </x:c>
      <x:c r="B72" s="41" t="n">
        <x:f>IF('Materials'!I72="","",'Materials'!I72)</x:f>
        <x:v>2200</x:v>
      </x:c>
      <x:c r="C72" s="41" t="n">
        <x:f>IF('Materials'!J72="","",'Materials'!J72)</x:f>
        <x:v>0.5</x:v>
      </x:c>
      <x:c r="D72" s="41" t="n">
        <x:f>IF('Materials'!N72="","",'Materials'!N72)</x:f>
        <x:v>0.17123287671232876</x:v>
      </x:c>
      <x:c r="E72" s="41" t="n">
        <x:f>IF('Materials'!K72="","",'Materials'!K72)</x:f>
        <x:v>0.46</x:v>
      </x:c>
      <x:c r="F72" s="41" t="n">
        <x:f>IF('Materials'!P72="","",'Materials'!P72)</x:f>
        <x:v>23</x:v>
      </x:c>
      <x:c r="G72" s="41" t="n">
        <x:f>IF('Materials'!Q72="","",'Materials'!Q72)</x:f>
        <x:v>30</x:v>
      </x:c>
      <x:c r="H72" s="41" t="n">
        <x:f>IF('Materials'!R72="","",'Materials'!R72)</x:f>
        <x:v>12</x:v>
      </x:c>
      <x:c r="I72" s="41" t="n">
        <x:f>IF('Materials'!S72="","",'Materials'!S72)</x:f>
        <x:v>18</x:v>
      </x:c>
      <x:c r="J72" s="41" t="n">
        <x:f>IF('Materials'!T72="","",'Materials'!T72)</x:f>
        <x:v>3</x:v>
      </x:c>
      <x:c r="K72" s="41" t="n">
        <x:f>IF('Materials'!U72="","",'Materials'!U72)</x:f>
        <x:v>2.5</x:v>
      </x:c>
      <x:c r="L72" s="41" t="n">
        <x:f>IF('Materials'!V72="","",'Materials'!V72)</x:f>
        <x:v>0.25</x:v>
      </x:c>
      <x:c r="M72" s="41" t="n">
        <x:f>IF('Materials'!W72="","",'Materials'!W72)</x:f>
        <x:v>1000</x:v>
      </x:c>
      <x:c r="N72" s="41" t="n">
        <x:f>IF('Materials'!X72="","",'Materials'!X72)</x:f>
        <x:v>120</x:v>
      </x:c>
      <x:c r="O72" s="43" t="n">
        <x:f>IF('Materials'!Y72="","",'Materials'!Y72)</x:f>
        <x:v>1000000000000000000</x:v>
      </x:c>
      <x:c r="P72" s="41" t="n">
        <x:f>IF('Materials'!Z72="","",'Materials'!Z72)</x:f>
        <x:v>327</x:v>
      </x:c>
      <x:c r="Q72" s="41" t="n">
        <x:f>IF('Materials'!AA72="","",'Materials'!AA72)</x:f>
        <x:v>260</x:v>
      </x:c>
      <x:c r="R72" s="41" t="str">
        <x:f>IF('Materials'!AB72="","",'Materials'!AB72)</x:f>
      </x:c>
      <x:c r="S72" s="41" t="n">
        <x:f>IF('Materials'!O72="","",'Materials'!O72)</x:f>
        <x:v>2.0833333333333344</x:v>
      </x:c>
    </x:row>
    <x:row r="73">
      <x:c r="A73" s="42" t="n">
        <x:f>'Materials'!A73</x:f>
        <x:v>3018</x:v>
      </x:c>
      <x:c r="B73" s="41" t="n">
        <x:f>IF('Materials'!I73="","",'Materials'!I73)</x:f>
        <x:v>1320</x:v>
      </x:c>
      <x:c r="C73" s="41" t="n">
        <x:f>IF('Materials'!J73="","",'Materials'!J73)</x:f>
        <x:v>3.6</x:v>
      </x:c>
      <x:c r="D73" s="41" t="n">
        <x:f>IF('Materials'!N73="","",'Materials'!N73)</x:f>
        <x:v>1.3043478260869568</x:v>
      </x:c>
      <x:c r="E73" s="41" t="n">
        <x:f>IF('Materials'!K73="","",'Materials'!K73)</x:f>
        <x:v>0.38</x:v>
      </x:c>
      <x:c r="F73" s="41" t="n">
        <x:f>IF('Materials'!P73="","",'Materials'!P73)</x:f>
        <x:v>100</x:v>
      </x:c>
      <x:c r="G73" s="41" t="n">
        <x:f>IF('Materials'!Q73="","",'Materials'!Q73)</x:f>
        <x:v>100</x:v>
      </x:c>
      <x:c r="H73" s="41" t="n">
        <x:f>IF('Materials'!R73="","",'Materials'!R73)</x:f>
        <x:v>125</x:v>
      </x:c>
      <x:c r="I73" s="41" t="n">
        <x:f>IF('Materials'!S73="","",'Materials'!S73)</x:f>
        <x:v>165</x:v>
      </x:c>
      <x:c r="J73" s="41" t="n">
        <x:f>IF('Materials'!T73="","",'Materials'!T73)</x:f>
        <x:v>0.2</x:v>
      </x:c>
      <x:c r="K73" s="41" t="n">
        <x:f>IF('Materials'!U73="","",'Materials'!U73)</x:f>
        <x:v>5</x:v>
      </x:c>
      <x:c r="L73" s="41" t="n">
        <x:f>IF('Materials'!V73="","",'Materials'!V73)</x:f>
        <x:v>0.25</x:v>
      </x:c>
      <x:c r="M73" s="41" t="n">
        <x:f>IF('Materials'!W73="","",'Materials'!W73)</x:f>
        <x:v>1300</x:v>
      </x:c>
      <x:c r="N73" s="41" t="n">
        <x:f>IF('Materials'!X73="","",'Materials'!X73)</x:f>
        <x:v>47</x:v>
      </x:c>
      <x:c r="O73" s="43" t="n">
        <x:f>IF('Materials'!Y73="","",'Materials'!Y73)</x:f>
        <x:v>1000000000000000</x:v>
      </x:c>
      <x:c r="P73" s="41" t="n">
        <x:f>IF('Materials'!Z73="","",'Materials'!Z73)</x:f>
        <x:v>343</x:v>
      </x:c>
      <x:c r="Q73" s="41" t="n">
        <x:f>IF('Materials'!AA73="","",'Materials'!AA73)</x:f>
        <x:v>250</x:v>
      </x:c>
      <x:c r="R73" s="41" t="str">
        <x:f>IF('Materials'!AB73="","",'Materials'!AB73)</x:f>
      </x:c>
      <x:c r="S73" s="41" t="n">
        <x:f>IF('Materials'!O73="","",'Materials'!O73)</x:f>
        <x:v>5</x:v>
      </x:c>
    </x:row>
    <x:row r="74">
      <x:c r="A74" s="42" t="n">
        <x:f>'Materials'!A74</x:f>
        <x:v>3019</x:v>
      </x:c>
      <x:c r="B74" s="41" t="n">
        <x:f>IF('Materials'!I74="","",'Materials'!I74)</x:f>
        <x:v>1270</x:v>
      </x:c>
      <x:c r="C74" s="41" t="n">
        <x:f>IF('Materials'!J74="","",'Materials'!J74)</x:f>
        <x:v>3.2</x:v>
      </x:c>
      <x:c r="D74" s="41" t="n">
        <x:f>IF('Materials'!N74="","",'Materials'!N74)</x:f>
        <x:v>1.1764705882352944</x:v>
      </x:c>
      <x:c r="E74" s="41" t="n">
        <x:f>IF('Materials'!K74="","",'Materials'!K74)</x:f>
        <x:v>0.36</x:v>
      </x:c>
      <x:c r="F74" s="41" t="n">
        <x:f>IF('Materials'!P74="","",'Materials'!P74)</x:f>
        <x:v>105</x:v>
      </x:c>
      <x:c r="G74" s="41" t="n">
        <x:f>IF('Materials'!Q74="","",'Materials'!Q74)</x:f>
        <x:v>105</x:v>
      </x:c>
      <x:c r="H74" s="41" t="n">
        <x:f>IF('Materials'!R74="","",'Materials'!R74)</x:f>
        <x:v>140</x:v>
      </x:c>
      <x:c r="I74" s="41" t="n">
        <x:f>IF('Materials'!S74="","",'Materials'!S74)</x:f>
        <x:v>150</x:v>
      </x:c>
      <x:c r="J74" s="41" t="n">
        <x:f>IF('Materials'!T74="","",'Materials'!T74)</x:f>
        <x:v>0.6</x:v>
      </x:c>
      <x:c r="K74" s="41" t="n">
        <x:f>IF('Materials'!U74="","",'Materials'!U74)</x:f>
        <x:v>4</x:v>
      </x:c>
      <x:c r="L74" s="41" t="n">
        <x:f>IF('Materials'!V74="","",'Materials'!V74)</x:f>
        <x:v>0.22</x:v>
      </x:c>
      <x:c r="M74" s="41" t="n">
        <x:f>IF('Materials'!W74="","",'Materials'!W74)</x:f>
        <x:v>1250</x:v>
      </x:c>
      <x:c r="N74" s="41" t="n">
        <x:f>IF('Materials'!X74="","",'Materials'!X74)</x:f>
        <x:v>56</x:v>
      </x:c>
      <x:c r="O74" s="43" t="n">
        <x:f>IF('Materials'!Y74="","",'Materials'!Y74)</x:f>
        <x:v>1000000000000000</x:v>
      </x:c>
      <x:c r="P74" s="41" t="n">
        <x:f>IF('Materials'!Z74="","",'Materials'!Z74)</x:f>
        <x:v>217</x:v>
      </x:c>
      <x:c r="Q74" s="41" t="n">
        <x:f>IF('Materials'!AA74="","",'Materials'!AA74)</x:f>
        <x:v>170</x:v>
      </x:c>
      <x:c r="R74" s="41" t="str">
        <x:f>IF('Materials'!AB74="","",'Materials'!AB74)</x:f>
      </x:c>
      <x:c r="S74" s="41" t="n">
        <x:f>IF('Materials'!O74="","",'Materials'!O74)</x:f>
        <x:v>3.8095238095238093</x:v>
      </x:c>
    </x:row>
    <x:row r="75">
      <x:c r="A75" s="42" t="n">
        <x:f>'Materials'!A75</x:f>
        <x:v>3020</x:v>
      </x:c>
      <x:c r="B75" s="41" t="n">
        <x:f>IF('Materials'!I75="","",'Materials'!I75)</x:f>
        <x:v>1350</x:v>
      </x:c>
      <x:c r="C75" s="41" t="n">
        <x:f>IF('Materials'!J75="","",'Materials'!J75)</x:f>
        <x:v>3.5</x:v>
      </x:c>
      <x:c r="D75" s="41" t="n">
        <x:f>IF('Materials'!N75="","",'Materials'!N75)</x:f>
        <x:v>1.286764705882353</x:v>
      </x:c>
      <x:c r="E75" s="41" t="n">
        <x:f>IF('Materials'!K75="","",'Materials'!K75)</x:f>
        <x:v>0.36</x:v>
      </x:c>
      <x:c r="F75" s="41" t="n">
        <x:f>IF('Materials'!P75="","",'Materials'!P75)</x:f>
        <x:v>75</x:v>
      </x:c>
      <x:c r="G75" s="41" t="n">
        <x:f>IF('Materials'!Q75="","",'Materials'!Q75)</x:f>
        <x:v>80</x:v>
      </x:c>
      <x:c r="H75" s="41" t="n">
        <x:f>IF('Materials'!R75="","",'Materials'!R75)</x:f>
        <x:v>120</x:v>
      </x:c>
      <x:c r="I75" s="41" t="n">
        <x:f>IF('Materials'!S75="","",'Materials'!S75)</x:f>
        <x:v>120</x:v>
      </x:c>
      <x:c r="J75" s="41" t="n">
        <x:f>IF('Materials'!T75="","",'Materials'!T75)</x:f>
        <x:v>0.04</x:v>
      </x:c>
      <x:c r="K75" s="41" t="n">
        <x:f>IF('Materials'!U75="","",'Materials'!U75)</x:f>
        <x:v>3</x:v>
      </x:c>
      <x:c r="L75" s="41" t="n">
        <x:f>IF('Materials'!V75="","",'Materials'!V75)</x:f>
        <x:v>0.3</x:v>
      </x:c>
      <x:c r="M75" s="41" t="n">
        <x:f>IF('Materials'!W75="","",'Materials'!W75)</x:f>
        <x:v>1100</x:v>
      </x:c>
      <x:c r="N75" s="41" t="n">
        <x:f>IF('Materials'!X75="","",'Materials'!X75)</x:f>
        <x:v>55</x:v>
      </x:c>
      <x:c r="O75" s="43" t="n">
        <x:f>IF('Materials'!Y75="","",'Materials'!Y75)</x:f>
        <x:v>100000000000000</x:v>
      </x:c>
      <x:c r="P75" s="41" t="n">
        <x:f>IF('Materials'!Z75="","",'Materials'!Z75)</x:f>
        <x:v>285</x:v>
      </x:c>
      <x:c r="Q75" s="41" t="n">
        <x:f>IF('Materials'!AA75="","",'Materials'!AA75)</x:f>
        <x:v>200</x:v>
      </x:c>
      <x:c r="R75" s="41" t="str">
        <x:f>IF('Materials'!AB75="","",'Materials'!AB75)</x:f>
      </x:c>
      <x:c r="S75" s="41" t="n">
        <x:f>IF('Materials'!O75="","",'Materials'!O75)</x:f>
        <x:v>4.166666666666666</x:v>
      </x:c>
    </x:row>
    <x:row r="76">
      <x:c r="A76" s="42" t="n">
        <x:f>'Materials'!A76</x:f>
        <x:v>3021</x:v>
      </x:c>
      <x:c r="B76" s="41" t="n">
        <x:f>IF('Materials'!I76="","",'Materials'!I76)</x:f>
        <x:v>1240</x:v>
      </x:c>
      <x:c r="C76" s="41" t="n">
        <x:f>IF('Materials'!J76="","",'Materials'!J76)</x:f>
        <x:v>2.5</x:v>
      </x:c>
      <x:c r="D76" s="41" t="n">
        <x:f>IF('Materials'!N76="","",'Materials'!N76)</x:f>
        <x:v>0.9124087591240875</x:v>
      </x:c>
      <x:c r="E76" s="41" t="n">
        <x:f>IF('Materials'!K76="","",'Materials'!K76)</x:f>
        <x:v>0.37</x:v>
      </x:c>
      <x:c r="F76" s="41" t="n">
        <x:f>IF('Materials'!P76="","",'Materials'!P76)</x:f>
        <x:v>70</x:v>
      </x:c>
      <x:c r="G76" s="41" t="n">
        <x:f>IF('Materials'!Q76="","",'Materials'!Q76)</x:f>
        <x:v>75</x:v>
      </x:c>
      <x:c r="H76" s="41" t="n">
        <x:f>IF('Materials'!R76="","",'Materials'!R76)</x:f>
        <x:v>100</x:v>
      </x:c>
      <x:c r="I76" s="41" t="n">
        <x:f>IF('Materials'!S76="","",'Materials'!S76)</x:f>
        <x:v>105</x:v>
      </x:c>
      <x:c r="J76" s="41" t="n">
        <x:f>IF('Materials'!T76="","",'Materials'!T76)</x:f>
        <x:v>0.5</x:v>
      </x:c>
      <x:c r="K76" s="41" t="n">
        <x:f>IF('Materials'!U76="","",'Materials'!U76)</x:f>
        <x:v>3.5</x:v>
      </x:c>
      <x:c r="L76" s="41" t="n">
        <x:f>IF('Materials'!V76="","",'Materials'!V76)</x:f>
        <x:v>0.26</x:v>
      </x:c>
      <x:c r="M76" s="41" t="n">
        <x:f>IF('Materials'!W76="","",'Materials'!W76)</x:f>
        <x:v>1200</x:v>
      </x:c>
      <x:c r="N76" s="41" t="n">
        <x:f>IF('Materials'!X76="","",'Materials'!X76)</x:f>
        <x:v>55</x:v>
      </x:c>
      <x:c r="O76" s="43" t="n">
        <x:f>IF('Materials'!Y76="","",'Materials'!Y76)</x:f>
        <x:v>100000000000000</x:v>
      </x:c>
      <x:c r="P76" s="41" t="n">
        <x:f>IF('Materials'!Z76="","",'Materials'!Z76)</x:f>
        <x:v>185</x:v>
      </x:c>
      <x:c r="Q76" s="41" t="n">
        <x:f>IF('Materials'!AA76="","",'Materials'!AA76)</x:f>
        <x:v>150</x:v>
      </x:c>
      <x:c r="R76" s="41" t="str">
        <x:f>IF('Materials'!AB76="","",'Materials'!AB76)</x:f>
      </x:c>
      <x:c r="S76" s="41" t="n">
        <x:f>IF('Materials'!O76="","",'Materials'!O76)</x:f>
        <x:v>3.205128205128205</x:v>
      </x:c>
    </x:row>
    <x:row r="77">
      <x:c r="A77" s="42" t="n">
        <x:f>'Materials'!A77</x:f>
        <x:v>3022</x:v>
      </x:c>
      <x:c r="B77" s="41" t="n">
        <x:f>IF('Materials'!I77="","",'Materials'!I77)</x:f>
        <x:v>1150</x:v>
      </x:c>
      <x:c r="C77" s="41" t="n">
        <x:f>IF('Materials'!J77="","",'Materials'!J77)</x:f>
        <x:v>3</x:v>
      </x:c>
      <x:c r="D77" s="41" t="n">
        <x:f>IF('Materials'!N77="","",'Materials'!N77)</x:f>
        <x:v>1.111111111111111</x:v>
      </x:c>
      <x:c r="E77" s="41" t="n">
        <x:f>IF('Materials'!K77="","",'Materials'!K77)</x:f>
        <x:v>0.35</x:v>
      </x:c>
      <x:c r="F77" s="41" t="n">
        <x:f>IF('Materials'!P77="","",'Materials'!P77)</x:f>
        <x:v>55</x:v>
      </x:c>
      <x:c r="G77" s="41" t="n">
        <x:f>IF('Materials'!Q77="","",'Materials'!Q77)</x:f>
        <x:v>70</x:v>
      </x:c>
      <x:c r="H77" s="41" t="n">
        <x:f>IF('Materials'!R77="","",'Materials'!R77)</x:f>
        <x:v>120</x:v>
      </x:c>
      <x:c r="I77" s="41" t="n">
        <x:f>IF('Materials'!S77="","",'Materials'!S77)</x:f>
        <x:v>100</x:v>
      </x:c>
      <x:c r="J77" s="41" t="n">
        <x:f>IF('Materials'!T77="","",'Materials'!T77)</x:f>
        <x:v>0.04</x:v>
      </x:c>
      <x:c r="K77" s="41" t="n">
        <x:f>IF('Materials'!U77="","",'Materials'!U77)</x:f>
        <x:v>1.2</x:v>
      </x:c>
      <x:c r="L77" s="41" t="n">
        <x:f>IF('Materials'!V77="","",'Materials'!V77)</x:f>
        <x:v>0.2</x:v>
      </x:c>
      <x:c r="M77" s="41" t="n">
        <x:f>IF('Materials'!W77="","",'Materials'!W77)</x:f>
        <x:v>1100</x:v>
      </x:c>
      <x:c r="N77" s="41" t="n">
        <x:f>IF('Materials'!X77="","",'Materials'!X77)</x:f>
        <x:v>55</x:v>
      </x:c>
      <x:c r="O77" s="43" t="n">
        <x:f>IF('Materials'!Y77="","",'Materials'!Y77)</x:f>
        <x:v>100000000000000</x:v>
      </x:c>
      <x:c r="P77" s="41" t="n">
        <x:f>IF('Materials'!Z77="","",'Materials'!Z77)</x:f>
        <x:v>120</x:v>
      </x:c>
      <x:c r="Q77" s="41" t="n">
        <x:f>IF('Materials'!AA77="","",'Materials'!AA77)</x:f>
        <x:v>100</x:v>
      </x:c>
      <x:c r="R77" s="41" t="str">
        <x:f>IF('Materials'!AB77="","",'Materials'!AB77)</x:f>
      </x:c>
      <x:c r="S77" s="41" t="n">
        <x:f>IF('Materials'!O77="","",'Materials'!O77)</x:f>
        <x:v>3.333333333333333</x:v>
      </x:c>
    </x:row>
    <x:row r="78">
      <x:c r="A78" s="42" t="n">
        <x:f>'Materials'!A78</x:f>
        <x:v>3023</x:v>
      </x:c>
      <x:c r="B78" s="41" t="n">
        <x:f>IF('Materials'!I78="","",'Materials'!I78)</x:f>
        <x:v>1300</x:v>
      </x:c>
      <x:c r="C78" s="41" t="n">
        <x:f>IF('Materials'!J78="","",'Materials'!J78)</x:f>
        <x:v>5</x:v>
      </x:c>
      <x:c r="D78" s="41" t="n">
        <x:f>IF('Materials'!N78="","",'Materials'!N78)</x:f>
        <x:v>1.8939393939393938</x:v>
      </x:c>
      <x:c r="E78" s="41" t="n">
        <x:f>IF('Materials'!K78="","",'Materials'!K78)</x:f>
        <x:v>0.32</x:v>
      </x:c>
      <x:c r="F78" s="41" t="n">
        <x:f>IF('Materials'!P78="","",'Materials'!P78)</x:f>
        <x:v>45</x:v>
      </x:c>
      <x:c r="G78" s="41" t="n">
        <x:f>IF('Materials'!Q78="","",'Materials'!Q78)</x:f>
        <x:v>55</x:v>
      </x:c>
      <x:c r="H78" s="41" t="n">
        <x:f>IF('Materials'!R78="","",'Materials'!R78)</x:f>
        <x:v>150</x:v>
      </x:c>
      <x:c r="I78" s="41" t="n">
        <x:f>IF('Materials'!S78="","",'Materials'!S78)</x:f>
        <x:v>90</x:v>
      </x:c>
      <x:c r="J78" s="41" t="n">
        <x:f>IF('Materials'!T78="","",'Materials'!T78)</x:f>
        <x:v>0.015</x:v>
      </x:c>
      <x:c r="K78" s="41" t="n">
        <x:f>IF('Materials'!U78="","",'Materials'!U78)</x:f>
        <x:v>1</x:v>
      </x:c>
      <x:c r="L78" s="41" t="n">
        <x:f>IF('Materials'!V78="","",'Materials'!V78)</x:f>
        <x:v>0.25</x:v>
      </x:c>
      <x:c r="M78" s="41" t="n">
        <x:f>IF('Materials'!W78="","",'Materials'!W78)</x:f>
        <x:v>1400</x:v>
      </x:c>
      <x:c r="N78" s="41" t="n">
        <x:f>IF('Materials'!X78="","",'Materials'!X78)</x:f>
        <x:v>35</x:v>
      </x:c>
      <x:c r="O78" s="43" t="n">
        <x:f>IF('Materials'!Y78="","",'Materials'!Y78)</x:f>
        <x:v>1000000000000</x:v>
      </x:c>
      <x:c r="P78" s="41" t="n">
        <x:f>IF('Materials'!Z78="","",'Materials'!Z78)</x:f>
        <x:v>160</x:v>
      </x:c>
      <x:c r="Q78" s="41" t="n">
        <x:f>IF('Materials'!AA78="","",'Materials'!AA78)</x:f>
        <x:v>150</x:v>
      </x:c>
      <x:c r="R78" s="41" t="str">
        <x:f>IF('Materials'!AB78="","",'Materials'!AB78)</x:f>
      </x:c>
      <x:c r="S78" s="41" t="n">
        <x:f>IF('Materials'!O78="","",'Materials'!O78)</x:f>
        <x:v>4.62962962962963</x:v>
      </x:c>
    </x:row>
    <x:row r="79">
      <x:c r="A79" s="42" t="n">
        <x:f>'Materials'!A79</x:f>
        <x:v>3024</x:v>
      </x:c>
      <x:c r="B79" s="41" t="n">
        <x:f>IF('Materials'!I79="","",'Materials'!I79)</x:f>
        <x:v>1310</x:v>
      </x:c>
      <x:c r="C79" s="41" t="n">
        <x:f>IF('Materials'!J79="","",'Materials'!J79)</x:f>
        <x:v>2.6</x:v>
      </x:c>
      <x:c r="D79" s="41" t="n">
        <x:f>IF('Materials'!N79="","",'Materials'!N79)</x:f>
        <x:v>0.9420289855072465</x:v>
      </x:c>
      <x:c r="E79" s="41" t="n">
        <x:f>IF('Materials'!K79="","",'Materials'!K79)</x:f>
        <x:v>0.38</x:v>
      </x:c>
      <x:c r="F79" s="41" t="n">
        <x:f>IF('Materials'!P79="","",'Materials'!P79)</x:f>
        <x:v>55</x:v>
      </x:c>
      <x:c r="G79" s="41" t="n">
        <x:f>IF('Materials'!Q79="","",'Materials'!Q79)</x:f>
        <x:v>60</x:v>
      </x:c>
      <x:c r="H79" s="41" t="n">
        <x:f>IF('Materials'!R79="","",'Materials'!R79)</x:f>
        <x:v>85</x:v>
      </x:c>
      <x:c r="I79" s="41" t="n">
        <x:f>IF('Materials'!S79="","",'Materials'!S79)</x:f>
        <x:v>85</x:v>
      </x:c>
      <x:c r="J79" s="41" t="n">
        <x:f>IF('Materials'!T79="","",'Materials'!T79)</x:f>
        <x:v>0.3</x:v>
      </x:c>
      <x:c r="K79" s="41" t="n">
        <x:f>IF('Materials'!U79="","",'Materials'!U79)</x:f>
        <x:v>3</x:v>
      </x:c>
      <x:c r="L79" s="41" t="n">
        <x:f>IF('Materials'!V79="","",'Materials'!V79)</x:f>
        <x:v>0.29</x:v>
      </x:c>
      <x:c r="M79" s="41" t="n">
        <x:f>IF('Materials'!W79="","",'Materials'!W79)</x:f>
        <x:v>1200</x:v>
      </x:c>
      <x:c r="N79" s="41" t="n">
        <x:f>IF('Materials'!X79="","",'Materials'!X79)</x:f>
        <x:v>90</x:v>
      </x:c>
      <x:c r="O79" s="43" t="n">
        <x:f>IF('Materials'!Y79="","",'Materials'!Y79)</x:f>
        <x:v>100000000000000</x:v>
      </x:c>
      <x:c r="P79" s="41" t="n">
        <x:f>IF('Materials'!Z79="","",'Materials'!Z79)</x:f>
        <x:v>225</x:v>
      </x:c>
      <x:c r="Q79" s="41" t="n">
        <x:f>IF('Materials'!AA79="","",'Materials'!AA79)</x:f>
        <x:v>120</x:v>
      </x:c>
      <x:c r="R79" s="41" t="str">
        <x:f>IF('Materials'!AB79="","",'Materials'!AB79)</x:f>
      </x:c>
      <x:c r="S79" s="41" t="n">
        <x:f>IF('Materials'!O79="","",'Materials'!O79)</x:f>
        <x:v>3.611111111111111</x:v>
      </x:c>
    </x:row>
    <x:row r="80">
      <x:c r="A80" s="42" t="n">
        <x:f>'Materials'!A80</x:f>
        <x:v>3025</x:v>
      </x:c>
      <x:c r="B80" s="41" t="n">
        <x:f>IF('Materials'!I80="","",'Materials'!I80)</x:f>
        <x:v>1780</x:v>
      </x:c>
      <x:c r="C80" s="41" t="n">
        <x:f>IF('Materials'!J80="","",'Materials'!J80)</x:f>
        <x:v>2</x:v>
      </x:c>
      <x:c r="D80" s="41" t="n">
        <x:f>IF('Materials'!N80="","",'Materials'!N80)</x:f>
        <x:v>0.7407407407407407</x:v>
      </x:c>
      <x:c r="E80" s="41" t="n">
        <x:f>IF('Materials'!K80="","",'Materials'!K80)</x:f>
        <x:v>0.35</x:v>
      </x:c>
      <x:c r="F80" s="41" t="n">
        <x:f>IF('Materials'!P80="","",'Materials'!P80)</x:f>
        <x:v>45</x:v>
      </x:c>
      <x:c r="G80" s="41" t="n">
        <x:f>IF('Materials'!Q80="","",'Materials'!Q80)</x:f>
        <x:v>50</x:v>
      </x:c>
      <x:c r="H80" s="41" t="n">
        <x:f>IF('Materials'!R80="","",'Materials'!R80)</x:f>
        <x:v>70</x:v>
      </x:c>
      <x:c r="I80" s="41" t="n">
        <x:f>IF('Materials'!S80="","",'Materials'!S80)</x:f>
        <x:v>70</x:v>
      </x:c>
      <x:c r="J80" s="41" t="n">
        <x:f>IF('Materials'!T80="","",'Materials'!T80)</x:f>
        <x:v>0.4</x:v>
      </x:c>
      <x:c r="K80" s="41" t="n">
        <x:f>IF('Materials'!U80="","",'Materials'!U80)</x:f>
        <x:v>3</x:v>
      </x:c>
      <x:c r="L80" s="41" t="n">
        <x:f>IF('Materials'!V80="","",'Materials'!V80)</x:f>
        <x:v>0.19</x:v>
      </x:c>
      <x:c r="M80" s="41" t="n">
        <x:f>IF('Materials'!W80="","",'Materials'!W80)</x:f>
        <x:v>1200</x:v>
      </x:c>
      <x:c r="N80" s="41" t="n">
        <x:f>IF('Materials'!X80="","",'Materials'!X80)</x:f>
        <x:v>130</x:v>
      </x:c>
      <x:c r="O80" s="43" t="n">
        <x:f>IF('Materials'!Y80="","",'Materials'!Y80)</x:f>
        <x:v>1000000000000</x:v>
      </x:c>
      <x:c r="P80" s="41" t="n">
        <x:f>IF('Materials'!Z80="","",'Materials'!Z80)</x:f>
        <x:v>170</x:v>
      </x:c>
      <x:c r="Q80" s="41" t="n">
        <x:f>IF('Materials'!AA80="","",'Materials'!AA80)</x:f>
        <x:v>140</x:v>
      </x:c>
      <x:c r="R80" s="41" t="str">
        <x:f>IF('Materials'!AB80="","",'Materials'!AB80)</x:f>
      </x:c>
      <x:c r="S80" s="41" t="n">
        <x:f>IF('Materials'!O80="","",'Materials'!O80)</x:f>
        <x:v>2.222222222222222</x:v>
      </x:c>
    </x:row>
    <x:row r="81">
      <x:c r="A81" s="42" t="n">
        <x:f>'Materials'!A81</x:f>
        <x:v>3101</x:v>
      </x:c>
      <x:c r="B81" s="41" t="n">
        <x:f>IF('Materials'!I81="","",'Materials'!I81)</x:f>
        <x:v>930</x:v>
      </x:c>
      <x:c r="C81" s="41" t="n">
        <x:f>IF('Materials'!J81="","",'Materials'!J81)</x:f>
        <x:v>0.01</x:v>
      </x:c>
      <x:c r="D81" s="41" t="n">
        <x:f>IF('Materials'!N81="","",'Materials'!N81)</x:f>
        <x:v>0.0034</x:v>
      </x:c>
      <x:c r="E81" s="41" t="n">
        <x:f>IF('Materials'!K81="","",'Materials'!K81)</x:f>
        <x:v>0.49</x:v>
      </x:c>
      <x:c r="F81" s="41" t="str">
        <x:f>IF('Materials'!P81="","",'Materials'!P81)</x:f>
      </x:c>
      <x:c r="G81" s="41" t="n">
        <x:f>IF('Materials'!Q81="","",'Materials'!Q81)</x:f>
        <x:v>25</x:v>
      </x:c>
      <x:c r="H81" s="41" t="str">
        <x:f>IF('Materials'!R81="","",'Materials'!R81)</x:f>
      </x:c>
      <x:c r="I81" s="41" t="str">
        <x:f>IF('Materials'!S81="","",'Materials'!S81)</x:f>
      </x:c>
      <x:c r="J81" s="41" t="n">
        <x:f>IF('Materials'!T81="","",'Materials'!T81)</x:f>
        <x:v>6</x:v>
      </x:c>
      <x:c r="K81" s="41" t="str">
        <x:f>IF('Materials'!U81="","",'Materials'!U81)</x:f>
      </x:c>
      <x:c r="L81" s="41" t="n">
        <x:f>IF('Materials'!V81="","",'Materials'!V81)</x:f>
        <x:v>0.13</x:v>
      </x:c>
      <x:c r="M81" s="41" t="n">
        <x:f>IF('Materials'!W81="","",'Materials'!W81)</x:f>
        <x:v>1900</x:v>
      </x:c>
      <x:c r="N81" s="41" t="n">
        <x:f>IF('Materials'!X81="","",'Materials'!X81)</x:f>
        <x:v>200</x:v>
      </x:c>
      <x:c r="O81" s="43" t="n">
        <x:f>IF('Materials'!Y81="","",'Materials'!Y81)</x:f>
        <x:v>10000000000000</x:v>
      </x:c>
      <x:c r="P81" s="41" t="n">
        <x:f>IF('Materials'!Z81="","",'Materials'!Z81)</x:f>
        <x:v>180</x:v>
      </x:c>
      <x:c r="Q81" s="41" t="n">
        <x:f>IF('Materials'!AA81="","",'Materials'!AA81)</x:f>
        <x:v>80</x:v>
      </x:c>
      <x:c r="R81" s="41" t="str">
        <x:f>IF('Materials'!AB81="","",'Materials'!AB81)</x:f>
      </x:c>
      <x:c r="S81" s="41" t="n">
        <x:f>IF('Materials'!O81="","",'Materials'!O81)</x:f>
        <x:v>1</x:v>
      </x:c>
    </x:row>
    <x:row r="82">
      <x:c r="A82" s="42" t="n">
        <x:f>'Materials'!A82</x:f>
        <x:v>3102</x:v>
      </x:c>
      <x:c r="B82" s="41" t="n">
        <x:f>IF('Materials'!I82="","",'Materials'!I82)</x:f>
        <x:v>1230</x:v>
      </x:c>
      <x:c r="C82" s="41" t="n">
        <x:f>IF('Materials'!J82="","",'Materials'!J82)</x:f>
        <x:v>0.015</x:v>
      </x:c>
      <x:c r="D82" s="41" t="n">
        <x:f>IF('Materials'!N82="","",'Materials'!N82)</x:f>
        <x:v>0.005</x:v>
      </x:c>
      <x:c r="E82" s="41" t="n">
        <x:f>IF('Materials'!K82="","",'Materials'!K82)</x:f>
        <x:v>0.49</x:v>
      </x:c>
      <x:c r="F82" s="41" t="str">
        <x:f>IF('Materials'!P82="","",'Materials'!P82)</x:f>
      </x:c>
      <x:c r="G82" s="41" t="n">
        <x:f>IF('Materials'!Q82="","",'Materials'!Q82)</x:f>
        <x:v>15</x:v>
      </x:c>
      <x:c r="H82" s="41" t="str">
        <x:f>IF('Materials'!R82="","",'Materials'!R82)</x:f>
      </x:c>
      <x:c r="I82" s="41" t="str">
        <x:f>IF('Materials'!S82="","",'Materials'!S82)</x:f>
      </x:c>
      <x:c r="J82" s="41" t="n">
        <x:f>IF('Materials'!T82="","",'Materials'!T82)</x:f>
        <x:v>4</x:v>
      </x:c>
      <x:c r="K82" s="41" t="str">
        <x:f>IF('Materials'!U82="","",'Materials'!U82)</x:f>
      </x:c>
      <x:c r="L82" s="41" t="n">
        <x:f>IF('Materials'!V82="","",'Materials'!V82)</x:f>
        <x:v>0.19</x:v>
      </x:c>
      <x:c r="M82" s="41" t="n">
        <x:f>IF('Materials'!W82="","",'Materials'!W82)</x:f>
        <x:v>1900</x:v>
      </x:c>
      <x:c r="N82" s="41" t="n">
        <x:f>IF('Materials'!X82="","",'Materials'!X82)</x:f>
        <x:v>180</x:v>
      </x:c>
      <x:c r="O82" s="43" t="n">
        <x:f>IF('Materials'!Y82="","",'Materials'!Y82)</x:f>
        <x:v>100000000000</x:v>
      </x:c>
      <x:c r="P82" s="41" t="n">
        <x:f>IF('Materials'!Z82="","",'Materials'!Z82)</x:f>
        <x:v>200</x:v>
      </x:c>
      <x:c r="Q82" s="41" t="n">
        <x:f>IF('Materials'!AA82="","",'Materials'!AA82)</x:f>
        <x:v>100</x:v>
      </x:c>
      <x:c r="R82" s="41" t="str">
        <x:f>IF('Materials'!AB82="","",'Materials'!AB82)</x:f>
      </x:c>
      <x:c r="S82" s="41" t="n">
        <x:f>IF('Materials'!O82="","",'Materials'!O82)</x:f>
        <x:v>1.2</x:v>
      </x:c>
    </x:row>
    <x:row r="83">
      <x:c r="A83" s="42" t="n">
        <x:f>'Materials'!A83</x:f>
        <x:v>3103</x:v>
      </x:c>
      <x:c r="B83" s="41" t="n">
        <x:f>IF('Materials'!I83="","",'Materials'!I83)</x:f>
        <x:v>1050</x:v>
      </x:c>
      <x:c r="C83" s="41" t="n">
        <x:f>IF('Materials'!J83="","",'Materials'!J83)</x:f>
        <x:v>0.012</x:v>
      </x:c>
      <x:c r="D83" s="41" t="n">
        <x:f>IF('Materials'!N83="","",'Materials'!N83)</x:f>
        <x:v>0.004</x:v>
      </x:c>
      <x:c r="E83" s="41" t="n">
        <x:f>IF('Materials'!K83="","",'Materials'!K83)</x:f>
        <x:v>0.49</x:v>
      </x:c>
      <x:c r="F83" s="41" t="str">
        <x:f>IF('Materials'!P83="","",'Materials'!P83)</x:f>
      </x:c>
      <x:c r="G83" s="41" t="n">
        <x:f>IF('Materials'!Q83="","",'Materials'!Q83)</x:f>
        <x:v>18</x:v>
      </x:c>
      <x:c r="H83" s="41" t="str">
        <x:f>IF('Materials'!R83="","",'Materials'!R83)</x:f>
      </x:c>
      <x:c r="I83" s="41" t="str">
        <x:f>IF('Materials'!S83="","",'Materials'!S83)</x:f>
      </x:c>
      <x:c r="J83" s="41" t="n">
        <x:f>IF('Materials'!T83="","",'Materials'!T83)</x:f>
        <x:v>3.5</x:v>
      </x:c>
      <x:c r="K83" s="41" t="str">
        <x:f>IF('Materials'!U83="","",'Materials'!U83)</x:f>
      </x:c>
      <x:c r="L83" s="41" t="n">
        <x:f>IF('Materials'!V83="","",'Materials'!V83)</x:f>
        <x:v>0.24</x:v>
      </x:c>
      <x:c r="M83" s="41" t="n">
        <x:f>IF('Materials'!W83="","",'Materials'!W83)</x:f>
        <x:v>1800</x:v>
      </x:c>
      <x:c r="N83" s="41" t="n">
        <x:f>IF('Materials'!X83="","",'Materials'!X83)</x:f>
        <x:v>170</x:v>
      </x:c>
      <x:c r="O83" s="43" t="n">
        <x:f>IF('Materials'!Y83="","",'Materials'!Y83)</x:f>
        <x:v>100000000000</x:v>
      </x:c>
      <x:c r="P83" s="41" t="n">
        <x:f>IF('Materials'!Z83="","",'Materials'!Z83)</x:f>
        <x:v>180</x:v>
      </x:c>
      <x:c r="Q83" s="41" t="n">
        <x:f>IF('Materials'!AA83="","",'Materials'!AA83)</x:f>
        <x:v>100</x:v>
      </x:c>
      <x:c r="R83" s="41" t="str">
        <x:f>IF('Materials'!AB83="","",'Materials'!AB83)</x:f>
      </x:c>
      <x:c r="S83" s="41" t="n">
        <x:f>IF('Materials'!O83="","",'Materials'!O83)</x:f>
        <x:v>1.1</x:v>
      </x:c>
    </x:row>
    <x:row r="84">
      <x:c r="A84" s="42" t="n">
        <x:f>'Materials'!A84</x:f>
        <x:v>3104</x:v>
      </x:c>
      <x:c r="B84" s="41" t="n">
        <x:f>IF('Materials'!I84="","",'Materials'!I84)</x:f>
        <x:v>860</x:v>
      </x:c>
      <x:c r="C84" s="41" t="n">
        <x:f>IF('Materials'!J84="","",'Materials'!J84)</x:f>
        <x:v>0.01</x:v>
      </x:c>
      <x:c r="D84" s="41" t="n">
        <x:f>IF('Materials'!N84="","",'Materials'!N84)</x:f>
        <x:v>0.0034</x:v>
      </x:c>
      <x:c r="E84" s="41" t="n">
        <x:f>IF('Materials'!K84="","",'Materials'!K84)</x:f>
        <x:v>0.49</x:v>
      </x:c>
      <x:c r="F84" s="41" t="str">
        <x:f>IF('Materials'!P84="","",'Materials'!P84)</x:f>
      </x:c>
      <x:c r="G84" s="41" t="n">
        <x:f>IF('Materials'!Q84="","",'Materials'!Q84)</x:f>
        <x:v>14</x:v>
      </x:c>
      <x:c r="H84" s="41" t="str">
        <x:f>IF('Materials'!R84="","",'Materials'!R84)</x:f>
      </x:c>
      <x:c r="I84" s="41" t="str">
        <x:f>IF('Materials'!S84="","",'Materials'!S84)</x:f>
      </x:c>
      <x:c r="J84" s="41" t="n">
        <x:f>IF('Materials'!T84="","",'Materials'!T84)</x:f>
        <x:v>4</x:v>
      </x:c>
      <x:c r="K84" s="41" t="str">
        <x:f>IF('Materials'!U84="","",'Materials'!U84)</x:f>
      </x:c>
      <x:c r="L84" s="41" t="n">
        <x:f>IF('Materials'!V84="","",'Materials'!V84)</x:f>
        <x:v>0.25</x:v>
      </x:c>
      <x:c r="M84" s="41" t="n">
        <x:f>IF('Materials'!W84="","",'Materials'!W84)</x:f>
        <x:v>1900</x:v>
      </x:c>
      <x:c r="N84" s="41" t="n">
        <x:f>IF('Materials'!X84="","",'Materials'!X84)</x:f>
        <x:v>180</x:v>
      </x:c>
      <x:c r="O84" s="43" t="n">
        <x:f>IF('Materials'!Y84="","",'Materials'!Y84)</x:f>
        <x:v>1000000000000</x:v>
      </x:c>
      <x:c r="P84" s="41" t="n">
        <x:f>IF('Materials'!Z84="","",'Materials'!Z84)</x:f>
        <x:v>180</x:v>
      </x:c>
      <x:c r="Q84" s="41" t="n">
        <x:f>IF('Materials'!AA84="","",'Materials'!AA84)</x:f>
        <x:v>130</x:v>
      </x:c>
      <x:c r="R84" s="41" t="str">
        <x:f>IF('Materials'!AB84="","",'Materials'!AB84)</x:f>
      </x:c>
      <x:c r="S84" s="41" t="n">
        <x:f>IF('Materials'!O84="","",'Materials'!O84)</x:f>
        <x:v>1</x:v>
      </x:c>
    </x:row>
    <x:row r="85">
      <x:c r="A85" s="42" t="n">
        <x:f>'Materials'!A85</x:f>
        <x:v>3105</x:v>
      </x:c>
      <x:c r="B85" s="41" t="n">
        <x:f>IF('Materials'!I85="","",'Materials'!I85)</x:f>
        <x:v>1150</x:v>
      </x:c>
      <x:c r="C85" s="41" t="n">
        <x:f>IF('Materials'!J85="","",'Materials'!J85)</x:f>
        <x:v>0.008</x:v>
      </x:c>
      <x:c r="D85" s="41" t="n">
        <x:f>IF('Materials'!N85="","",'Materials'!N85)</x:f>
        <x:v>0.0027</x:v>
      </x:c>
      <x:c r="E85" s="41" t="n">
        <x:f>IF('Materials'!K85="","",'Materials'!K85)</x:f>
        <x:v>0.49</x:v>
      </x:c>
      <x:c r="F85" s="41" t="str">
        <x:f>IF('Materials'!P85="","",'Materials'!P85)</x:f>
      </x:c>
      <x:c r="G85" s="41" t="n">
        <x:f>IF('Materials'!Q85="","",'Materials'!Q85)</x:f>
        <x:v>9</x:v>
      </x:c>
      <x:c r="H85" s="41" t="str">
        <x:f>IF('Materials'!R85="","",'Materials'!R85)</x:f>
      </x:c>
      <x:c r="I85" s="41" t="str">
        <x:f>IF('Materials'!S85="","",'Materials'!S85)</x:f>
      </x:c>
      <x:c r="J85" s="41" t="n">
        <x:f>IF('Materials'!T85="","",'Materials'!T85)</x:f>
        <x:v>4</x:v>
      </x:c>
      <x:c r="K85" s="41" t="str">
        <x:f>IF('Materials'!U85="","",'Materials'!U85)</x:f>
      </x:c>
      <x:c r="L85" s="41" t="n">
        <x:f>IF('Materials'!V85="","",'Materials'!V85)</x:f>
        <x:v>0.2</x:v>
      </x:c>
      <x:c r="M85" s="41" t="n">
        <x:f>IF('Materials'!W85="","",'Materials'!W85)</x:f>
        <x:v>1500</x:v>
      </x:c>
      <x:c r="N85" s="41" t="n">
        <x:f>IF('Materials'!X85="","",'Materials'!X85)</x:f>
        <x:v>250</x:v>
      </x:c>
      <x:c r="O85" s="43" t="n">
        <x:f>IF('Materials'!Y85="","",'Materials'!Y85)</x:f>
        <x:v>100000000000000</x:v>
      </x:c>
      <x:c r="P85" s="41" t="n">
        <x:f>IF('Materials'!Z85="","",'Materials'!Z85)</x:f>
        <x:v>200</x:v>
      </x:c>
      <x:c r="Q85" s="41" t="n">
        <x:f>IF('Materials'!AA85="","",'Materials'!AA85)</x:f>
        <x:v>200</x:v>
      </x:c>
      <x:c r="R85" s="41" t="str">
        <x:f>IF('Materials'!AB85="","",'Materials'!AB85)</x:f>
      </x:c>
      <x:c r="S85" s="41" t="n">
        <x:f>IF('Materials'!O85="","",'Materials'!O85)</x:f>
        <x:v>0.8</x:v>
      </x:c>
    </x:row>
    <x:row r="86">
      <x:c r="A86" s="42" t="n">
        <x:f>'Materials'!A86</x:f>
        <x:v>3106</x:v>
      </x:c>
      <x:c r="B86" s="41" t="n">
        <x:f>IF('Materials'!I86="","",'Materials'!I86)</x:f>
        <x:v>1850</x:v>
      </x:c>
      <x:c r="C86" s="41" t="n">
        <x:f>IF('Materials'!J86="","",'Materials'!J86)</x:f>
        <x:v>0.012</x:v>
      </x:c>
      <x:c r="D86" s="41" t="n">
        <x:f>IF('Materials'!N86="","",'Materials'!N86)</x:f>
        <x:v>0.004</x:v>
      </x:c>
      <x:c r="E86" s="41" t="n">
        <x:f>IF('Materials'!K86="","",'Materials'!K86)</x:f>
        <x:v>0.49</x:v>
      </x:c>
      <x:c r="F86" s="41" t="str">
        <x:f>IF('Materials'!P86="","",'Materials'!P86)</x:f>
      </x:c>
      <x:c r="G86" s="41" t="n">
        <x:f>IF('Materials'!Q86="","",'Materials'!Q86)</x:f>
        <x:v>12</x:v>
      </x:c>
      <x:c r="H86" s="41" t="str">
        <x:f>IF('Materials'!R86="","",'Materials'!R86)</x:f>
      </x:c>
      <x:c r="I86" s="41" t="str">
        <x:f>IF('Materials'!S86="","",'Materials'!S86)</x:f>
      </x:c>
      <x:c r="J86" s="41" t="n">
        <x:f>IF('Materials'!T86="","",'Materials'!T86)</x:f>
        <x:v>2</x:v>
      </x:c>
      <x:c r="K86" s="41" t="str">
        <x:f>IF('Materials'!U86="","",'Materials'!U86)</x:f>
      </x:c>
      <x:c r="L86" s="41" t="n">
        <x:f>IF('Materials'!V86="","",'Materials'!V86)</x:f>
        <x:v>0.2</x:v>
      </x:c>
      <x:c r="M86" s="41" t="n">
        <x:f>IF('Materials'!W86="","",'Materials'!W86)</x:f>
        <x:v>1200</x:v>
      </x:c>
      <x:c r="N86" s="41" t="n">
        <x:f>IF('Materials'!X86="","",'Materials'!X86)</x:f>
        <x:v>180</x:v>
      </x:c>
      <x:c r="O86" s="43" t="n">
        <x:f>IF('Materials'!Y86="","",'Materials'!Y86)</x:f>
        <x:v>1000000000000</x:v>
      </x:c>
      <x:c r="P86" s="41" t="n">
        <x:f>IF('Materials'!Z86="","",'Materials'!Z86)</x:f>
        <x:v>250</x:v>
      </x:c>
      <x:c r="Q86" s="41" t="n">
        <x:f>IF('Materials'!AA86="","",'Materials'!AA86)</x:f>
        <x:v>220</x:v>
      </x:c>
      <x:c r="R86" s="41" t="str">
        <x:f>IF('Materials'!AB86="","",'Materials'!AB86)</x:f>
      </x:c>
      <x:c r="S86" s="41" t="n">
        <x:f>IF('Materials'!O86="","",'Materials'!O86)</x:f>
        <x:v>1.1</x:v>
      </x:c>
    </x:row>
    <x:row r="87">
      <x:c r="A87" s="42" t="n">
        <x:f>'Materials'!A87</x:f>
        <x:v>3107</x:v>
      </x:c>
      <x:c r="B87" s="41" t="n">
        <x:f>IF('Materials'!I87="","",'Materials'!I87)</x:f>
        <x:v>1200</x:v>
      </x:c>
      <x:c r="C87" s="41" t="n">
        <x:f>IF('Materials'!J87="","",'Materials'!J87)</x:f>
        <x:v>0.05</x:v>
      </x:c>
      <x:c r="D87" s="41" t="n">
        <x:f>IF('Materials'!N87="","",'Materials'!N87)</x:f>
        <x:v>0.017</x:v>
      </x:c>
      <x:c r="E87" s="41" t="n">
        <x:f>IF('Materials'!K87="","",'Materials'!K87)</x:f>
        <x:v>0.48</x:v>
      </x:c>
      <x:c r="F87" s="41" t="n">
        <x:f>IF('Materials'!P87="","",'Materials'!P87)</x:f>
        <x:v>12</x:v>
      </x:c>
      <x:c r="G87" s="41" t="n">
        <x:f>IF('Materials'!Q87="","",'Materials'!Q87)</x:f>
        <x:v>35</x:v>
      </x:c>
      <x:c r="H87" s="41" t="str">
        <x:f>IF('Materials'!R87="","",'Materials'!R87)</x:f>
      </x:c>
      <x:c r="I87" s="41" t="str">
        <x:f>IF('Materials'!S87="","",'Materials'!S87)</x:f>
      </x:c>
      <x:c r="J87" s="41" t="n">
        <x:f>IF('Materials'!T87="","",'Materials'!T87)</x:f>
        <x:v>5</x:v>
      </x:c>
      <x:c r="K87" s="41" t="str">
        <x:f>IF('Materials'!U87="","",'Materials'!U87)</x:f>
      </x:c>
      <x:c r="L87" s="41" t="n">
        <x:f>IF('Materials'!V87="","",'Materials'!V87)</x:f>
        <x:v>0.2</x:v>
      </x:c>
      <x:c r="M87" s="41" t="n">
        <x:f>IF('Materials'!W87="","",'Materials'!W87)</x:f>
        <x:v>1700</x:v>
      </x:c>
      <x:c r="N87" s="41" t="n">
        <x:f>IF('Materials'!X87="","",'Materials'!X87)</x:f>
        <x:v>160</x:v>
      </x:c>
      <x:c r="O87" s="43" t="n">
        <x:f>IF('Materials'!Y87="","",'Materials'!Y87)</x:f>
        <x:v>100000000000</x:v>
      </x:c>
      <x:c r="P87" s="41" t="n">
        <x:f>IF('Materials'!Z87="","",'Materials'!Z87)</x:f>
        <x:v>180</x:v>
      </x:c>
      <x:c r="Q87" s="41" t="n">
        <x:f>IF('Materials'!AA87="","",'Materials'!AA87)</x:f>
        <x:v>100</x:v>
      </x:c>
      <x:c r="R87" s="41" t="str">
        <x:f>IF('Materials'!AB87="","",'Materials'!AB87)</x:f>
      </x:c>
      <x:c r="S87" s="41" t="n">
        <x:f>IF('Materials'!O87="","",'Materials'!O87)</x:f>
        <x:v>1</x:v>
      </x:c>
    </x:row>
    <x:row r="88">
      <x:c r="A88" s="42" t="n">
        <x:f>'Materials'!A88</x:f>
        <x:v>4001</x:v>
      </x:c>
      <x:c r="B88" s="41" t="n">
        <x:f>IF('Materials'!I88="","",'Materials'!I88)</x:f>
        <x:v>2500</x:v>
      </x:c>
      <x:c r="C88" s="41" t="n">
        <x:f>IF('Materials'!J88="","",'Materials'!J88)</x:f>
        <x:v>70</x:v>
      </x:c>
      <x:c r="D88" s="41" t="n">
        <x:f>IF('Materials'!N88="","",'Materials'!N88)</x:f>
        <x:v>28.45528455284553</x:v>
      </x:c>
      <x:c r="E88" s="41" t="n">
        <x:f>IF('Materials'!K88="","",'Materials'!K88)</x:f>
        <x:v>0.23</x:v>
      </x:c>
      <x:c r="F88" s="41" t="str">
        <x:f>IF('Materials'!P88="","",'Materials'!P88)</x:f>
      </x:c>
      <x:c r="G88" s="41" t="n">
        <x:f>IF('Materials'!Q88="","",'Materials'!Q88)</x:f>
        <x:v>45</x:v>
      </x:c>
      <x:c r="H88" s="41" t="n">
        <x:f>IF('Materials'!R88="","",'Materials'!R88)</x:f>
        <x:v>1000</x:v>
      </x:c>
      <x:c r="I88" s="41" t="n">
        <x:f>IF('Materials'!S88="","",'Materials'!S88)</x:f>
        <x:v>70</x:v>
      </x:c>
      <x:c r="J88" s="41" t="n">
        <x:f>IF('Materials'!T88="","",'Materials'!T88)</x:f>
        <x:v>0.001</x:v>
      </x:c>
      <x:c r="K88" s="41" t="str">
        <x:f>IF('Materials'!U88="","",'Materials'!U88)</x:f>
      </x:c>
      <x:c r="L88" s="41" t="n">
        <x:f>IF('Materials'!V88="","",'Materials'!V88)</x:f>
        <x:v>1</x:v>
      </x:c>
      <x:c r="M88" s="41" t="n">
        <x:f>IF('Materials'!W88="","",'Materials'!W88)</x:f>
        <x:v>840</x:v>
      </x:c>
      <x:c r="N88" s="41" t="n">
        <x:f>IF('Materials'!X88="","",'Materials'!X88)</x:f>
        <x:v>9</x:v>
      </x:c>
      <x:c r="O88" s="43" t="n">
        <x:f>IF('Materials'!Y88="","",'Materials'!Y88)</x:f>
        <x:v>10000000000</x:v>
      </x:c>
      <x:c r="P88" s="41" t="n">
        <x:f>IF('Materials'!Z88="","",'Materials'!Z88)</x:f>
        <x:v>720</x:v>
      </x:c>
      <x:c r="Q88" s="41" t="n">
        <x:f>IF('Materials'!AA88="","",'Materials'!AA88)</x:f>
        <x:v>250</x:v>
      </x:c>
      <x:c r="R88" s="41" t="n">
        <x:f>IF('Materials'!AB88="","",'Materials'!AB88)</x:f>
        <x:v>550</x:v>
      </x:c>
      <x:c r="S88" s="41" t="n">
        <x:f>IF('Materials'!O88="","",'Materials'!O88)</x:f>
        <x:v>43.20987654320987</x:v>
      </x:c>
    </x:row>
    <x:row r="89">
      <x:c r="A89" s="42" t="n">
        <x:f>'Materials'!A89</x:f>
        <x:v>4002</x:v>
      </x:c>
      <x:c r="B89" s="41" t="n">
        <x:f>IF('Materials'!I89="","",'Materials'!I89)</x:f>
        <x:v>2230</x:v>
      </x:c>
      <x:c r="C89" s="41" t="n">
        <x:f>IF('Materials'!J89="","",'Materials'!J89)</x:f>
        <x:v>64</x:v>
      </x:c>
      <x:c r="D89" s="41" t="n">
        <x:f>IF('Materials'!N89="","",'Materials'!N89)</x:f>
        <x:v>26.666666666666668</x:v>
      </x:c>
      <x:c r="E89" s="41" t="n">
        <x:f>IF('Materials'!K89="","",'Materials'!K89)</x:f>
        <x:v>0.2</x:v>
      </x:c>
      <x:c r="F89" s="41" t="str">
        <x:f>IF('Materials'!P89="","",'Materials'!P89)</x:f>
      </x:c>
      <x:c r="G89" s="41" t="n">
        <x:f>IF('Materials'!Q89="","",'Materials'!Q89)</x:f>
        <x:v>40</x:v>
      </x:c>
      <x:c r="H89" s="41" t="n">
        <x:f>IF('Materials'!R89="","",'Materials'!R89)</x:f>
        <x:v>1000</x:v>
      </x:c>
      <x:c r="I89" s="41" t="n">
        <x:f>IF('Materials'!S89="","",'Materials'!S89)</x:f>
        <x:v>70</x:v>
      </x:c>
      <x:c r="J89" s="41" t="n">
        <x:f>IF('Materials'!T89="","",'Materials'!T89)</x:f>
        <x:v>0.001</x:v>
      </x:c>
      <x:c r="K89" s="41" t="n">
        <x:f>IF('Materials'!U89="","",'Materials'!U89)</x:f>
        <x:v>0.8</x:v>
      </x:c>
      <x:c r="L89" s="41" t="n">
        <x:f>IF('Materials'!V89="","",'Materials'!V89)</x:f>
        <x:v>1.2</x:v>
      </x:c>
      <x:c r="M89" s="41" t="n">
        <x:f>IF('Materials'!W89="","",'Materials'!W89)</x:f>
        <x:v>830</x:v>
      </x:c>
      <x:c r="N89" s="41" t="n">
        <x:f>IF('Materials'!X89="","",'Materials'!X89)</x:f>
        <x:v>3.3</x:v>
      </x:c>
      <x:c r="O89" s="43" t="n">
        <x:f>IF('Materials'!Y89="","",'Materials'!Y89)</x:f>
        <x:v>1000000000000</x:v>
      </x:c>
      <x:c r="P89" s="41" t="n">
        <x:f>IF('Materials'!Z89="","",'Materials'!Z89)</x:f>
        <x:v>820</x:v>
      </x:c>
      <x:c r="Q89" s="41" t="n">
        <x:f>IF('Materials'!AA89="","",'Materials'!AA89)</x:f>
        <x:v>450</x:v>
      </x:c>
      <x:c r="R89" s="41" t="n">
        <x:f>IF('Materials'!AB89="","",'Materials'!AB89)</x:f>
        <x:v>480</x:v>
      </x:c>
      <x:c r="S89" s="41" t="n">
        <x:f>IF('Materials'!O89="","",'Materials'!O89)</x:f>
        <x:v>35.55555555555556</x:v>
      </x:c>
    </x:row>
    <x:row r="90">
      <x:c r="A90" s="42" t="n">
        <x:f>'Materials'!A90</x:f>
        <x:v>4003</x:v>
      </x:c>
      <x:c r="B90" s="41" t="n">
        <x:f>IF('Materials'!I90="","",'Materials'!I90)</x:f>
        <x:v>2200</x:v>
      </x:c>
      <x:c r="C90" s="41" t="n">
        <x:f>IF('Materials'!J90="","",'Materials'!J90)</x:f>
        <x:v>73</x:v>
      </x:c>
      <x:c r="D90" s="41" t="n">
        <x:f>IF('Materials'!N90="","",'Materials'!N90)</x:f>
        <x:v>31.1965811965812</x:v>
      </x:c>
      <x:c r="E90" s="41" t="n">
        <x:f>IF('Materials'!K90="","",'Materials'!K90)</x:f>
        <x:v>0.17</x:v>
      </x:c>
      <x:c r="F90" s="41" t="str">
        <x:f>IF('Materials'!P90="","",'Materials'!P90)</x:f>
      </x:c>
      <x:c r="G90" s="41" t="n">
        <x:f>IF('Materials'!Q90="","",'Materials'!Q90)</x:f>
        <x:v>50</x:v>
      </x:c>
      <x:c r="H90" s="41" t="n">
        <x:f>IF('Materials'!R90="","",'Materials'!R90)</x:f>
        <x:v>1100</x:v>
      </x:c>
      <x:c r="I90" s="41" t="n">
        <x:f>IF('Materials'!S90="","",'Materials'!S90)</x:f>
        <x:v>70</x:v>
      </x:c>
      <x:c r="J90" s="41" t="n">
        <x:f>IF('Materials'!T90="","",'Materials'!T90)</x:f>
        <x:v>0.001</x:v>
      </x:c>
      <x:c r="K90" s="41" t="n">
        <x:f>IF('Materials'!U90="","",'Materials'!U90)</x:f>
        <x:v>0.75</x:v>
      </x:c>
      <x:c r="L90" s="41" t="n">
        <x:f>IF('Materials'!V90="","",'Materials'!V90)</x:f>
        <x:v>1.38</x:v>
      </x:c>
      <x:c r="M90" s="41" t="n">
        <x:f>IF('Materials'!W90="","",'Materials'!W90)</x:f>
        <x:v>740</x:v>
      </x:c>
      <x:c r="N90" s="41" t="n">
        <x:f>IF('Materials'!X90="","",'Materials'!X90)</x:f>
        <x:v>0.55</x:v>
      </x:c>
      <x:c r="O90" s="43" t="n">
        <x:f>IF('Materials'!Y90="","",'Materials'!Y90)</x:f>
        <x:v>10000000000000000</x:v>
      </x:c>
      <x:c r="P90" s="41" t="n">
        <x:f>IF('Materials'!Z90="","",'Materials'!Z90)</x:f>
        <x:v>1665</x:v>
      </x:c>
      <x:c r="Q90" s="41" t="n">
        <x:f>IF('Materials'!AA90="","",'Materials'!AA90)</x:f>
        <x:v>1000</x:v>
      </x:c>
      <x:c r="R90" s="41" t="n">
        <x:f>IF('Materials'!AB90="","",'Materials'!AB90)</x:f>
        <x:v>600</x:v>
      </x:c>
      <x:c r="S90" s="41" t="n">
        <x:f>IF('Materials'!O90="","",'Materials'!O90)</x:f>
        <x:v>36.86868686868687</x:v>
      </x:c>
    </x:row>
    <x:row r="91">
      <x:c r="A91" s="42" t="n">
        <x:f>'Materials'!A91</x:f>
        <x:v>4101</x:v>
      </x:c>
      <x:c r="B91" s="41" t="n">
        <x:f>IF('Materials'!I91="","",'Materials'!I91)</x:f>
        <x:v>3700</x:v>
      </x:c>
      <x:c r="C91" s="41" t="n">
        <x:f>IF('Materials'!J91="","",'Materials'!J91)</x:f>
        <x:v>300</x:v>
      </x:c>
      <x:c r="D91" s="41" t="n">
        <x:f>IF('Materials'!N91="","",'Materials'!N91)</x:f>
        <x:v>122.95081967213115</x:v>
      </x:c>
      <x:c r="E91" s="41" t="n">
        <x:f>IF('Materials'!K91="","",'Materials'!K91)</x:f>
        <x:v>0.22</x:v>
      </x:c>
      <x:c r="F91" s="41" t="str">
        <x:f>IF('Materials'!P91="","",'Materials'!P91)</x:f>
      </x:c>
      <x:c r="G91" s="41" t="n">
        <x:f>IF('Materials'!Q91="","",'Materials'!Q91)</x:f>
        <x:v>250</x:v>
      </x:c>
      <x:c r="H91" s="41" t="n">
        <x:f>IF('Materials'!R91="","",'Materials'!R91)</x:f>
        <x:v>2000</x:v>
      </x:c>
      <x:c r="I91" s="41" t="n">
        <x:f>IF('Materials'!S91="","",'Materials'!S91)</x:f>
        <x:v>300</x:v>
      </x:c>
      <x:c r="J91" s="41" t="n">
        <x:f>IF('Materials'!T91="","",'Materials'!T91)</x:f>
        <x:v>0.001</x:v>
      </x:c>
      <x:c r="K91" s="41" t="n">
        <x:f>IF('Materials'!U91="","",'Materials'!U91)</x:f>
        <x:v>3.5</x:v>
      </x:c>
      <x:c r="L91" s="41" t="n">
        <x:f>IF('Materials'!V91="","",'Materials'!V91)</x:f>
        <x:v>24</x:v>
      </x:c>
      <x:c r="M91" s="41" t="n">
        <x:f>IF('Materials'!W91="","",'Materials'!W91)</x:f>
        <x:v>880</x:v>
      </x:c>
      <x:c r="N91" s="41" t="n">
        <x:f>IF('Materials'!X91="","",'Materials'!X91)</x:f>
        <x:v>7.5</x:v>
      </x:c>
      <x:c r="O91" s="43" t="n">
        <x:f>IF('Materials'!Y91="","",'Materials'!Y91)</x:f>
        <x:v>1000000000000</x:v>
      </x:c>
      <x:c r="P91" s="41" t="n">
        <x:f>IF('Materials'!Z91="","",'Materials'!Z91)</x:f>
        <x:v>2050</x:v>
      </x:c>
      <x:c r="Q91" s="41" t="n">
        <x:f>IF('Materials'!AA91="","",'Materials'!AA91)</x:f>
        <x:v>1500</x:v>
      </x:c>
      <x:c r="R91" s="41" t="n">
        <x:f>IF('Materials'!AB91="","",'Materials'!AB91)</x:f>
        <x:v>1400</x:v>
      </x:c>
      <x:c r="S91" s="41" t="n">
        <x:f>IF('Materials'!O91="","",'Materials'!O91)</x:f>
        <x:v>178.57142857142856</x:v>
      </x:c>
    </x:row>
    <x:row r="92">
      <x:c r="A92" s="42" t="n">
        <x:f>'Materials'!A92</x:f>
        <x:v>4102</x:v>
      </x:c>
      <x:c r="B92" s="41" t="n">
        <x:f>IF('Materials'!I92="","",'Materials'!I92)</x:f>
        <x:v>3900</x:v>
      </x:c>
      <x:c r="C92" s="41" t="n">
        <x:f>IF('Materials'!J92="","",'Materials'!J92)</x:f>
        <x:v>370</x:v>
      </x:c>
      <x:c r="D92" s="41" t="n">
        <x:f>IF('Materials'!N92="","",'Materials'!N92)</x:f>
        <x:v>151.63934426229508</x:v>
      </x:c>
      <x:c r="E92" s="41" t="n">
        <x:f>IF('Materials'!K92="","",'Materials'!K92)</x:f>
        <x:v>0.22</x:v>
      </x:c>
      <x:c r="F92" s="41" t="str">
        <x:f>IF('Materials'!P92="","",'Materials'!P92)</x:f>
      </x:c>
      <x:c r="G92" s="41" t="n">
        <x:f>IF('Materials'!Q92="","",'Materials'!Q92)</x:f>
        <x:v>300</x:v>
      </x:c>
      <x:c r="H92" s="41" t="n">
        <x:f>IF('Materials'!R92="","",'Materials'!R92)</x:f>
        <x:v>2500</x:v>
      </x:c>
      <x:c r="I92" s="41" t="n">
        <x:f>IF('Materials'!S92="","",'Materials'!S92)</x:f>
        <x:v>380</x:v>
      </x:c>
      <x:c r="J92" s="41" t="n">
        <x:f>IF('Materials'!T92="","",'Materials'!T92)</x:f>
        <x:v>0.001</x:v>
      </x:c>
      <x:c r="K92" s="41" t="n">
        <x:f>IF('Materials'!U92="","",'Materials'!U92)</x:f>
        <x:v>4</x:v>
      </x:c>
      <x:c r="L92" s="41" t="n">
        <x:f>IF('Materials'!V92="","",'Materials'!V92)</x:f>
        <x:v>30</x:v>
      </x:c>
      <x:c r="M92" s="41" t="n">
        <x:f>IF('Materials'!W92="","",'Materials'!W92)</x:f>
        <x:v>880</x:v>
      </x:c>
      <x:c r="N92" s="41" t="n">
        <x:f>IF('Materials'!X92="","",'Materials'!X92)</x:f>
        <x:v>7.8</x:v>
      </x:c>
      <x:c r="O92" s="43" t="n">
        <x:f>IF('Materials'!Y92="","",'Materials'!Y92)</x:f>
        <x:v>10000000000000</x:v>
      </x:c>
      <x:c r="P92" s="41" t="n">
        <x:f>IF('Materials'!Z92="","",'Materials'!Z92)</x:f>
        <x:v>2050</x:v>
      </x:c>
      <x:c r="Q92" s="41" t="n">
        <x:f>IF('Materials'!AA92="","",'Materials'!AA92)</x:f>
        <x:v>1600</x:v>
      </x:c>
      <x:c r="R92" s="41" t="n">
        <x:f>IF('Materials'!AB92="","",'Materials'!AB92)</x:f>
        <x:v>1700</x:v>
      </x:c>
      <x:c r="S92" s="41" t="n">
        <x:f>IF('Materials'!O92="","",'Materials'!O92)</x:f>
        <x:v>220.2380952380952</x:v>
      </x:c>
    </x:row>
    <x:row r="93">
      <x:c r="A93" s="42" t="n">
        <x:f>'Materials'!A93</x:f>
        <x:v>4103</x:v>
      </x:c>
      <x:c r="B93" s="41" t="n">
        <x:f>IF('Materials'!I93="","",'Materials'!I93)</x:f>
        <x:v>6050</x:v>
      </x:c>
      <x:c r="C93" s="41" t="n">
        <x:f>IF('Materials'!J93="","",'Materials'!J93)</x:f>
        <x:v>210</x:v>
      </x:c>
      <x:c r="D93" s="41" t="n">
        <x:f>IF('Materials'!N93="","",'Materials'!N93)</x:f>
        <x:v>80.1526717557252</x:v>
      </x:c>
      <x:c r="E93" s="41" t="n">
        <x:f>IF('Materials'!K93="","",'Materials'!K93)</x:f>
        <x:v>0.31</x:v>
      </x:c>
      <x:c r="F93" s="41" t="str">
        <x:f>IF('Materials'!P93="","",'Materials'!P93)</x:f>
      </x:c>
      <x:c r="G93" s="41" t="n">
        <x:f>IF('Materials'!Q93="","",'Materials'!Q93)</x:f>
        <x:v>700</x:v>
      </x:c>
      <x:c r="H93" s="41" t="n">
        <x:f>IF('Materials'!R93="","",'Materials'!R93)</x:f>
        <x:v>2000</x:v>
      </x:c>
      <x:c r="I93" s="41" t="n">
        <x:f>IF('Materials'!S93="","",'Materials'!S93)</x:f>
        <x:v>1000</x:v>
      </x:c>
      <x:c r="J93" s="41" t="n">
        <x:f>IF('Materials'!T93="","",'Materials'!T93)</x:f>
        <x:v>0.003</x:v>
      </x:c>
      <x:c r="K93" s="41" t="n">
        <x:f>IF('Materials'!U93="","",'Materials'!U93)</x:f>
        <x:v>8</x:v>
      </x:c>
      <x:c r="L93" s="41" t="n">
        <x:f>IF('Materials'!V93="","",'Materials'!V93)</x:f>
        <x:v>2.5</x:v>
      </x:c>
      <x:c r="M93" s="41" t="n">
        <x:f>IF('Materials'!W93="","",'Materials'!W93)</x:f>
        <x:v>480</x:v>
      </x:c>
      <x:c r="N93" s="41" t="n">
        <x:f>IF('Materials'!X93="","",'Materials'!X93)</x:f>
        <x:v>10.5</x:v>
      </x:c>
      <x:c r="O93" s="43" t="n">
        <x:f>IF('Materials'!Y93="","",'Materials'!Y93)</x:f>
        <x:v>1000000000</x:v>
      </x:c>
      <x:c r="P93" s="41" t="n">
        <x:f>IF('Materials'!Z93="","",'Materials'!Z93)</x:f>
        <x:v>2700</x:v>
      </x:c>
      <x:c r="Q93" s="41" t="n">
        <x:f>IF('Materials'!AA93="","",'Materials'!AA93)</x:f>
        <x:v>1000</x:v>
      </x:c>
      <x:c r="R93" s="41" t="n">
        <x:f>IF('Materials'!AB93="","",'Materials'!AB93)</x:f>
        <x:v>1200</x:v>
      </x:c>
      <x:c r="S93" s="41" t="n">
        <x:f>IF('Materials'!O93="","",'Materials'!O93)</x:f>
        <x:v>184.21052631578945</x:v>
      </x:c>
    </x:row>
    <x:row r="94">
      <x:c r="A94" s="42" t="n">
        <x:f>'Materials'!A94</x:f>
        <x:v>4104</x:v>
      </x:c>
      <x:c r="B94" s="41" t="n">
        <x:f>IF('Materials'!I94="","",'Materials'!I94)</x:f>
        <x:v>3150</x:v>
      </x:c>
      <x:c r="C94" s="41" t="n">
        <x:f>IF('Materials'!J94="","",'Materials'!J94)</x:f>
        <x:v>410</x:v>
      </x:c>
      <x:c r="D94" s="41" t="n">
        <x:f>IF('Materials'!N94="","",'Materials'!N94)</x:f>
        <x:v>175.21367521367523</x:v>
      </x:c>
      <x:c r="E94" s="41" t="n">
        <x:f>IF('Materials'!K94="","",'Materials'!K94)</x:f>
        <x:v>0.17</x:v>
      </x:c>
      <x:c r="F94" s="41" t="str">
        <x:f>IF('Materials'!P94="","",'Materials'!P94)</x:f>
      </x:c>
      <x:c r="G94" s="41" t="n">
        <x:f>IF('Materials'!Q94="","",'Materials'!Q94)</x:f>
        <x:v>300</x:v>
      </x:c>
      <x:c r="H94" s="41" t="n">
        <x:f>IF('Materials'!R94="","",'Materials'!R94)</x:f>
        <x:v>3500</x:v>
      </x:c>
      <x:c r="I94" s="41" t="n">
        <x:f>IF('Materials'!S94="","",'Materials'!S94)</x:f>
        <x:v>450</x:v>
      </x:c>
      <x:c r="J94" s="41" t="n">
        <x:f>IF('Materials'!T94="","",'Materials'!T94)</x:f>
        <x:v>0.001</x:v>
      </x:c>
      <x:c r="K94" s="41" t="n">
        <x:f>IF('Materials'!U94="","",'Materials'!U94)</x:f>
        <x:v>4</x:v>
      </x:c>
      <x:c r="L94" s="41" t="n">
        <x:f>IF('Materials'!V94="","",'Materials'!V94)</x:f>
        <x:v>120</x:v>
      </x:c>
      <x:c r="M94" s="41" t="n">
        <x:f>IF('Materials'!W94="","",'Materials'!W94)</x:f>
        <x:v>750</x:v>
      </x:c>
      <x:c r="N94" s="41" t="n">
        <x:f>IF('Materials'!X94="","",'Materials'!X94)</x:f>
        <x:v>4.3</x:v>
      </x:c>
      <x:c r="O94" s="43" t="n">
        <x:f>IF('Materials'!Y94="","",'Materials'!Y94)</x:f>
        <x:v>100000</x:v>
      </x:c>
      <x:c r="P94" s="41" t="n">
        <x:f>IF('Materials'!Z94="","",'Materials'!Z94)</x:f>
        <x:v>2700</x:v>
      </x:c>
      <x:c r="Q94" s="41" t="n">
        <x:f>IF('Materials'!AA94="","",'Materials'!AA94)</x:f>
        <x:v>1600</x:v>
      </x:c>
      <x:c r="R94" s="41" t="n">
        <x:f>IF('Materials'!AB94="","",'Materials'!AB94)</x:f>
        <x:v>2500</x:v>
      </x:c>
      <x:c r="S94" s="41" t="n">
        <x:f>IF('Materials'!O94="","",'Materials'!O94)</x:f>
        <x:v>207.0707070707071</x:v>
      </x:c>
    </x:row>
    <x:row r="95">
      <x:c r="A95" s="42" t="n">
        <x:f>'Materials'!A95</x:f>
        <x:v>4105</x:v>
      </x:c>
      <x:c r="B95" s="41" t="n">
        <x:f>IF('Materials'!I95="","",'Materials'!I95)</x:f>
        <x:v>3200</x:v>
      </x:c>
      <x:c r="C95" s="41" t="n">
        <x:f>IF('Materials'!J95="","",'Materials'!J95)</x:f>
        <x:v>300</x:v>
      </x:c>
      <x:c r="D95" s="41" t="n">
        <x:f>IF('Materials'!N95="","",'Materials'!N95)</x:f>
        <x:v>118.11023622047244</x:v>
      </x:c>
      <x:c r="E95" s="41" t="n">
        <x:f>IF('Materials'!K95="","",'Materials'!K95)</x:f>
        <x:v>0.27</x:v>
      </x:c>
      <x:c r="F95" s="41" t="str">
        <x:f>IF('Materials'!P95="","",'Materials'!P95)</x:f>
      </x:c>
      <x:c r="G95" s="41" t="n">
        <x:f>IF('Materials'!Q95="","",'Materials'!Q95)</x:f>
        <x:v>500</x:v>
      </x:c>
      <x:c r="H95" s="41" t="n">
        <x:f>IF('Materials'!R95="","",'Materials'!R95)</x:f>
        <x:v>3000</x:v>
      </x:c>
      <x:c r="I95" s="41" t="n">
        <x:f>IF('Materials'!S95="","",'Materials'!S95)</x:f>
        <x:v>800</x:v>
      </x:c>
      <x:c r="J95" s="41" t="n">
        <x:f>IF('Materials'!T95="","",'Materials'!T95)</x:f>
        <x:v>0.002</x:v>
      </x:c>
      <x:c r="K95" s="41" t="n">
        <x:f>IF('Materials'!U95="","",'Materials'!U95)</x:f>
        <x:v>6.5</x:v>
      </x:c>
      <x:c r="L95" s="41" t="n">
        <x:f>IF('Materials'!V95="","",'Materials'!V95)</x:f>
        <x:v>25</x:v>
      </x:c>
      <x:c r="M95" s="41" t="n">
        <x:f>IF('Materials'!W95="","",'Materials'!W95)</x:f>
        <x:v>700</x:v>
      </x:c>
      <x:c r="N95" s="41" t="n">
        <x:f>IF('Materials'!X95="","",'Materials'!X95)</x:f>
        <x:v>3.2</x:v>
      </x:c>
      <x:c r="O95" s="43" t="n">
        <x:f>IF('Materials'!Y95="","",'Materials'!Y95)</x:f>
        <x:v>1000000000000</x:v>
      </x:c>
      <x:c r="P95" s="41" t="n">
        <x:f>IF('Materials'!Z95="","",'Materials'!Z95)</x:f>
        <x:v>1900</x:v>
      </x:c>
      <x:c r="Q95" s="41" t="n">
        <x:f>IF('Materials'!AA95="","",'Materials'!AA95)</x:f>
        <x:v>1200</x:v>
      </x:c>
      <x:c r="R95" s="41" t="n">
        <x:f>IF('Materials'!AB95="","",'Materials'!AB95)</x:f>
        <x:v>1600</x:v>
      </x:c>
      <x:c r="S95" s="41" t="n">
        <x:f>IF('Materials'!O95="","",'Materials'!O95)</x:f>
        <x:v>217.3913043478261</x:v>
      </x:c>
    </x:row>
    <x:row r="96">
      <x:c r="A96" s="42" t="n">
        <x:f>'Materials'!A96</x:f>
        <x:v>4106</x:v>
      </x:c>
      <x:c r="B96" s="41" t="n">
        <x:f>IF('Materials'!I96="","",'Materials'!I96)</x:f>
        <x:v>3260</x:v>
      </x:c>
      <x:c r="C96" s="41" t="n">
        <x:f>IF('Materials'!J96="","",'Materials'!J96)</x:f>
        <x:v>310</x:v>
      </x:c>
      <x:c r="D96" s="41" t="n">
        <x:f>IF('Materials'!N96="","",'Materials'!N96)</x:f>
        <x:v>125</x:v>
      </x:c>
      <x:c r="E96" s="41" t="n">
        <x:f>IF('Materials'!K96="","",'Materials'!K96)</x:f>
        <x:v>0.24</x:v>
      </x:c>
      <x:c r="F96" s="41" t="str">
        <x:f>IF('Materials'!P96="","",'Materials'!P96)</x:f>
      </x:c>
      <x:c r="G96" s="41" t="n">
        <x:f>IF('Materials'!Q96="","",'Materials'!Q96)</x:f>
        <x:v>300</x:v>
      </x:c>
      <x:c r="H96" s="41" t="n">
        <x:f>IF('Materials'!R96="","",'Materials'!R96)</x:f>
        <x:v>2100</x:v>
      </x:c>
      <x:c r="I96" s="41" t="n">
        <x:f>IF('Materials'!S96="","",'Materials'!S96)</x:f>
        <x:v>350</x:v>
      </x:c>
      <x:c r="J96" s="41" t="n">
        <x:f>IF('Materials'!T96="","",'Materials'!T96)</x:f>
        <x:v>0.001</x:v>
      </x:c>
      <x:c r="K96" s="41" t="n">
        <x:f>IF('Materials'!U96="","",'Materials'!U96)</x:f>
        <x:v>3</x:v>
      </x:c>
      <x:c r="L96" s="41" t="n">
        <x:f>IF('Materials'!V96="","",'Materials'!V96)</x:f>
        <x:v>170</x:v>
      </x:c>
      <x:c r="M96" s="41" t="n">
        <x:f>IF('Materials'!W96="","",'Materials'!W96)</x:f>
        <x:v>740</x:v>
      </x:c>
      <x:c r="N96" s="41" t="n">
        <x:f>IF('Materials'!X96="","",'Materials'!X96)</x:f>
        <x:v>4.5</x:v>
      </x:c>
      <x:c r="O96" s="43" t="n">
        <x:f>IF('Materials'!Y96="","",'Materials'!Y96)</x:f>
        <x:v>1000000000000</x:v>
      </x:c>
      <x:c r="P96" s="41" t="n">
        <x:f>IF('Materials'!Z96="","",'Materials'!Z96)</x:f>
        <x:v>2200</x:v>
      </x:c>
      <x:c r="Q96" s="41" t="n">
        <x:f>IF('Materials'!AA96="","",'Materials'!AA96)</x:f>
        <x:v>1000</x:v>
      </x:c>
      <x:c r="R96" s="41" t="n">
        <x:f>IF('Materials'!AB96="","",'Materials'!AB96)</x:f>
        <x:v>1100</x:v>
      </x:c>
      <x:c r="S96" s="41" t="n">
        <x:f>IF('Materials'!O96="","",'Materials'!O96)</x:f>
        <x:v>198.7179487179487</x:v>
      </x:c>
    </x:row>
    <x:row r="97">
      <x:c r="A97" s="42" t="n">
        <x:f>'Materials'!A97</x:f>
        <x:v>4107</x:v>
      </x:c>
      <x:c r="B97" s="41" t="n">
        <x:f>IF('Materials'!I97="","",'Materials'!I97)</x:f>
        <x:v>2520</x:v>
      </x:c>
      <x:c r="C97" s="41" t="n">
        <x:f>IF('Materials'!J97="","",'Materials'!J97)</x:f>
        <x:v>450</x:v>
      </x:c>
      <x:c r="D97" s="41" t="n">
        <x:f>IF('Materials'!N97="","",'Materials'!N97)</x:f>
        <x:v>192.30769230769232</x:v>
      </x:c>
      <x:c r="E97" s="41" t="n">
        <x:f>IF('Materials'!K97="","",'Materials'!K97)</x:f>
        <x:v>0.17</x:v>
      </x:c>
      <x:c r="F97" s="41" t="str">
        <x:f>IF('Materials'!P97="","",'Materials'!P97)</x:f>
      </x:c>
      <x:c r="G97" s="41" t="n">
        <x:f>IF('Materials'!Q97="","",'Materials'!Q97)</x:f>
        <x:v>300</x:v>
      </x:c>
      <x:c r="H97" s="41" t="n">
        <x:f>IF('Materials'!R97="","",'Materials'!R97)</x:f>
        <x:v>3500</x:v>
      </x:c>
      <x:c r="I97" s="41" t="n">
        <x:f>IF('Materials'!S97="","",'Materials'!S97)</x:f>
        <x:v>500</x:v>
      </x:c>
      <x:c r="J97" s="41" t="n">
        <x:f>IF('Materials'!T97="","",'Materials'!T97)</x:f>
        <x:v>0.001</x:v>
      </x:c>
      <x:c r="K97" s="41" t="n">
        <x:f>IF('Materials'!U97="","",'Materials'!U97)</x:f>
        <x:v>3</x:v>
      </x:c>
      <x:c r="L97" s="41" t="n">
        <x:f>IF('Materials'!V97="","",'Materials'!V97)</x:f>
        <x:v>30</x:v>
      </x:c>
      <x:c r="M97" s="41" t="n">
        <x:f>IF('Materials'!W97="","",'Materials'!W97)</x:f>
        <x:v>950</x:v>
      </x:c>
      <x:c r="N97" s="41" t="n">
        <x:f>IF('Materials'!X97="","",'Materials'!X97)</x:f>
        <x:v>4.5</x:v>
      </x:c>
      <x:c r="O97" s="43" t="n">
        <x:f>IF('Materials'!Y97="","",'Materials'!Y97)</x:f>
        <x:v>10000</x:v>
      </x:c>
      <x:c r="P97" s="41" t="n">
        <x:f>IF('Materials'!Z97="","",'Materials'!Z97)</x:f>
        <x:v>2450</x:v>
      </x:c>
      <x:c r="Q97" s="41" t="n">
        <x:f>IF('Materials'!AA97="","",'Materials'!AA97)</x:f>
        <x:v>1800</x:v>
      </x:c>
      <x:c r="R97" s="41" t="n">
        <x:f>IF('Materials'!AB97="","",'Materials'!AB97)</x:f>
        <x:v>3000</x:v>
      </x:c>
      <x:c r="S97" s="41" t="n">
        <x:f>IF('Materials'!O97="","",'Materials'!O97)</x:f>
        <x:v>227.2727272727273</x:v>
      </x:c>
    </x:row>
    <x:row r="98">
      <x:c r="A98" s="42" t="n">
        <x:f>'Materials'!A98</x:f>
        <x:v>4108</x:v>
      </x:c>
      <x:c r="B98" s="41" t="n">
        <x:f>IF('Materials'!I98="","",'Materials'!I98)</x:f>
        <x:v>2800</x:v>
      </x:c>
      <x:c r="C98" s="41" t="n">
        <x:f>IF('Materials'!J98="","",'Materials'!J98)</x:f>
        <x:v>145</x:v>
      </x:c>
      <x:c r="D98" s="41" t="n">
        <x:f>IF('Materials'!N98="","",'Materials'!N98)</x:f>
        <x:v>58</x:v>
      </x:c>
      <x:c r="E98" s="41" t="n">
        <x:f>IF('Materials'!K98="","",'Materials'!K98)</x:f>
        <x:v>0.25</x:v>
      </x:c>
      <x:c r="F98" s="41" t="str">
        <x:f>IF('Materials'!P98="","",'Materials'!P98)</x:f>
      </x:c>
      <x:c r="G98" s="41" t="n">
        <x:f>IF('Materials'!Q98="","",'Materials'!Q98)</x:f>
        <x:v>100</x:v>
      </x:c>
      <x:c r="H98" s="41" t="n">
        <x:f>IF('Materials'!R98="","",'Materials'!R98)</x:f>
        <x:v>550</x:v>
      </x:c>
      <x:c r="I98" s="41" t="n">
        <x:f>IF('Materials'!S98="","",'Materials'!S98)</x:f>
        <x:v>170</x:v>
      </x:c>
      <x:c r="J98" s="41" t="n">
        <x:f>IF('Materials'!T98="","",'Materials'!T98)</x:f>
        <x:v>0.001</x:v>
      </x:c>
      <x:c r="K98" s="41" t="n">
        <x:f>IF('Materials'!U98="","",'Materials'!U98)</x:f>
        <x:v>2</x:v>
      </x:c>
      <x:c r="L98" s="41" t="n">
        <x:f>IF('Materials'!V98="","",'Materials'!V98)</x:f>
        <x:v>5</x:v>
      </x:c>
      <x:c r="M98" s="41" t="n">
        <x:f>IF('Materials'!W98="","",'Materials'!W98)</x:f>
        <x:v>800</x:v>
      </x:c>
      <x:c r="N98" s="41" t="n">
        <x:f>IF('Materials'!X98="","",'Materials'!X98)</x:f>
        <x:v>5.3</x:v>
      </x:c>
      <x:c r="O98" s="43" t="n">
        <x:f>IF('Materials'!Y98="","",'Materials'!Y98)</x:f>
        <x:v>10000000000</x:v>
      </x:c>
      <x:c r="P98" s="41" t="n">
        <x:f>IF('Materials'!Z98="","",'Materials'!Z98)</x:f>
        <x:v>1850</x:v>
      </x:c>
      <x:c r="Q98" s="41" t="n">
        <x:f>IF('Materials'!AA98="","",'Materials'!AA98)</x:f>
        <x:v>1400</x:v>
      </x:c>
      <x:c r="R98" s="41" t="n">
        <x:f>IF('Materials'!AB98="","",'Materials'!AB98)</x:f>
        <x:v>1000</x:v>
      </x:c>
      <x:c r="S98" s="41" t="n">
        <x:f>IF('Materials'!O98="","",'Materials'!O98)</x:f>
        <x:v>96.66666666666667</x:v>
      </x:c>
    </x:row>
    <x:row r="99">
      <x:c r="A99" s="42" t="n">
        <x:f>'Materials'!A99</x:f>
        <x:v>4109</x:v>
      </x:c>
      <x:c r="B99" s="41" t="n">
        <x:f>IF('Materials'!I99="","",'Materials'!I99)</x:f>
        <x:v>2400</x:v>
      </x:c>
      <x:c r="C99" s="41" t="n">
        <x:f>IF('Materials'!J99="","",'Materials'!J99)</x:f>
        <x:v>70</x:v>
      </x:c>
      <x:c r="D99" s="41" t="n">
        <x:f>IF('Materials'!N99="","",'Materials'!N99)</x:f>
        <x:v>28.688524590163937</x:v>
      </x:c>
      <x:c r="E99" s="41" t="n">
        <x:f>IF('Materials'!K99="","",'Materials'!K99)</x:f>
        <x:v>0.22</x:v>
      </x:c>
      <x:c r="F99" s="41" t="str">
        <x:f>IF('Materials'!P99="","",'Materials'!P99)</x:f>
      </x:c>
      <x:c r="G99" s="41" t="n">
        <x:f>IF('Materials'!Q99="","",'Materials'!Q99)</x:f>
        <x:v>50</x:v>
      </x:c>
      <x:c r="H99" s="41" t="n">
        <x:f>IF('Materials'!R99="","",'Materials'!R99)</x:f>
        <x:v>500</x:v>
      </x:c>
      <x:c r="I99" s="41" t="n">
        <x:f>IF('Materials'!S99="","",'Materials'!S99)</x:f>
        <x:v>90</x:v>
      </x:c>
      <x:c r="J99" s="41" t="n">
        <x:f>IF('Materials'!T99="","",'Materials'!T99)</x:f>
        <x:v>0.001</x:v>
      </x:c>
      <x:c r="K99" s="41" t="n">
        <x:f>IF('Materials'!U99="","",'Materials'!U99)</x:f>
        <x:v>1.5</x:v>
      </x:c>
      <x:c r="L99" s="41" t="n">
        <x:f>IF('Materials'!V99="","",'Materials'!V99)</x:f>
        <x:v>2</x:v>
      </x:c>
      <x:c r="M99" s="41" t="n">
        <x:f>IF('Materials'!W99="","",'Materials'!W99)</x:f>
        <x:v>800</x:v>
      </x:c>
      <x:c r="N99" s="41" t="n">
        <x:f>IF('Materials'!X99="","",'Materials'!X99)</x:f>
        <x:v>6</x:v>
      </x:c>
      <x:c r="O99" s="43" t="n">
        <x:f>IF('Materials'!Y99="","",'Materials'!Y99)</x:f>
        <x:v>1000000000000</x:v>
      </x:c>
      <x:c r="P99" s="41" t="n">
        <x:f>IF('Materials'!Z99="","",'Materials'!Z99)</x:f>
        <x:v>1250</x:v>
      </x:c>
      <x:c r="Q99" s="41" t="n">
        <x:f>IF('Materials'!AA99="","",'Materials'!AA99)</x:f>
        <x:v>800</x:v>
      </x:c>
      <x:c r="R99" s="41" t="n">
        <x:f>IF('Materials'!AB99="","",'Materials'!AB99)</x:f>
        <x:v>600</x:v>
      </x:c>
      <x:c r="S99" s="41" t="n">
        <x:f>IF('Materials'!O99="","",'Materials'!O99)</x:f>
        <x:v>41.666666666666664</x:v>
      </x:c>
    </x:row>
    <x:row r="100">
      <x:c r="A100" s="42" t="n">
        <x:f>'Materials'!A100</x:f>
        <x:v>4110</x:v>
      </x:c>
      <x:c r="B100" s="41" t="n">
        <x:f>IF('Materials'!I100="","",'Materials'!I100)</x:f>
        <x:v>1800</x:v>
      </x:c>
      <x:c r="C100" s="41" t="n">
        <x:f>IF('Materials'!J100="","",'Materials'!J100)</x:f>
        <x:v>10</x:v>
      </x:c>
      <x:c r="D100" s="41" t="n">
        <x:f>IF('Materials'!N100="","",'Materials'!N100)</x:f>
        <x:v>4.166666666666667</x:v>
      </x:c>
      <x:c r="E100" s="41" t="n">
        <x:f>IF('Materials'!K100="","",'Materials'!K100)</x:f>
        <x:v>0.2</x:v>
      </x:c>
      <x:c r="F100" s="41" t="str">
        <x:f>IF('Materials'!P100="","",'Materials'!P100)</x:f>
      </x:c>
      <x:c r="G100" s="41" t="n">
        <x:f>IF('Materials'!Q100="","",'Materials'!Q100)</x:f>
        <x:v>30</x:v>
      </x:c>
      <x:c r="H100" s="41" t="n">
        <x:f>IF('Materials'!R100="","",'Materials'!R100)</x:f>
        <x:v>100</x:v>
      </x:c>
      <x:c r="I100" s="41" t="n">
        <x:f>IF('Materials'!S100="","",'Materials'!S100)</x:f>
        <x:v>50</x:v>
      </x:c>
      <x:c r="J100" s="41" t="n">
        <x:f>IF('Materials'!T100="","",'Materials'!T100)</x:f>
        <x:v>0.003</x:v>
      </x:c>
      <x:c r="K100" s="41" t="n">
        <x:f>IF('Materials'!U100="","",'Materials'!U100)</x:f>
        <x:v>1</x:v>
      </x:c>
      <x:c r="L100" s="41" t="n">
        <x:f>IF('Materials'!V100="","",'Materials'!V100)</x:f>
        <x:v>120</x:v>
      </x:c>
      <x:c r="M100" s="41" t="n">
        <x:f>IF('Materials'!W100="","",'Materials'!W100)</x:f>
        <x:v>710</x:v>
      </x:c>
      <x:c r="N100" s="41" t="n">
        <x:f>IF('Materials'!X100="","",'Materials'!X100)</x:f>
        <x:v>4</x:v>
      </x:c>
      <x:c r="O100" s="43" t="n">
        <x:f>IF('Materials'!Y100="","",'Materials'!Y100)</x:f>
        <x:v>0.000013</x:v>
      </x:c>
      <x:c r="P100" s="41" t="n">
        <x:f>IF('Materials'!Z100="","",'Materials'!Z100)</x:f>
        <x:v>3650</x:v>
      </x:c>
      <x:c r="Q100" s="41" t="n">
        <x:f>IF('Materials'!AA100="","",'Materials'!AA100)</x:f>
        <x:v>2000</x:v>
      </x:c>
      <x:c r="R100" s="41" t="n">
        <x:f>IF('Materials'!AB100="","",'Materials'!AB100)</x:f>
        <x:v>25</x:v>
      </x:c>
      <x:c r="S100" s="41" t="n">
        <x:f>IF('Materials'!O100="","",'Materials'!O100)</x:f>
        <x:v>5.555555555555556</x:v>
      </x:c>
    </x:row>
    <x:row r="101">
      <x:c r="A101" s="42" t="n">
        <x:f>'Materials'!A101</x:f>
        <x:v>4111</x:v>
      </x:c>
      <x:c r="B101" s="41" t="n">
        <x:f>IF('Materials'!I101="","",'Materials'!I101)</x:f>
        <x:v>14900</x:v>
      </x:c>
      <x:c r="C101" s="41" t="n">
        <x:f>IF('Materials'!J101="","",'Materials'!J101)</x:f>
        <x:v>600</x:v>
      </x:c>
      <x:c r="D101" s="41" t="n">
        <x:f>IF('Materials'!N101="","",'Materials'!N101)</x:f>
        <x:v>245.9016393442623</x:v>
      </x:c>
      <x:c r="E101" s="41" t="n">
        <x:f>IF('Materials'!K101="","",'Materials'!K101)</x:f>
        <x:v>0.22</x:v>
      </x:c>
      <x:c r="F101" s="41" t="str">
        <x:f>IF('Materials'!P101="","",'Materials'!P101)</x:f>
      </x:c>
      <x:c r="G101" s="41" t="n">
        <x:f>IF('Materials'!Q101="","",'Materials'!Q101)</x:f>
        <x:v>800</x:v>
      </x:c>
      <x:c r="H101" s="41" t="n">
        <x:f>IF('Materials'!R101="","",'Materials'!R101)</x:f>
        <x:v>5000</x:v>
      </x:c>
      <x:c r="I101" s="41" t="n">
        <x:f>IF('Materials'!S101="","",'Materials'!S101)</x:f>
        <x:v>2000</x:v>
      </x:c>
      <x:c r="J101" s="41" t="n">
        <x:f>IF('Materials'!T101="","",'Materials'!T101)</x:f>
        <x:v>0.003</x:v>
      </x:c>
      <x:c r="K101" s="41" t="n">
        <x:f>IF('Materials'!U101="","",'Materials'!U101)</x:f>
        <x:v>10</x:v>
      </x:c>
      <x:c r="L101" s="41" t="n">
        <x:f>IF('Materials'!V101="","",'Materials'!V101)</x:f>
        <x:v>84</x:v>
      </x:c>
      <x:c r="M101" s="41" t="n">
        <x:f>IF('Materials'!W101="","",'Materials'!W101)</x:f>
        <x:v>200</x:v>
      </x:c>
      <x:c r="N101" s="41" t="n">
        <x:f>IF('Materials'!X101="","",'Materials'!X101)</x:f>
        <x:v>5</x:v>
      </x:c>
      <x:c r="O101" s="43" t="n">
        <x:f>IF('Materials'!Y101="","",'Materials'!Y101)</x:f>
        <x:v>2e-7</x:v>
      </x:c>
      <x:c r="P101" s="41" t="n">
        <x:f>IF('Materials'!Z101="","",'Materials'!Z101)</x:f>
        <x:v>2870</x:v>
      </x:c>
      <x:c r="Q101" s="41" t="n">
        <x:f>IF('Materials'!AA101="","",'Materials'!AA101)</x:f>
        <x:v>800</x:v>
      </x:c>
      <x:c r="R101" s="41" t="n">
        <x:f>IF('Materials'!AB101="","",'Materials'!AB101)</x:f>
        <x:v>1600</x:v>
      </x:c>
      <x:c r="S101" s="41" t="n">
        <x:f>IF('Materials'!O101="","",'Materials'!O101)</x:f>
        <x:v>357.1428571428571</x:v>
      </x:c>
    </x:row>
    <x:row r="102">
      <x:c r="A102" s="42" t="n">
        <x:f>'Materials'!A102</x:f>
        <x:v>4112</x:v>
      </x:c>
      <x:c r="B102" s="41" t="n">
        <x:f>IF('Materials'!I102="","",'Materials'!I102)</x:f>
        <x:v>2700</x:v>
      </x:c>
      <x:c r="C102" s="41" t="n">
        <x:f>IF('Materials'!J102="","",'Materials'!J102)</x:f>
        <x:v>105</x:v>
      </x:c>
      <x:c r="D102" s="41" t="n">
        <x:f>IF('Materials'!N102="","",'Materials'!N102)</x:f>
        <x:v>43.032786885245905</x:v>
      </x:c>
      <x:c r="E102" s="41" t="n">
        <x:f>IF('Materials'!K102="","",'Materials'!K102)</x:f>
        <x:v>0.22</x:v>
      </x:c>
      <x:c r="F102" s="41" t="str">
        <x:f>IF('Materials'!P102="","",'Materials'!P102)</x:f>
      </x:c>
      <x:c r="G102" s="41" t="n">
        <x:f>IF('Materials'!Q102="","",'Materials'!Q102)</x:f>
        <x:v>120</x:v>
      </x:c>
      <x:c r="H102" s="41" t="n">
        <x:f>IF('Materials'!R102="","",'Materials'!R102)</x:f>
        <x:v>900</x:v>
      </x:c>
      <x:c r="I102" s="41" t="n">
        <x:f>IF('Materials'!S102="","",'Materials'!S102)</x:f>
        <x:v>180</x:v>
      </x:c>
      <x:c r="J102" s="41" t="n">
        <x:f>IF('Materials'!T102="","",'Materials'!T102)</x:f>
        <x:v>0.001</x:v>
      </x:c>
      <x:c r="K102" s="41" t="n">
        <x:f>IF('Materials'!U102="","",'Materials'!U102)</x:f>
        <x:v>2</x:v>
      </x:c>
      <x:c r="L102" s="41" t="n">
        <x:f>IF('Materials'!V102="","",'Materials'!V102)</x:f>
        <x:v>3</x:v>
      </x:c>
      <x:c r="M102" s="41" t="n">
        <x:f>IF('Materials'!W102="","",'Materials'!W102)</x:f>
        <x:v>850</x:v>
      </x:c>
      <x:c r="N102" s="41" t="n">
        <x:f>IF('Materials'!X102="","",'Materials'!X102)</x:f>
        <x:v>7.5</x:v>
      </x:c>
      <x:c r="O102" s="43" t="n">
        <x:f>IF('Materials'!Y102="","",'Materials'!Y102)</x:f>
        <x:v>1000000000000</x:v>
      </x:c>
      <x:c r="P102" s="41" t="n">
        <x:f>IF('Materials'!Z102="","",'Materials'!Z102)</x:f>
        <x:v>1400</x:v>
      </x:c>
      <x:c r="Q102" s="41" t="n">
        <x:f>IF('Materials'!AA102="","",'Materials'!AA102)</x:f>
        <x:v>1000</x:v>
      </x:c>
      <x:c r="R102" s="41" t="n">
        <x:f>IF('Materials'!AB102="","",'Materials'!AB102)</x:f>
        <x:v>800</x:v>
      </x:c>
      <x:c r="S102" s="41" t="n">
        <x:f>IF('Materials'!O102="","",'Materials'!O102)</x:f>
        <x:v>62.49999999999999</x:v>
      </x:c>
    </x:row>
    <x:row r="103">
      <x:c r="A103" s="42" t="n">
        <x:f>'Materials'!A103</x:f>
        <x:v>4113</x:v>
      </x:c>
      <x:c r="B103" s="41" t="n">
        <x:f>IF('Materials'!I103="","",'Materials'!I103)</x:f>
        <x:v>2300</x:v>
      </x:c>
      <x:c r="C103" s="41" t="n">
        <x:f>IF('Materials'!J103="","",'Materials'!J103)</x:f>
        <x:v>120</x:v>
      </x:c>
      <x:c r="D103" s="41" t="n">
        <x:f>IF('Materials'!N103="","",'Materials'!N103)</x:f>
        <x:v>48</x:v>
      </x:c>
      <x:c r="E103" s="41" t="n">
        <x:f>IF('Materials'!K103="","",'Materials'!K103)</x:f>
        <x:v>0.25</x:v>
      </x:c>
      <x:c r="F103" s="41" t="str">
        <x:f>IF('Materials'!P103="","",'Materials'!P103)</x:f>
      </x:c>
      <x:c r="G103" s="41" t="n">
        <x:f>IF('Materials'!Q103="","",'Materials'!Q103)</x:f>
        <x:v>80</x:v>
      </x:c>
      <x:c r="H103" s="41" t="n">
        <x:f>IF('Materials'!R103="","",'Materials'!R103)</x:f>
        <x:v>500</x:v>
      </x:c>
      <x:c r="I103" s="41" t="n">
        <x:f>IF('Materials'!S103="","",'Materials'!S103)</x:f>
        <x:v>120</x:v>
      </x:c>
      <x:c r="J103" s="41" t="n">
        <x:f>IF('Materials'!T103="","",'Materials'!T103)</x:f>
        <x:v>0.001</x:v>
      </x:c>
      <x:c r="K103" s="41" t="n">
        <x:f>IF('Materials'!U103="","",'Materials'!U103)</x:f>
        <x:v>2</x:v>
      </x:c>
      <x:c r="L103" s="41" t="n">
        <x:f>IF('Materials'!V103="","",'Materials'!V103)</x:f>
        <x:v>3</x:v>
      </x:c>
      <x:c r="M103" s="41" t="n">
        <x:f>IF('Materials'!W103="","",'Materials'!W103)</x:f>
        <x:v>800</x:v>
      </x:c>
      <x:c r="N103" s="41" t="n">
        <x:f>IF('Materials'!X103="","",'Materials'!X103)</x:f>
        <x:v>2</x:v>
      </x:c>
      <x:c r="O103" s="43" t="n">
        <x:f>IF('Materials'!Y103="","",'Materials'!Y103)</x:f>
        <x:v>10000000000</x:v>
      </x:c>
      <x:c r="P103" s="41" t="n">
        <x:f>IF('Materials'!Z103="","",'Materials'!Z103)</x:f>
        <x:v>1470</x:v>
      </x:c>
      <x:c r="Q103" s="41" t="n">
        <x:f>IF('Materials'!AA103="","",'Materials'!AA103)</x:f>
        <x:v>1200</x:v>
      </x:c>
      <x:c r="R103" s="41" t="n">
        <x:f>IF('Materials'!AB103="","",'Materials'!AB103)</x:f>
        <x:v>700</x:v>
      </x:c>
      <x:c r="S103" s="41" t="n">
        <x:f>IF('Materials'!O103="","",'Materials'!O103)</x:f>
        <x:v>80</x:v>
      </x:c>
    </x:row>
    <x:row r="104">
      <x:c r="A104" s="42" t="n">
        <x:f>'Materials'!A104</x:f>
        <x:v>5001</x:v>
      </x:c>
      <x:c r="B104" s="41" t="n">
        <x:f>IF('Materials'!I104="","",'Materials'!I104)</x:f>
        <x:v>1600</x:v>
      </x:c>
      <x:c r="C104" s="41" t="n">
        <x:f>IF('Materials'!J104="","",'Materials'!J104)</x:f>
        <x:v>135</x:v>
      </x:c>
      <x:c r="D104" s="41" t="n">
        <x:f>IF('Materials'!N104="","",'Materials'!N104)</x:f>
        <x:v>5</x:v>
      </x:c>
      <x:c r="E104" s="41" t="n">
        <x:f>IF('Materials'!K104="","",'Materials'!K104)</x:f>
        <x:v>0.3</x:v>
      </x:c>
      <x:c r="F104" s="41" t="str">
        <x:f>IF('Materials'!P104="","",'Materials'!P104)</x:f>
      </x:c>
      <x:c r="G104" s="41" t="n">
        <x:f>IF('Materials'!Q104="","",'Materials'!Q104)</x:f>
        <x:v>1500</x:v>
      </x:c>
      <x:c r="H104" s="41" t="n">
        <x:f>IF('Materials'!R104="","",'Materials'!R104)</x:f>
        <x:v>1000</x:v>
      </x:c>
      <x:c r="I104" s="41" t="n">
        <x:f>IF('Materials'!S104="","",'Materials'!S104)</x:f>
        <x:v>1200</x:v>
      </x:c>
      <x:c r="J104" s="41" t="n">
        <x:f>IF('Materials'!T104="","",'Materials'!T104)</x:f>
        <x:v>0.012</x:v>
      </x:c>
      <x:c r="K104" s="41" t="str">
        <x:f>IF('Materials'!U104="","",'Materials'!U104)</x:f>
      </x:c>
      <x:c r="L104" s="41" t="n">
        <x:f>IF('Materials'!V104="","",'Materials'!V104)</x:f>
        <x:v>6</x:v>
      </x:c>
      <x:c r="M104" s="41" t="n">
        <x:f>IF('Materials'!W104="","",'Materials'!W104)</x:f>
        <x:v>900</x:v>
      </x:c>
      <x:c r="N104" s="41" t="n">
        <x:f>IF('Materials'!X104="","",'Materials'!X104)</x:f>
        <x:v>-0.1</x:v>
      </x:c>
      <x:c r="O104" s="43" t="n">
        <x:f>IF('Materials'!Y104="","",'Materials'!Y104)</x:f>
        <x:v>0.00001</x:v>
      </x:c>
      <x:c r="P104" s="41" t="n">
        <x:f>IF('Materials'!Z104="","",'Materials'!Z104)</x:f>
        <x:v>120</x:v>
      </x:c>
      <x:c r="Q104" s="41" t="n">
        <x:f>IF('Materials'!AA104="","",'Materials'!AA104)</x:f>
        <x:v>120</x:v>
      </x:c>
      <x:c r="R104" s="41" t="str">
        <x:f>IF('Materials'!AB104="","",'Materials'!AB104)</x:f>
      </x:c>
      <x:c r="S104" s="41" t="str">
        <x:f>IF('Materials'!O104="","",'Materials'!O104)</x:f>
      </x:c>
    </x:row>
    <x:row r="105">
      <x:c r="A105" s="42" t="n">
        <x:f>'Materials'!A105</x:f>
        <x:v>5002</x:v>
      </x:c>
      <x:c r="B105" s="41" t="n">
        <x:f>IF('Materials'!I105="","",'Materials'!I105)</x:f>
        <x:v>1550</x:v>
      </x:c>
      <x:c r="C105" s="41" t="n">
        <x:f>IF('Materials'!J105="","",'Materials'!J105)</x:f>
        <x:v>55</x:v>
      </x:c>
      <x:c r="D105" s="41" t="n">
        <x:f>IF('Materials'!N105="","",'Materials'!N105)</x:f>
        <x:v>21</x:v>
      </x:c>
      <x:c r="E105" s="41" t="n">
        <x:f>IF('Materials'!K105="","",'Materials'!K105)</x:f>
        <x:v>0.3</x:v>
      </x:c>
      <x:c r="F105" s="41" t="str">
        <x:f>IF('Materials'!P105="","",'Materials'!P105)</x:f>
      </x:c>
      <x:c r="G105" s="41" t="n">
        <x:f>IF('Materials'!Q105="","",'Materials'!Q105)</x:f>
        <x:v>600</x:v>
      </x:c>
      <x:c r="H105" s="41" t="n">
        <x:f>IF('Materials'!R105="","",'Materials'!R105)</x:f>
        <x:v>500</x:v>
      </x:c>
      <x:c r="I105" s="41" t="n">
        <x:f>IF('Materials'!S105="","",'Materials'!S105)</x:f>
        <x:v>700</x:v>
      </x:c>
      <x:c r="J105" s="41" t="n">
        <x:f>IF('Materials'!T105="","",'Materials'!T105)</x:f>
        <x:v>0.01</x:v>
      </x:c>
      <x:c r="K105" s="41" t="str">
        <x:f>IF('Materials'!U105="","",'Materials'!U105)</x:f>
      </x:c>
      <x:c r="L105" s="41" t="n">
        <x:f>IF('Materials'!V105="","",'Materials'!V105)</x:f>
        <x:v>5</x:v>
      </x:c>
      <x:c r="M105" s="41" t="n">
        <x:f>IF('Materials'!W105="","",'Materials'!W105)</x:f>
        <x:v>900</x:v>
      </x:c>
      <x:c r="N105" s="41" t="n">
        <x:f>IF('Materials'!X105="","",'Materials'!X105)</x:f>
        <x:v>2</x:v>
      </x:c>
      <x:c r="O105" s="43" t="n">
        <x:f>IF('Materials'!Y105="","",'Materials'!Y105)</x:f>
        <x:v>0.0001</x:v>
      </x:c>
      <x:c r="P105" s="41" t="n">
        <x:f>IF('Materials'!Z105="","",'Materials'!Z105)</x:f>
        <x:v>120</x:v>
      </x:c>
      <x:c r="Q105" s="41" t="n">
        <x:f>IF('Materials'!AA105="","",'Materials'!AA105)</x:f>
        <x:v>120</x:v>
      </x:c>
      <x:c r="R105" s="41" t="str">
        <x:f>IF('Materials'!AB105="","",'Materials'!AB105)</x:f>
      </x:c>
      <x:c r="S105" s="41" t="str">
        <x:f>IF('Materials'!O105="","",'Materials'!O105)</x:f>
      </x:c>
    </x:row>
    <x:row r="106">
      <x:c r="A106" s="42" t="n">
        <x:f>'Materials'!A106</x:f>
        <x:v>5003</x:v>
      </x:c>
      <x:c r="B106" s="41" t="n">
        <x:f>IF('Materials'!I106="","",'Materials'!I106)</x:f>
        <x:v>1950</x:v>
      </x:c>
      <x:c r="C106" s="41" t="n">
        <x:f>IF('Materials'!J106="","",'Materials'!J106)</x:f>
        <x:v>40</x:v>
      </x:c>
      <x:c r="D106" s="41" t="n">
        <x:f>IF('Materials'!N106="","",'Materials'!N106)</x:f>
        <x:v>4</x:v>
      </x:c>
      <x:c r="E106" s="41" t="n">
        <x:f>IF('Materials'!K106="","",'Materials'!K106)</x:f>
        <x:v>0.28</x:v>
      </x:c>
      <x:c r="F106" s="41" t="str">
        <x:f>IF('Materials'!P106="","",'Materials'!P106)</x:f>
      </x:c>
      <x:c r="G106" s="41" t="n">
        <x:f>IF('Materials'!Q106="","",'Materials'!Q106)</x:f>
        <x:v>1000</x:v>
      </x:c>
      <x:c r="H106" s="41" t="n">
        <x:f>IF('Materials'!R106="","",'Materials'!R106)</x:f>
        <x:v>600</x:v>
      </x:c>
      <x:c r="I106" s="41" t="n">
        <x:f>IF('Materials'!S106="","",'Materials'!S106)</x:f>
        <x:v>900</x:v>
      </x:c>
      <x:c r="J106" s="41" t="n">
        <x:f>IF('Materials'!T106="","",'Materials'!T106)</x:f>
        <x:v>0.025</x:v>
      </x:c>
      <x:c r="K106" s="41" t="str">
        <x:f>IF('Materials'!U106="","",'Materials'!U106)</x:f>
      </x:c>
      <x:c r="L106" s="41" t="n">
        <x:f>IF('Materials'!V106="","",'Materials'!V106)</x:f>
        <x:v>0.35</x:v>
      </x:c>
      <x:c r="M106" s="41" t="n">
        <x:f>IF('Materials'!W106="","",'Materials'!W106)</x:f>
        <x:v>1000</x:v>
      </x:c>
      <x:c r="N106" s="41" t="n">
        <x:f>IF('Materials'!X106="","",'Materials'!X106)</x:f>
        <x:v>6</x:v>
      </x:c>
      <x:c r="O106" s="43" t="n">
        <x:f>IF('Materials'!Y106="","",'Materials'!Y106)</x:f>
        <x:v>1000000000000</x:v>
      </x:c>
      <x:c r="P106" s="41" t="n">
        <x:f>IF('Materials'!Z106="","",'Materials'!Z106)</x:f>
        <x:v>120</x:v>
      </x:c>
      <x:c r="Q106" s="41" t="n">
        <x:f>IF('Materials'!AA106="","",'Materials'!AA106)</x:f>
        <x:v>120</x:v>
      </x:c>
      <x:c r="R106" s="41" t="str">
        <x:f>IF('Materials'!AB106="","",'Materials'!AB106)</x:f>
      </x:c>
      <x:c r="S106" s="41" t="str">
        <x:f>IF('Materials'!O106="","",'Materials'!O106)</x:f>
      </x:c>
    </x:row>
    <x:row r="107">
      <x:c r="A107" s="42" t="n">
        <x:f>'Materials'!A107</x:f>
        <x:v>5004</x:v>
      </x:c>
      <x:c r="B107" s="41" t="n">
        <x:f>IF('Materials'!I107="","",'Materials'!I107)</x:f>
        <x:v>1900</x:v>
      </x:c>
      <x:c r="C107" s="41" t="n">
        <x:f>IF('Materials'!J107="","",'Materials'!J107)</x:f>
        <x:v>22</x:v>
      </x:c>
      <x:c r="D107" s="41" t="n">
        <x:f>IF('Materials'!N107="","",'Materials'!N107)</x:f>
        <x:v>8.5</x:v>
      </x:c>
      <x:c r="E107" s="41" t="n">
        <x:f>IF('Materials'!K107="","",'Materials'!K107)</x:f>
        <x:v>0.3</x:v>
      </x:c>
      <x:c r="F107" s="41" t="str">
        <x:f>IF('Materials'!P107="","",'Materials'!P107)</x:f>
      </x:c>
      <x:c r="G107" s="41" t="n">
        <x:f>IF('Materials'!Q107="","",'Materials'!Q107)</x:f>
        <x:v>350</x:v>
      </x:c>
      <x:c r="H107" s="41" t="n">
        <x:f>IF('Materials'!R107="","",'Materials'!R107)</x:f>
        <x:v>300</x:v>
      </x:c>
      <x:c r="I107" s="41" t="n">
        <x:f>IF('Materials'!S107="","",'Materials'!S107)</x:f>
        <x:v>450</x:v>
      </x:c>
      <x:c r="J107" s="41" t="n">
        <x:f>IF('Materials'!T107="","",'Materials'!T107)</x:f>
        <x:v>0.018</x:v>
      </x:c>
      <x:c r="K107" s="41" t="str">
        <x:f>IF('Materials'!U107="","",'Materials'!U107)</x:f>
      </x:c>
      <x:c r="L107" s="41" t="n">
        <x:f>IF('Materials'!V107="","",'Materials'!V107)</x:f>
        <x:v>0.35</x:v>
      </x:c>
      <x:c r="M107" s="41" t="n">
        <x:f>IF('Materials'!W107="","",'Materials'!W107)</x:f>
        <x:v>1000</x:v>
      </x:c>
      <x:c r="N107" s="41" t="n">
        <x:f>IF('Materials'!X107="","",'Materials'!X107)</x:f>
        <x:v>10</x:v>
      </x:c>
      <x:c r="O107" s="43" t="n">
        <x:f>IF('Materials'!Y107="","",'Materials'!Y107)</x:f>
        <x:v>1000000000000</x:v>
      </x:c>
      <x:c r="P107" s="41" t="n">
        <x:f>IF('Materials'!Z107="","",'Materials'!Z107)</x:f>
        <x:v>120</x:v>
      </x:c>
      <x:c r="Q107" s="41" t="n">
        <x:f>IF('Materials'!AA107="","",'Materials'!AA107)</x:f>
        <x:v>120</x:v>
      </x:c>
      <x:c r="R107" s="41" t="str">
        <x:f>IF('Materials'!AB107="","",'Materials'!AB107)</x:f>
      </x:c>
      <x:c r="S107" s="41" t="str">
        <x:f>IF('Materials'!O107="","",'Materials'!O107)</x:f>
      </x:c>
    </x:row>
    <x:row r="108">
      <x:c r="A108" s="42" t="n">
        <x:f>'Materials'!A108</x:f>
        <x:v>5005</x:v>
      </x:c>
      <x:c r="B108" s="41" t="n">
        <x:f>IF('Materials'!I108="","",'Materials'!I108)</x:f>
        <x:v>1380</x:v>
      </x:c>
      <x:c r="C108" s="41" t="n">
        <x:f>IF('Materials'!J108="","",'Materials'!J108)</x:f>
        <x:v>76</x:v>
      </x:c>
      <x:c r="D108" s="41" t="n">
        <x:f>IF('Materials'!N108="","",'Materials'!N108)</x:f>
        <x:v>2.4</x:v>
      </x:c>
      <x:c r="E108" s="41" t="n">
        <x:f>IF('Materials'!K108="","",'Materials'!K108)</x:f>
        <x:v>0.34</x:v>
      </x:c>
      <x:c r="F108" s="41" t="str">
        <x:f>IF('Materials'!P108="","",'Materials'!P108)</x:f>
      </x:c>
      <x:c r="G108" s="41" t="n">
        <x:f>IF('Materials'!Q108="","",'Materials'!Q108)</x:f>
        <x:v>1350</x:v>
      </x:c>
      <x:c r="H108" s="41" t="n">
        <x:f>IF('Materials'!R108="","",'Materials'!R108)</x:f>
        <x:v>280</x:v>
      </x:c>
      <x:c r="I108" s="41" t="n">
        <x:f>IF('Materials'!S108="","",'Materials'!S108)</x:f>
        <x:v>600</x:v>
      </x:c>
      <x:c r="J108" s="41" t="n">
        <x:f>IF('Materials'!T108="","",'Materials'!T108)</x:f>
        <x:v>0.018</x:v>
      </x:c>
      <x:c r="K108" s="41" t="str">
        <x:f>IF('Materials'!U108="","",'Materials'!U108)</x:f>
      </x:c>
      <x:c r="L108" s="41" t="n">
        <x:f>IF('Materials'!V108="","",'Materials'!V108)</x:f>
        <x:v>0.3</x:v>
      </x:c>
      <x:c r="M108" s="41" t="n">
        <x:f>IF('Materials'!W108="","",'Materials'!W108)</x:f>
        <x:v>1400</x:v>
      </x:c>
      <x:c r="N108" s="41" t="n">
        <x:f>IF('Materials'!X108="","",'Materials'!X108)</x:f>
        <x:v>-2</x:v>
      </x:c>
      <x:c r="O108" s="43" t="n">
        <x:f>IF('Materials'!Y108="","",'Materials'!Y108)</x:f>
        <x:v>1000000000000</x:v>
      </x:c>
      <x:c r="P108" s="41" t="n">
        <x:f>IF('Materials'!Z108="","",'Materials'!Z108)</x:f>
        <x:v>120</x:v>
      </x:c>
      <x:c r="Q108" s="41" t="n">
        <x:f>IF('Materials'!AA108="","",'Materials'!AA108)</x:f>
        <x:v>120</x:v>
      </x:c>
      <x:c r="R108" s="41" t="str">
        <x:f>IF('Materials'!AB108="","",'Materials'!AB108)</x:f>
      </x:c>
      <x:c r="S108" s="41" t="str">
        <x:f>IF('Materials'!O108="","",'Materials'!O108)</x:f>
      </x:c>
    </x:row>
    <x:row r="109">
      <x:c r="A109" s="42" t="n">
        <x:f>'Materials'!A109</x:f>
        <x:v>5101</x:v>
      </x:c>
      <x:c r="B109" s="41" t="n">
        <x:f>IF('Materials'!I109="","",'Materials'!I109)</x:f>
        <x:v>530</x:v>
      </x:c>
      <x:c r="C109" s="41" t="n">
        <x:f>IF('Materials'!J109="","",'Materials'!J109)</x:f>
        <x:v>12</x:v>
      </x:c>
      <x:c r="D109" s="41" t="n">
        <x:f>IF('Materials'!N109="","",'Materials'!N109)</x:f>
        <x:v>0.75</x:v>
      </x:c>
      <x:c r="E109" s="41" t="n">
        <x:f>IF('Materials'!K109="","",'Materials'!K109)</x:f>
        <x:v>0.35</x:v>
      </x:c>
      <x:c r="F109" s="41" t="str">
        <x:f>IF('Materials'!P109="","",'Materials'!P109)</x:f>
      </x:c>
      <x:c r="G109" s="41" t="n">
        <x:f>IF('Materials'!Q109="","",'Materials'!Q109)</x:f>
        <x:v>85</x:v>
      </x:c>
      <x:c r="H109" s="41" t="n">
        <x:f>IF('Materials'!R109="","",'Materials'!R109)</x:f>
        <x:v>50</x:v>
      </x:c>
      <x:c r="I109" s="41" t="n">
        <x:f>IF('Materials'!S109="","",'Materials'!S109)</x:f>
        <x:v>90</x:v>
      </x:c>
      <x:c r="J109" s="41" t="n">
        <x:f>IF('Materials'!T109="","",'Materials'!T109)</x:f>
        <x:v>0.012</x:v>
      </x:c>
      <x:c r="K109" s="41" t="str">
        <x:f>IF('Materials'!U109="","",'Materials'!U109)</x:f>
      </x:c>
      <x:c r="L109" s="41" t="n">
        <x:f>IF('Materials'!V109="","",'Materials'!V109)</x:f>
        <x:v>0.13</x:v>
      </x:c>
      <x:c r="M109" s="41" t="n">
        <x:f>IF('Materials'!W109="","",'Materials'!W109)</x:f>
        <x:v>1700</x:v>
      </x:c>
      <x:c r="N109" s="41" t="n">
        <x:f>IF('Materials'!X109="","",'Materials'!X109)</x:f>
        <x:v>3.5</x:v>
      </x:c>
      <x:c r="O109" s="43" t="n">
        <x:f>IF('Materials'!Y109="","",'Materials'!Y109)</x:f>
        <x:v>1000000000000</x:v>
      </x:c>
      <x:c r="P109" s="41" t="n">
        <x:f>IF('Materials'!Z109="","",'Materials'!Z109)</x:f>
        <x:v>200</x:v>
      </x:c>
      <x:c r="Q109" s="41" t="n">
        <x:f>IF('Materials'!AA109="","",'Materials'!AA109)</x:f>
        <x:v>100</x:v>
      </x:c>
      <x:c r="R109" s="41" t="str">
        <x:f>IF('Materials'!AB109="","",'Materials'!AB109)</x:f>
      </x:c>
      <x:c r="S109" s="41" t="str">
        <x:f>IF('Materials'!O109="","",'Materials'!O109)</x:f>
      </x:c>
    </x:row>
    <x:row r="110">
      <x:c r="A110" s="42" t="n">
        <x:f>'Materials'!A110</x:f>
        <x:v>5102</x:v>
      </x:c>
      <x:c r="B110" s="41" t="n">
        <x:f>IF('Materials'!I110="","",'Materials'!I110)</x:f>
        <x:v>430</x:v>
      </x:c>
      <x:c r="C110" s="41" t="n">
        <x:f>IF('Materials'!J110="","",'Materials'!J110)</x:f>
        <x:v>9.5</x:v>
      </x:c>
      <x:c r="D110" s="41" t="n">
        <x:f>IF('Materials'!N110="","",'Materials'!N110)</x:f>
        <x:v>0.6</x:v>
      </x:c>
      <x:c r="E110" s="41" t="n">
        <x:f>IF('Materials'!K110="","",'Materials'!K110)</x:f>
        <x:v>0.35</x:v>
      </x:c>
      <x:c r="F110" s="41" t="str">
        <x:f>IF('Materials'!P110="","",'Materials'!P110)</x:f>
      </x:c>
      <x:c r="G110" s="41" t="n">
        <x:f>IF('Materials'!Q110="","",'Materials'!Q110)</x:f>
        <x:v>65</x:v>
      </x:c>
      <x:c r="H110" s="41" t="n">
        <x:f>IF('Materials'!R110="","",'Materials'!R110)</x:f>
        <x:v>38</x:v>
      </x:c>
      <x:c r="I110" s="41" t="n">
        <x:f>IF('Materials'!S110="","",'Materials'!S110)</x:f>
        <x:v>70</x:v>
      </x:c>
      <x:c r="J110" s="41" t="n">
        <x:f>IF('Materials'!T110="","",'Materials'!T110)</x:f>
        <x:v>0.012</x:v>
      </x:c>
      <x:c r="K110" s="41" t="str">
        <x:f>IF('Materials'!U110="","",'Materials'!U110)</x:f>
      </x:c>
      <x:c r="L110" s="41" t="n">
        <x:f>IF('Materials'!V110="","",'Materials'!V110)</x:f>
        <x:v>0.11</x:v>
      </x:c>
      <x:c r="M110" s="41" t="n">
        <x:f>IF('Materials'!W110="","",'Materials'!W110)</x:f>
        <x:v>1700</x:v>
      </x:c>
      <x:c r="N110" s="41" t="n">
        <x:f>IF('Materials'!X110="","",'Materials'!X110)</x:f>
        <x:v>3.5</x:v>
      </x:c>
      <x:c r="O110" s="43" t="n">
        <x:f>IF('Materials'!Y110="","",'Materials'!Y110)</x:f>
        <x:v>1000000000000</x:v>
      </x:c>
      <x:c r="P110" s="41" t="n">
        <x:f>IF('Materials'!Z110="","",'Materials'!Z110)</x:f>
        <x:v>200</x:v>
      </x:c>
      <x:c r="Q110" s="41" t="n">
        <x:f>IF('Materials'!AA110="","",'Materials'!AA110)</x:f>
        <x:v>100</x:v>
      </x:c>
      <x:c r="R110" s="41" t="str">
        <x:f>IF('Materials'!AB110="","",'Materials'!AB110)</x:f>
      </x:c>
      <x:c r="S110" s="41" t="str">
        <x:f>IF('Materials'!O110="","",'Materials'!O110)</x:f>
      </x:c>
    </x:row>
    <x:row r="111">
      <x:c r="A111" s="42" t="n">
        <x:f>'Materials'!A111</x:f>
        <x:v>5103</x:v>
      </x:c>
      <x:c r="B111" s="41" t="n">
        <x:f>IF('Materials'!I111="","",'Materials'!I111)</x:f>
        <x:v>590</x:v>
      </x:c>
      <x:c r="C111" s="41" t="n">
        <x:f>IF('Materials'!J111="","",'Materials'!J111)</x:f>
        <x:v>12.5</x:v>
      </x:c>
      <x:c r="D111" s="41" t="n">
        <x:f>IF('Materials'!N111="","",'Materials'!N111)</x:f>
        <x:v>0.8</x:v>
      </x:c>
      <x:c r="E111" s="41" t="n">
        <x:f>IF('Materials'!K111="","",'Materials'!K111)</x:f>
        <x:v>0.35</x:v>
      </x:c>
      <x:c r="F111" s="41" t="str">
        <x:f>IF('Materials'!P111="","",'Materials'!P111)</x:f>
      </x:c>
      <x:c r="G111" s="41" t="n">
        <x:f>IF('Materials'!Q111="","",'Materials'!Q111)</x:f>
        <x:v>90</x:v>
      </x:c>
      <x:c r="H111" s="41" t="n">
        <x:f>IF('Materials'!R111="","",'Materials'!R111)</x:f>
        <x:v>55</x:v>
      </x:c>
      <x:c r="I111" s="41" t="n">
        <x:f>IF('Materials'!S111="","",'Materials'!S111)</x:f>
        <x:v>100</x:v>
      </x:c>
      <x:c r="J111" s="41" t="n">
        <x:f>IF('Materials'!T111="","",'Materials'!T111)</x:f>
        <x:v>0.012</x:v>
      </x:c>
      <x:c r="K111" s="41" t="str">
        <x:f>IF('Materials'!U111="","",'Materials'!U111)</x:f>
      </x:c>
      <x:c r="L111" s="41" t="n">
        <x:f>IF('Materials'!V111="","",'Materials'!V111)</x:f>
        <x:v>0.14</x:v>
      </x:c>
      <x:c r="M111" s="41" t="n">
        <x:f>IF('Materials'!W111="","",'Materials'!W111)</x:f>
        <x:v>1700</x:v>
      </x:c>
      <x:c r="N111" s="41" t="n">
        <x:f>IF('Materials'!X111="","",'Materials'!X111)</x:f>
        <x:v>3.5</x:v>
      </x:c>
      <x:c r="O111" s="43" t="n">
        <x:f>IF('Materials'!Y111="","",'Materials'!Y111)</x:f>
        <x:v>1000000000000</x:v>
      </x:c>
      <x:c r="P111" s="41" t="n">
        <x:f>IF('Materials'!Z111="","",'Materials'!Z111)</x:f>
        <x:v>200</x:v>
      </x:c>
      <x:c r="Q111" s="41" t="n">
        <x:f>IF('Materials'!AA111="","",'Materials'!AA111)</x:f>
        <x:v>100</x:v>
      </x:c>
      <x:c r="R111" s="41" t="str">
        <x:f>IF('Materials'!AB111="","",'Materials'!AB111)</x:f>
      </x:c>
      <x:c r="S111" s="41" t="str">
        <x:f>IF('Materials'!O111="","",'Materials'!O111)</x:f>
      </x:c>
    </x:row>
    <x:row r="112">
      <x:c r="A112" s="42" t="n">
        <x:f>'Materials'!A112</x:f>
        <x:v>5104</x:v>
      </x:c>
      <x:c r="B112" s="41" t="n">
        <x:f>IF('Materials'!I112="","",'Materials'!I112)</x:f>
        <x:v>750</x:v>
      </x:c>
      <x:c r="C112" s="41" t="n">
        <x:f>IF('Materials'!J112="","",'Materials'!J112)</x:f>
        <x:v>12.3</x:v>
      </x:c>
      <x:c r="D112" s="41" t="n">
        <x:f>IF('Materials'!N112="","",'Materials'!N112)</x:f>
        <x:v>0.85</x:v>
      </x:c>
      <x:c r="E112" s="41" t="n">
        <x:f>IF('Materials'!K112="","",'Materials'!K112)</x:f>
        <x:v>0.36</x:v>
      </x:c>
      <x:c r="F112" s="41" t="str">
        <x:f>IF('Materials'!P112="","",'Materials'!P112)</x:f>
      </x:c>
      <x:c r="G112" s="41" t="n">
        <x:f>IF('Materials'!Q112="","",'Materials'!Q112)</x:f>
        <x:v>100</x:v>
      </x:c>
      <x:c r="H112" s="41" t="n">
        <x:f>IF('Materials'!R112="","",'Materials'!R112)</x:f>
        <x:v>51</x:v>
      </x:c>
      <x:c r="I112" s="41" t="n">
        <x:f>IF('Materials'!S112="","",'Materials'!S112)</x:f>
        <x:v>105</x:v>
      </x:c>
      <x:c r="J112" s="41" t="n">
        <x:f>IF('Materials'!T112="","",'Materials'!T112)</x:f>
        <x:v>0.01</x:v>
      </x:c>
      <x:c r="K112" s="41" t="str">
        <x:f>IF('Materials'!U112="","",'Materials'!U112)</x:f>
      </x:c>
      <x:c r="L112" s="41" t="n">
        <x:f>IF('Materials'!V112="","",'Materials'!V112)</x:f>
        <x:v>0.17</x:v>
      </x:c>
      <x:c r="M112" s="41" t="n">
        <x:f>IF('Materials'!W112="","",'Materials'!W112)</x:f>
        <x:v>1700</x:v>
      </x:c>
      <x:c r="N112" s="41" t="n">
        <x:f>IF('Materials'!X112="","",'Materials'!X112)</x:f>
        <x:v>4.5</x:v>
      </x:c>
      <x:c r="O112" s="43" t="n">
        <x:f>IF('Materials'!Y112="","",'Materials'!Y112)</x:f>
        <x:v>100000000000</x:v>
      </x:c>
      <x:c r="P112" s="41" t="n">
        <x:f>IF('Materials'!Z112="","",'Materials'!Z112)</x:f>
        <x:v>200</x:v>
      </x:c>
      <x:c r="Q112" s="41" t="n">
        <x:f>IF('Materials'!AA112="","",'Materials'!AA112)</x:f>
        <x:v>100</x:v>
      </x:c>
      <x:c r="R112" s="41" t="str">
        <x:f>IF('Materials'!AB112="","",'Materials'!AB112)</x:f>
      </x:c>
      <x:c r="S112" s="41" t="str">
        <x:f>IF('Materials'!O112="","",'Materials'!O112)</x:f>
      </x:c>
    </x:row>
    <x:row r="113">
      <x:c r="A113" s="42" t="n">
        <x:f>'Materials'!A113</x:f>
        <x:v>5105</x:v>
      </x:c>
      <x:c r="B113" s="41" t="n">
        <x:f>IF('Materials'!I113="","",'Materials'!I113)</x:f>
        <x:v>705</x:v>
      </x:c>
      <x:c r="C113" s="41" t="n">
        <x:f>IF('Materials'!J113="","",'Materials'!J113)</x:f>
        <x:v>12.6</x:v>
      </x:c>
      <x:c r="D113" s="41" t="n">
        <x:f>IF('Materials'!N113="","",'Materials'!N113)</x:f>
        <x:v>0.9</x:v>
      </x:c>
      <x:c r="E113" s="41" t="n">
        <x:f>IF('Materials'!K113="","",'Materials'!K113)</x:f>
        <x:v>0.35</x:v>
      </x:c>
      <x:c r="F113" s="41" t="str">
        <x:f>IF('Materials'!P113="","",'Materials'!P113)</x:f>
      </x:c>
      <x:c r="G113" s="41" t="n">
        <x:f>IF('Materials'!Q113="","",'Materials'!Q113)</x:f>
        <x:v>108</x:v>
      </x:c>
      <x:c r="H113" s="41" t="n">
        <x:f>IF('Materials'!R113="","",'Materials'!R113)</x:f>
        <x:v>54</x:v>
      </x:c>
      <x:c r="I113" s="41" t="n">
        <x:f>IF('Materials'!S113="","",'Materials'!S113)</x:f>
        <x:v>109</x:v>
      </x:c>
      <x:c r="J113" s="41" t="n">
        <x:f>IF('Materials'!T113="","",'Materials'!T113)</x:f>
        <x:v>0.01</x:v>
      </x:c>
      <x:c r="K113" s="41" t="str">
        <x:f>IF('Materials'!U113="","",'Materials'!U113)</x:f>
      </x:c>
      <x:c r="L113" s="41" t="n">
        <x:f>IF('Materials'!V113="","",'Materials'!V113)</x:f>
        <x:v>0.16</x:v>
      </x:c>
      <x:c r="M113" s="41" t="n">
        <x:f>IF('Materials'!W113="","",'Materials'!W113)</x:f>
        <x:v>1700</x:v>
      </x:c>
      <x:c r="N113" s="41" t="n">
        <x:f>IF('Materials'!X113="","",'Materials'!X113)</x:f>
        <x:v>4</x:v>
      </x:c>
      <x:c r="O113" s="43" t="n">
        <x:f>IF('Materials'!Y113="","",'Materials'!Y113)</x:f>
        <x:v>100000000000</x:v>
      </x:c>
      <x:c r="P113" s="41" t="n">
        <x:f>IF('Materials'!Z113="","",'Materials'!Z113)</x:f>
        <x:v>200</x:v>
      </x:c>
      <x:c r="Q113" s="41" t="n">
        <x:f>IF('Materials'!AA113="","",'Materials'!AA113)</x:f>
        <x:v>100</x:v>
      </x:c>
      <x:c r="R113" s="41" t="str">
        <x:f>IF('Materials'!AB113="","",'Materials'!AB113)</x:f>
      </x:c>
      <x:c r="S113" s="41" t="str">
        <x:f>IF('Materials'!O113="","",'Materials'!O113)</x:f>
      </x:c>
    </x:row>
    <x:row r="114">
      <x:c r="A114" s="42" t="n">
        <x:f>'Materials'!A114</x:f>
        <x:v>5106</x:v>
      </x:c>
      <x:c r="B114" s="41" t="n">
        <x:f>IF('Materials'!I114="","",'Materials'!I114)</x:f>
        <x:v>550</x:v>
      </x:c>
      <x:c r="C114" s="41" t="n">
        <x:f>IF('Materials'!J114="","",'Materials'!J114)</x:f>
        <x:v>8</x:v>
      </x:c>
      <x:c r="D114" s="41" t="n">
        <x:f>IF('Materials'!N114="","",'Materials'!N114)</x:f>
        <x:v>0.6</x:v>
      </x:c>
      <x:c r="E114" s="41" t="n">
        <x:f>IF('Materials'!K114="","",'Materials'!K114)</x:f>
        <x:v>0.25</x:v>
      </x:c>
      <x:c r="F114" s="41" t="str">
        <x:f>IF('Materials'!P114="","",'Materials'!P114)</x:f>
      </x:c>
      <x:c r="G114" s="41" t="n">
        <x:f>IF('Materials'!Q114="","",'Materials'!Q114)</x:f>
        <x:v>35</x:v>
      </x:c>
      <x:c r="H114" s="41" t="n">
        <x:f>IF('Materials'!R114="","",'Materials'!R114)</x:f>
        <x:v>30</x:v>
      </x:c>
      <x:c r="I114" s="41" t="n">
        <x:f>IF('Materials'!S114="","",'Materials'!S114)</x:f>
        <x:v>45</x:v>
      </x:c>
      <x:c r="J114" s="41" t="n">
        <x:f>IF('Materials'!T114="","",'Materials'!T114)</x:f>
        <x:v>0.008</x:v>
      </x:c>
      <x:c r="K114" s="41" t="str">
        <x:f>IF('Materials'!U114="","",'Materials'!U114)</x:f>
      </x:c>
      <x:c r="L114" s="41" t="n">
        <x:f>IF('Materials'!V114="","",'Materials'!V114)</x:f>
        <x:v>0.12</x:v>
      </x:c>
      <x:c r="M114" s="41" t="n">
        <x:f>IF('Materials'!W114="","",'Materials'!W114)</x:f>
        <x:v>1700</x:v>
      </x:c>
      <x:c r="N114" s="41" t="n">
        <x:f>IF('Materials'!X114="","",'Materials'!X114)</x:f>
        <x:v>6</x:v>
      </x:c>
      <x:c r="O114" s="43" t="n">
        <x:f>IF('Materials'!Y114="","",'Materials'!Y114)</x:f>
        <x:v>100000000000</x:v>
      </x:c>
      <x:c r="P114" s="41" t="n">
        <x:f>IF('Materials'!Z114="","",'Materials'!Z114)</x:f>
        <x:v>180</x:v>
      </x:c>
      <x:c r="Q114" s="41" t="n">
        <x:f>IF('Materials'!AA114="","",'Materials'!AA114)</x:f>
        <x:v>90</x:v>
      </x:c>
      <x:c r="R114" s="41" t="str">
        <x:f>IF('Materials'!AB114="","",'Materials'!AB114)</x:f>
      </x:c>
      <x:c r="S114" s="41" t="str">
        <x:f>IF('Materials'!O114="","",'Materials'!O114)</x:f>
      </x:c>
    </x:row>
    <x:row r="115">
      <x:c r="A115" s="42" t="n">
        <x:f>'Materials'!A115</x:f>
        <x:v>5107</x:v>
      </x:c>
      <x:c r="B115" s="41" t="n">
        <x:f>IF('Materials'!I115="","",'Materials'!I115)</x:f>
        <x:v>750</x:v>
      </x:c>
      <x:c r="C115" s="41" t="n">
        <x:f>IF('Materials'!J115="","",'Materials'!J115)</x:f>
        <x:v>3.5</x:v>
      </x:c>
      <x:c r="D115" s="41" t="n">
        <x:f>IF('Materials'!N115="","",'Materials'!N115)</x:f>
        <x:v>1.3</x:v>
      </x:c>
      <x:c r="E115" s="41" t="n">
        <x:f>IF('Materials'!K115="","",'Materials'!K115)</x:f>
        <x:v>0.3</x:v>
      </x:c>
      <x:c r="F115" s="41" t="str">
        <x:f>IF('Materials'!P115="","",'Materials'!P115)</x:f>
      </x:c>
      <x:c r="G115" s="41" t="n">
        <x:f>IF('Materials'!Q115="","",'Materials'!Q115)</x:f>
        <x:v>25</x:v>
      </x:c>
      <x:c r="H115" s="41" t="n">
        <x:f>IF('Materials'!R115="","",'Materials'!R115)</x:f>
        <x:v>20</x:v>
      </x:c>
      <x:c r="I115" s="41" t="n">
        <x:f>IF('Materials'!S115="","",'Materials'!S115)</x:f>
        <x:v>35</x:v>
      </x:c>
      <x:c r="J115" s="41" t="n">
        <x:f>IF('Materials'!T115="","",'Materials'!T115)</x:f>
        <x:v>0.008</x:v>
      </x:c>
      <x:c r="K115" s="41" t="str">
        <x:f>IF('Materials'!U115="","",'Materials'!U115)</x:f>
      </x:c>
      <x:c r="L115" s="41" t="n">
        <x:f>IF('Materials'!V115="","",'Materials'!V115)</x:f>
        <x:v>0.12</x:v>
      </x:c>
      <x:c r="M115" s="41" t="n">
        <x:f>IF('Materials'!W115="","",'Materials'!W115)</x:f>
        <x:v>1700</x:v>
      </x:c>
      <x:c r="N115" s="41" t="n">
        <x:f>IF('Materials'!X115="","",'Materials'!X115)</x:f>
        <x:v>12</x:v>
      </x:c>
      <x:c r="O115" s="43" t="n">
        <x:f>IF('Materials'!Y115="","",'Materials'!Y115)</x:f>
        <x:v>10000000000</x:v>
      </x:c>
      <x:c r="P115" s="41" t="n">
        <x:f>IF('Materials'!Z115="","",'Materials'!Z115)</x:f>
        <x:v>180</x:v>
      </x:c>
      <x:c r="Q115" s="41" t="n">
        <x:f>IF('Materials'!AA115="","",'Materials'!AA115)</x:f>
        <x:v>80</x:v>
      </x:c>
      <x:c r="R115" s="41" t="str">
        <x:f>IF('Materials'!AB115="","",'Materials'!AB115)</x:f>
      </x:c>
      <x:c r="S115" s="41" t="str">
        <x:f>IF('Materials'!O115="","",'Materials'!O115)</x:f>
      </x:c>
    </x:row>
    <x:row r="116">
      <x:c r="A116" s="42" t="n">
        <x:f>'Materials'!A116</x:f>
        <x:v>5108</x:v>
      </x:c>
      <x:c r="B116" s="41" t="n">
        <x:f>IF('Materials'!I116="","",'Materials'!I116)</x:f>
        <x:v>560</x:v>
      </x:c>
      <x:c r="C116" s="41" t="n">
        <x:f>IF('Materials'!J116="","",'Materials'!J116)</x:f>
        <x:v>14</x:v>
      </x:c>
      <x:c r="D116" s="41" t="n">
        <x:f>IF('Materials'!N116="","",'Materials'!N116)</x:f>
        <x:v>0.8</x:v>
      </x:c>
      <x:c r="E116" s="41" t="n">
        <x:f>IF('Materials'!K116="","",'Materials'!K116)</x:f>
        <x:v>0.3</x:v>
      </x:c>
      <x:c r="F116" s="41" t="str">
        <x:f>IF('Materials'!P116="","",'Materials'!P116)</x:f>
      </x:c>
      <x:c r="G116" s="41" t="n">
        <x:f>IF('Materials'!Q116="","",'Materials'!Q116)</x:f>
        <x:v>50</x:v>
      </x:c>
      <x:c r="H116" s="41" t="n">
        <x:f>IF('Materials'!R116="","",'Materials'!R116)</x:f>
        <x:v>45</x:v>
      </x:c>
      <x:c r="I116" s="41" t="n">
        <x:f>IF('Materials'!S116="","",'Materials'!S116)</x:f>
        <x:v>55</x:v>
      </x:c>
      <x:c r="J116" s="41" t="n">
        <x:f>IF('Materials'!T116="","",'Materials'!T116)</x:f>
        <x:v>0.01</x:v>
      </x:c>
      <x:c r="K116" s="41" t="str">
        <x:f>IF('Materials'!U116="","",'Materials'!U116)</x:f>
      </x:c>
      <x:c r="L116" s="41" t="n">
        <x:f>IF('Materials'!V116="","",'Materials'!V116)</x:f>
        <x:v>0.13</x:v>
      </x:c>
      <x:c r="M116" s="41" t="n">
        <x:f>IF('Materials'!W116="","",'Materials'!W116)</x:f>
        <x:v>1700</x:v>
      </x:c>
      <x:c r="N116" s="41" t="n">
        <x:f>IF('Materials'!X116="","",'Materials'!X116)</x:f>
        <x:v>5</x:v>
      </x:c>
      <x:c r="O116" s="43" t="n">
        <x:f>IF('Materials'!Y116="","",'Materials'!Y116)</x:f>
        <x:v>100000000000</x:v>
      </x:c>
      <x:c r="P116" s="41" t="n">
        <x:f>IF('Materials'!Z116="","",'Materials'!Z116)</x:f>
        <x:v>180</x:v>
      </x:c>
      <x:c r="Q116" s="41" t="n">
        <x:f>IF('Materials'!AA116="","",'Materials'!AA116)</x:f>
        <x:v>100</x:v>
      </x:c>
      <x:c r="R116" s="41" t="str">
        <x:f>IF('Materials'!AB116="","",'Materials'!AB116)</x:f>
      </x:c>
      <x:c r="S116" s="41" t="str">
        <x:f>IF('Materials'!O116="","",'Materials'!O116)</x:f>
      </x:c>
    </x:row>
    <x:row r="117">
      <x:c r="A117" s="42" t="n">
        <x:f>'Materials'!A117</x:f>
        <x:v>5109</x:v>
      </x:c>
      <x:c r="B117" s="41" t="n">
        <x:f>IF('Materials'!I117="","",'Materials'!I117)</x:f>
        <x:v>520</x:v>
      </x:c>
      <x:c r="C117" s="41" t="n">
        <x:f>IF('Materials'!J117="","",'Materials'!J117)</x:f>
        <x:v>12</x:v>
      </x:c>
      <x:c r="D117" s="41" t="n">
        <x:f>IF('Materials'!N117="","",'Materials'!N117)</x:f>
        <x:v>0.75</x:v>
      </x:c>
      <x:c r="E117" s="41" t="n">
        <x:f>IF('Materials'!K117="","",'Materials'!K117)</x:f>
        <x:v>0.3</x:v>
      </x:c>
      <x:c r="F117" s="41" t="str">
        <x:f>IF('Materials'!P117="","",'Materials'!P117)</x:f>
      </x:c>
      <x:c r="G117" s="41" t="n">
        <x:f>IF('Materials'!Q117="","",'Materials'!Q117)</x:f>
        <x:v>40</x:v>
      </x:c>
      <x:c r="H117" s="41" t="n">
        <x:f>IF('Materials'!R117="","",'Materials'!R117)</x:f>
        <x:v>35</x:v>
      </x:c>
      <x:c r="I117" s="41" t="n">
        <x:f>IF('Materials'!S117="","",'Materials'!S117)</x:f>
        <x:v>45</x:v>
      </x:c>
      <x:c r="J117" s="41" t="n">
        <x:f>IF('Materials'!T117="","",'Materials'!T117)</x:f>
        <x:v>0.01</x:v>
      </x:c>
      <x:c r="K117" s="41" t="str">
        <x:f>IF('Materials'!U117="","",'Materials'!U117)</x:f>
      </x:c>
      <x:c r="L117" s="41" t="n">
        <x:f>IF('Materials'!V117="","",'Materials'!V117)</x:f>
        <x:v>0.13</x:v>
      </x:c>
      <x:c r="M117" s="41" t="n">
        <x:f>IF('Materials'!W117="","",'Materials'!W117)</x:f>
        <x:v>1700</x:v>
      </x:c>
      <x:c r="N117" s="41" t="n">
        <x:f>IF('Materials'!X117="","",'Materials'!X117)</x:f>
        <x:v>5</x:v>
      </x:c>
      <x:c r="O117" s="43" t="n">
        <x:f>IF('Materials'!Y117="","",'Materials'!Y117)</x:f>
        <x:v>100000000000</x:v>
      </x:c>
      <x:c r="P117" s="41" t="n">
        <x:f>IF('Materials'!Z117="","",'Materials'!Z117)</x:f>
        <x:v>180</x:v>
      </x:c>
      <x:c r="Q117" s="41" t="n">
        <x:f>IF('Materials'!AA117="","",'Materials'!AA117)</x:f>
        <x:v>100</x:v>
      </x:c>
      <x:c r="R117" s="41" t="str">
        <x:f>IF('Materials'!AB117="","",'Materials'!AB117)</x:f>
      </x:c>
      <x:c r="S117" s="41" t="str">
        <x:f>IF('Materials'!O117="","",'Materials'!O117)</x:f>
      </x:c>
    </x:row>
    <x:row r="118">
      <x:c r="A118" s="42" t="n">
        <x:f>'Materials'!A118</x:f>
        <x:v>6001</x:v>
      </x:c>
      <x:c r="B118" s="41" t="n">
        <x:f>IF('Materials'!I118="","",'Materials'!I118)</x:f>
        <x:v>2400</x:v>
      </x:c>
      <x:c r="C118" s="41" t="n">
        <x:f>IF('Materials'!J118="","",'Materials'!J118)</x:f>
        <x:v>27</x:v>
      </x:c>
      <x:c r="D118" s="41" t="n">
        <x:f>IF('Materials'!N118="","",'Materials'!N118)</x:f>
        <x:v>11.25</x:v>
      </x:c>
      <x:c r="E118" s="41" t="n">
        <x:f>IF('Materials'!K118="","",'Materials'!K118)</x:f>
        <x:v>0.2</x:v>
      </x:c>
      <x:c r="F118" s="41" t="str">
        <x:f>IF('Materials'!P118="","",'Materials'!P118)</x:f>
      </x:c>
      <x:c r="G118" s="41" t="n">
        <x:f>IF('Materials'!Q118="","",'Materials'!Q118)</x:f>
        <x:v>2.5</x:v>
      </x:c>
      <x:c r="H118" s="41" t="n">
        <x:f>IF('Materials'!R118="","",'Materials'!R118)</x:f>
        <x:v>25</x:v>
      </x:c>
      <x:c r="I118" s="41" t="n">
        <x:f>IF('Materials'!S118="","",'Materials'!S118)</x:f>
        <x:v>3.5</x:v>
      </x:c>
      <x:c r="J118" s="41" t="n">
        <x:f>IF('Materials'!T118="","",'Materials'!T118)</x:f>
        <x:v>0.0001</x:v>
      </x:c>
      <x:c r="K118" s="41" t="n">
        <x:f>IF('Materials'!U118="","",'Materials'!U118)</x:f>
        <x:v>0.3</x:v>
      </x:c>
      <x:c r="L118" s="41" t="n">
        <x:f>IF('Materials'!V118="","",'Materials'!V118)</x:f>
        <x:v>1.7</x:v>
      </x:c>
      <x:c r="M118" s="41" t="n">
        <x:f>IF('Materials'!W118="","",'Materials'!W118)</x:f>
        <x:v>880</x:v>
      </x:c>
      <x:c r="N118" s="41" t="n">
        <x:f>IF('Materials'!X118="","",'Materials'!X118)</x:f>
        <x:v>10</x:v>
      </x:c>
      <x:c r="O118" s="43" t="n">
        <x:f>IF('Materials'!Y118="","",'Materials'!Y118)</x:f>
        <x:v>100</x:v>
      </x:c>
      <x:c r="P118" s="41" t="n">
        <x:f>IF('Materials'!Z118="","",'Materials'!Z118)</x:f>
        <x:v>1200</x:v>
      </x:c>
      <x:c r="Q118" s="41" t="n">
        <x:f>IF('Materials'!AA118="","",'Materials'!AA118)</x:f>
        <x:v>300</x:v>
      </x:c>
      <x:c r="R118" s="41" t="str">
        <x:f>IF('Materials'!AB118="","",'Materials'!AB118)</x:f>
      </x:c>
      <x:c r="S118" s="41" t="n">
        <x:f>IF('Materials'!O118="","",'Materials'!O118)</x:f>
        <x:v>15.000000000000002</x:v>
      </x:c>
    </x:row>
    <x:row r="119">
      <x:c r="A119" s="42" t="n">
        <x:f>'Materials'!A119</x:f>
        <x:v>6002</x:v>
      </x:c>
      <x:c r="B119" s="41" t="n">
        <x:f>IF('Materials'!I119="","",'Materials'!I119)</x:f>
        <x:v>2400</x:v>
      </x:c>
      <x:c r="C119" s="41" t="n">
        <x:f>IF('Materials'!J119="","",'Materials'!J119)</x:f>
        <x:v>30</x:v>
      </x:c>
      <x:c r="D119" s="41" t="n">
        <x:f>IF('Materials'!N119="","",'Materials'!N119)</x:f>
        <x:v>12.5</x:v>
      </x:c>
      <x:c r="E119" s="41" t="n">
        <x:f>IF('Materials'!K119="","",'Materials'!K119)</x:f>
        <x:v>0.2</x:v>
      </x:c>
      <x:c r="F119" s="41" t="str">
        <x:f>IF('Materials'!P119="","",'Materials'!P119)</x:f>
      </x:c>
      <x:c r="G119" s="41" t="n">
        <x:f>IF('Materials'!Q119="","",'Materials'!Q119)</x:f>
        <x:v>3.5</x:v>
      </x:c>
      <x:c r="H119" s="41" t="n">
        <x:f>IF('Materials'!R119="","",'Materials'!R119)</x:f>
        <x:v>40</x:v>
      </x:c>
      <x:c r="I119" s="41" t="n">
        <x:f>IF('Materials'!S119="","",'Materials'!S119)</x:f>
        <x:v>4.5</x:v>
      </x:c>
      <x:c r="J119" s="41" t="n">
        <x:f>IF('Materials'!T119="","",'Materials'!T119)</x:f>
        <x:v>0.0001</x:v>
      </x:c>
      <x:c r="K119" s="41" t="n">
        <x:f>IF('Materials'!U119="","",'Materials'!U119)</x:f>
        <x:v>0.35</x:v>
      </x:c>
      <x:c r="L119" s="41" t="n">
        <x:f>IF('Materials'!V119="","",'Materials'!V119)</x:f>
        <x:v>1.8</x:v>
      </x:c>
      <x:c r="M119" s="41" t="n">
        <x:f>IF('Materials'!W119="","",'Materials'!W119)</x:f>
        <x:v>880</x:v>
      </x:c>
      <x:c r="N119" s="41" t="n">
        <x:f>IF('Materials'!X119="","",'Materials'!X119)</x:f>
        <x:v>10</x:v>
      </x:c>
      <x:c r="O119" s="43" t="n">
        <x:f>IF('Materials'!Y119="","",'Materials'!Y119)</x:f>
        <x:v>100</x:v>
      </x:c>
      <x:c r="P119" s="41" t="n">
        <x:f>IF('Materials'!Z119="","",'Materials'!Z119)</x:f>
        <x:v>1200</x:v>
      </x:c>
      <x:c r="Q119" s="41" t="n">
        <x:f>IF('Materials'!AA119="","",'Materials'!AA119)</x:f>
        <x:v>300</x:v>
      </x:c>
      <x:c r="R119" s="41" t="str">
        <x:f>IF('Materials'!AB119="","",'Materials'!AB119)</x:f>
      </x:c>
      <x:c r="S119" s="41" t="n">
        <x:f>IF('Materials'!O119="","",'Materials'!O119)</x:f>
        <x:v>16.666666666666668</x:v>
      </x:c>
    </x:row>
    <x:row r="120">
      <x:c r="A120" s="42" t="n">
        <x:f>'Materials'!A120</x:f>
        <x:v>6003</x:v>
      </x:c>
      <x:c r="B120" s="41" t="n">
        <x:f>IF('Materials'!I120="","",'Materials'!I120)</x:f>
        <x:v>2450</x:v>
      </x:c>
      <x:c r="C120" s="41" t="n">
        <x:f>IF('Materials'!J120="","",'Materials'!J120)</x:f>
        <x:v>36</x:v>
      </x:c>
      <x:c r="D120" s="41" t="n">
        <x:f>IF('Materials'!N120="","",'Materials'!N120)</x:f>
        <x:v>15</x:v>
      </x:c>
      <x:c r="E120" s="41" t="n">
        <x:f>IF('Materials'!K120="","",'Materials'!K120)</x:f>
        <x:v>0.2</x:v>
      </x:c>
      <x:c r="F120" s="41" t="str">
        <x:f>IF('Materials'!P120="","",'Materials'!P120)</x:f>
      </x:c>
      <x:c r="G120" s="41" t="n">
        <x:f>IF('Materials'!Q120="","",'Materials'!Q120)</x:f>
        <x:v>4.5</x:v>
      </x:c>
      <x:c r="H120" s="41" t="n">
        <x:f>IF('Materials'!R120="","",'Materials'!R120)</x:f>
        <x:v>60</x:v>
      </x:c>
      <x:c r="I120" s="41" t="n">
        <x:f>IF('Materials'!S120="","",'Materials'!S120)</x:f>
        <x:v>6</x:v>
      </x:c>
      <x:c r="J120" s="41" t="n">
        <x:f>IF('Materials'!T120="","",'Materials'!T120)</x:f>
        <x:v>0.0001</x:v>
      </x:c>
      <x:c r="K120" s="41" t="n">
        <x:f>IF('Materials'!U120="","",'Materials'!U120)</x:f>
        <x:v>0.4</x:v>
      </x:c>
      <x:c r="L120" s="41" t="n">
        <x:f>IF('Materials'!V120="","",'Materials'!V120)</x:f>
        <x:v>2</x:v>
      </x:c>
      <x:c r="M120" s="41" t="n">
        <x:f>IF('Materials'!W120="","",'Materials'!W120)</x:f>
        <x:v>880</x:v>
      </x:c>
      <x:c r="N120" s="41" t="n">
        <x:f>IF('Materials'!X120="","",'Materials'!X120)</x:f>
        <x:v>10</x:v>
      </x:c>
      <x:c r="O120" s="43" t="n">
        <x:f>IF('Materials'!Y120="","",'Materials'!Y120)</x:f>
        <x:v>100</x:v>
      </x:c>
      <x:c r="P120" s="41" t="n">
        <x:f>IF('Materials'!Z120="","",'Materials'!Z120)</x:f>
        <x:v>1200</x:v>
      </x:c>
      <x:c r="Q120" s="41" t="n">
        <x:f>IF('Materials'!AA120="","",'Materials'!AA120)</x:f>
        <x:v>300</x:v>
      </x:c>
      <x:c r="R120" s="41" t="str">
        <x:f>IF('Materials'!AB120="","",'Materials'!AB120)</x:f>
      </x:c>
      <x:c r="S120" s="41" t="n">
        <x:f>IF('Materials'!O120="","",'Materials'!O120)</x:f>
        <x:v>20.000000000000004</x:v>
      </x:c>
    </x:row>
    <x:row r="121">
      <x:c r="A121" s="42" t="n">
        <x:f>'Materials'!A121</x:f>
        <x:v>6004</x:v>
      </x:c>
      <x:c r="B121" s="41" t="n">
        <x:f>IF('Materials'!I121="","",'Materials'!I121)</x:f>
        <x:v>1850</x:v>
      </x:c>
      <x:c r="C121" s="41" t="n">
        <x:f>IF('Materials'!J121="","",'Materials'!J121)</x:f>
        <x:v>18</x:v>
      </x:c>
      <x:c r="D121" s="41" t="n">
        <x:f>IF('Materials'!N121="","",'Materials'!N121)</x:f>
        <x:v>7.5</x:v>
      </x:c>
      <x:c r="E121" s="41" t="n">
        <x:f>IF('Materials'!K121="","",'Materials'!K121)</x:f>
        <x:v>0.2</x:v>
      </x:c>
      <x:c r="F121" s="41" t="str">
        <x:f>IF('Materials'!P121="","",'Materials'!P121)</x:f>
      </x:c>
      <x:c r="G121" s="41" t="n">
        <x:f>IF('Materials'!Q121="","",'Materials'!Q121)</x:f>
        <x:v>2.2</x:v>
      </x:c>
      <x:c r="H121" s="41" t="n">
        <x:f>IF('Materials'!R121="","",'Materials'!R121)</x:f>
        <x:v>25</x:v>
      </x:c>
      <x:c r="I121" s="41" t="n">
        <x:f>IF('Materials'!S121="","",'Materials'!S121)</x:f>
        <x:v>3</x:v>
      </x:c>
      <x:c r="J121" s="41" t="n">
        <x:f>IF('Materials'!T121="","",'Materials'!T121)</x:f>
        <x:v>0.0001</x:v>
      </x:c>
      <x:c r="K121" s="41" t="n">
        <x:f>IF('Materials'!U121="","",'Materials'!U121)</x:f>
        <x:v>0.25</x:v>
      </x:c>
      <x:c r="L121" s="41" t="n">
        <x:f>IF('Materials'!V121="","",'Materials'!V121)</x:f>
        <x:v>0.8</x:v>
      </x:c>
      <x:c r="M121" s="41" t="n">
        <x:f>IF('Materials'!W121="","",'Materials'!W121)</x:f>
        <x:v>900</x:v>
      </x:c>
      <x:c r="N121" s="41" t="n">
        <x:f>IF('Materials'!X121="","",'Materials'!X121)</x:f>
        <x:v>9</x:v>
      </x:c>
      <x:c r="O121" s="43" t="n">
        <x:f>IF('Materials'!Y121="","",'Materials'!Y121)</x:f>
        <x:v>100</x:v>
      </x:c>
      <x:c r="P121" s="41" t="n">
        <x:f>IF('Materials'!Z121="","",'Materials'!Z121)</x:f>
        <x:v>1100</x:v>
      </x:c>
      <x:c r="Q121" s="41" t="n">
        <x:f>IF('Materials'!AA121="","",'Materials'!AA121)</x:f>
        <x:v>250</x:v>
      </x:c>
      <x:c r="R121" s="41" t="str">
        <x:f>IF('Materials'!AB121="","",'Materials'!AB121)</x:f>
      </x:c>
      <x:c r="S121" s="41" t="n">
        <x:f>IF('Materials'!O121="","",'Materials'!O121)</x:f>
        <x:v>10.000000000000002</x:v>
      </x:c>
    </x:row>
    <x:row r="122">
      <x:c r="A122" s="42" t="n">
        <x:f>'Materials'!A122</x:f>
        <x:v>6005</x:v>
      </x:c>
      <x:c r="B122" s="41" t="n">
        <x:f>IF('Materials'!I122="","",'Materials'!I122)</x:f>
        <x:v>1900</x:v>
      </x:c>
      <x:c r="C122" s="41" t="n">
        <x:f>IF('Materials'!J122="","",'Materials'!J122)</x:f>
        <x:v>15</x:v>
      </x:c>
      <x:c r="D122" s="41" t="n">
        <x:f>IF('Materials'!N122="","",'Materials'!N122)</x:f>
        <x:v>6.25</x:v>
      </x:c>
      <x:c r="E122" s="41" t="n">
        <x:f>IF('Materials'!K122="","",'Materials'!K122)</x:f>
        <x:v>0.2</x:v>
      </x:c>
      <x:c r="F122" s="41" t="str">
        <x:f>IF('Materials'!P122="","",'Materials'!P122)</x:f>
      </x:c>
      <x:c r="G122" s="41" t="n">
        <x:f>IF('Materials'!Q122="","",'Materials'!Q122)</x:f>
        <x:v>3</x:v>
      </x:c>
      <x:c r="H122" s="41" t="n">
        <x:f>IF('Materials'!R122="","",'Materials'!R122)</x:f>
        <x:v>30</x:v>
      </x:c>
      <x:c r="I122" s="41" t="n">
        <x:f>IF('Materials'!S122="","",'Materials'!S122)</x:f>
        <x:v>8</x:v>
      </x:c>
      <x:c r="J122" s="41" t="n">
        <x:f>IF('Materials'!T122="","",'Materials'!T122)</x:f>
        <x:v>0.0002</x:v>
      </x:c>
      <x:c r="K122" s="41" t="n">
        <x:f>IF('Materials'!U122="","",'Materials'!U122)</x:f>
        <x:v>0.25</x:v>
      </x:c>
      <x:c r="L122" s="41" t="n">
        <x:f>IF('Materials'!V122="","",'Materials'!V122)</x:f>
        <x:v>0.7</x:v>
      </x:c>
      <x:c r="M122" s="41" t="n">
        <x:f>IF('Materials'!W122="","",'Materials'!W122)</x:f>
        <x:v>840</x:v>
      </x:c>
      <x:c r="N122" s="41" t="n">
        <x:f>IF('Materials'!X122="","",'Materials'!X122)</x:f>
        <x:v>6</x:v>
      </x:c>
      <x:c r="O122" s="43" t="n">
        <x:f>IF('Materials'!Y122="","",'Materials'!Y122)</x:f>
        <x:v>100000000</x:v>
      </x:c>
      <x:c r="P122" s="41" t="n">
        <x:f>IF('Materials'!Z122="","",'Materials'!Z122)</x:f>
        <x:v>1000</x:v>
      </x:c>
      <x:c r="Q122" s="41" t="n">
        <x:f>IF('Materials'!AA122="","",'Materials'!AA122)</x:f>
        <x:v>700</x:v>
      </x:c>
      <x:c r="R122" s="41" t="str">
        <x:f>IF('Materials'!AB122="","",'Materials'!AB122)</x:f>
      </x:c>
      <x:c r="S122" s="41" t="n">
        <x:f>IF('Materials'!O122="","",'Materials'!O122)</x:f>
        <x:v>8.333333333333334</x:v>
      </x:c>
    </x:row>
    <x:row r="123">
      <x:c r="A123" s="42" t="n">
        <x:f>'Materials'!A123</x:f>
        <x:v>6006</x:v>
      </x:c>
      <x:c r="B123" s="41" t="n">
        <x:f>IF('Materials'!I123="","",'Materials'!I123)</x:f>
        <x:v>2700</x:v>
      </x:c>
      <x:c r="C123" s="41" t="n">
        <x:f>IF('Materials'!J123="","",'Materials'!J123)</x:f>
        <x:v>55</x:v>
      </x:c>
      <x:c r="D123" s="41" t="n">
        <x:f>IF('Materials'!N123="","",'Materials'!N123)</x:f>
        <x:v>22</x:v>
      </x:c>
      <x:c r="E123" s="41" t="n">
        <x:f>IF('Materials'!K123="","",'Materials'!K123)</x:f>
        <x:v>0.25</x:v>
      </x:c>
      <x:c r="F123" s="41" t="str">
        <x:f>IF('Materials'!P123="","",'Materials'!P123)</x:f>
      </x:c>
      <x:c r="G123" s="41" t="n">
        <x:f>IF('Materials'!Q123="","",'Materials'!Q123)</x:f>
        <x:v>8</x:v>
      </x:c>
      <x:c r="H123" s="41" t="n">
        <x:f>IF('Materials'!R123="","",'Materials'!R123)</x:f>
        <x:v>150</x:v>
      </x:c>
      <x:c r="I123" s="41" t="n">
        <x:f>IF('Materials'!S123="","",'Materials'!S123)</x:f>
        <x:v>15</x:v>
      </x:c>
      <x:c r="J123" s="41" t="n">
        <x:f>IF('Materials'!T123="","",'Materials'!T123)</x:f>
        <x:v>0.0005</x:v>
      </x:c>
      <x:c r="K123" s="41" t="n">
        <x:f>IF('Materials'!U123="","",'Materials'!U123)</x:f>
        <x:v>1.5</x:v>
      </x:c>
      <x:c r="L123" s="41" t="n">
        <x:f>IF('Materials'!V123="","",'Materials'!V123)</x:f>
        <x:v>2.8</x:v>
      </x:c>
      <x:c r="M123" s="41" t="n">
        <x:f>IF('Materials'!W123="","",'Materials'!W123)</x:f>
        <x:v>790</x:v>
      </x:c>
      <x:c r="N123" s="41" t="n">
        <x:f>IF('Materials'!X123="","",'Materials'!X123)</x:f>
        <x:v>7.5</x:v>
      </x:c>
      <x:c r="O123" s="43" t="n">
        <x:f>IF('Materials'!Y123="","",'Materials'!Y123)</x:f>
        <x:v>100000000</x:v>
      </x:c>
      <x:c r="P123" s="41" t="n">
        <x:f>IF('Materials'!Z123="","",'Materials'!Z123)</x:f>
        <x:v>1215</x:v>
      </x:c>
      <x:c r="Q123" s="41" t="n">
        <x:f>IF('Materials'!AA123="","",'Materials'!AA123)</x:f>
        <x:v>600</x:v>
      </x:c>
      <x:c r="R123" s="41" t="n">
        <x:f>IF('Materials'!AB123="","",'Materials'!AB123)</x:f>
        <x:v>600</x:v>
      </x:c>
      <x:c r="S123" s="41" t="n">
        <x:f>IF('Materials'!O123="","",'Materials'!O123)</x:f>
        <x:v>36.666666666666664</x:v>
      </x:c>
    </x:row>
    <x:row r="124">
      <x:c r="A124" s="42" t="n">
        <x:f>'Materials'!A124</x:f>
        <x:v>6007</x:v>
      </x:c>
      <x:c r="B124" s="41" t="n">
        <x:f>IF('Materials'!I124="","",'Materials'!I124)</x:f>
        <x:v>2600</x:v>
      </x:c>
      <x:c r="C124" s="41" t="n">
        <x:f>IF('Materials'!J124="","",'Materials'!J124)</x:f>
        <x:v>35</x:v>
      </x:c>
      <x:c r="D124" s="41" t="n">
        <x:f>IF('Materials'!N124="","",'Materials'!N124)</x:f>
        <x:v>14</x:v>
      </x:c>
      <x:c r="E124" s="41" t="n">
        <x:f>IF('Materials'!K124="","",'Materials'!K124)</x:f>
        <x:v>0.25</x:v>
      </x:c>
      <x:c r="F124" s="41" t="str">
        <x:f>IF('Materials'!P124="","",'Materials'!P124)</x:f>
      </x:c>
      <x:c r="G124" s="41" t="n">
        <x:f>IF('Materials'!Q124="","",'Materials'!Q124)</x:f>
        <x:v>5</x:v>
      </x:c>
      <x:c r="H124" s="41" t="n">
        <x:f>IF('Materials'!R124="","",'Materials'!R124)</x:f>
        <x:v>80</x:v>
      </x:c>
      <x:c r="I124" s="41" t="n">
        <x:f>IF('Materials'!S124="","",'Materials'!S124)</x:f>
        <x:v>10</x:v>
      </x:c>
      <x:c r="J124" s="41" t="n">
        <x:f>IF('Materials'!T124="","",'Materials'!T124)</x:f>
        <x:v>0.0005</x:v>
      </x:c>
      <x:c r="K124" s="41" t="n">
        <x:f>IF('Materials'!U124="","",'Materials'!U124)</x:f>
        <x:v>0.8</x:v>
      </x:c>
      <x:c r="L124" s="41" t="n">
        <x:f>IF('Materials'!V124="","",'Materials'!V124)</x:f>
        <x:v>1.3</x:v>
      </x:c>
      <x:c r="M124" s="41" t="n">
        <x:f>IF('Materials'!W124="","",'Materials'!W124)</x:f>
        <x:v>900</x:v>
      </x:c>
      <x:c r="N124" s="41" t="n">
        <x:f>IF('Materials'!X124="","",'Materials'!X124)</x:f>
        <x:v>5</x:v>
      </x:c>
      <x:c r="O124" s="43" t="n">
        <x:f>IF('Materials'!Y124="","",'Materials'!Y124)</x:f>
        <x:v>10000000</x:v>
      </x:c>
      <x:c r="P124" s="41" t="n">
        <x:f>IF('Materials'!Z124="","",'Materials'!Z124)</x:f>
        <x:v>825</x:v>
      </x:c>
      <x:c r="Q124" s="41" t="n">
        <x:f>IF('Materials'!AA124="","",'Materials'!AA124)</x:f>
        <x:v>400</x:v>
      </x:c>
      <x:c r="R124" s="41" t="n">
        <x:f>IF('Materials'!AB124="","",'Materials'!AB124)</x:f>
        <x:v>180</x:v>
      </x:c>
      <x:c r="S124" s="41" t="n">
        <x:f>IF('Materials'!O124="","",'Materials'!O124)</x:f>
        <x:v>23.333333333333332</x:v>
      </x:c>
    </x:row>
    <x:row r="125">
      <x:c r="A125" s="42" t="n">
        <x:f>'Materials'!A125</x:f>
        <x:v>6008</x:v>
      </x:c>
      <x:c r="B125" s="41" t="n">
        <x:f>IF('Materials'!I125="","",'Materials'!I125)</x:f>
        <x:v>2300</x:v>
      </x:c>
      <x:c r="C125" s="41" t="n">
        <x:f>IF('Materials'!J125="","",'Materials'!J125)</x:f>
        <x:v>20</x:v>
      </x:c>
      <x:c r="D125" s="41" t="n">
        <x:f>IF('Materials'!N125="","",'Materials'!N125)</x:f>
        <x:v>8</x:v>
      </x:c>
      <x:c r="E125" s="41" t="n">
        <x:f>IF('Materials'!K125="","",'Materials'!K125)</x:f>
        <x:v>0.25</x:v>
      </x:c>
      <x:c r="F125" s="41" t="str">
        <x:f>IF('Materials'!P125="","",'Materials'!P125)</x:f>
      </x:c>
      <x:c r="G125" s="41" t="n">
        <x:f>IF('Materials'!Q125="","",'Materials'!Q125)</x:f>
        <x:v>4</x:v>
      </x:c>
      <x:c r="H125" s="41" t="n">
        <x:f>IF('Materials'!R125="","",'Materials'!R125)</x:f>
        <x:v>60</x:v>
      </x:c>
      <x:c r="I125" s="41" t="n">
        <x:f>IF('Materials'!S125="","",'Materials'!S125)</x:f>
        <x:v>8</x:v>
      </x:c>
      <x:c r="J125" s="41" t="n">
        <x:f>IF('Materials'!T125="","",'Materials'!T125)</x:f>
        <x:v>0.0005</x:v>
      </x:c>
      <x:c r="K125" s="41" t="n">
        <x:f>IF('Materials'!U125="","",'Materials'!U125)</x:f>
        <x:v>0.7</x:v>
      </x:c>
      <x:c r="L125" s="41" t="n">
        <x:f>IF('Materials'!V125="","",'Materials'!V125)</x:f>
        <x:v>2</x:v>
      </x:c>
      <x:c r="M125" s="41" t="n">
        <x:f>IF('Materials'!W125="","",'Materials'!W125)</x:f>
        <x:v>800</x:v>
      </x:c>
      <x:c r="N125" s="41" t="n">
        <x:f>IF('Materials'!X125="","",'Materials'!X125)</x:f>
        <x:v>8</x:v>
      </x:c>
      <x:c r="O125" s="43" t="n">
        <x:f>IF('Materials'!Y125="","",'Materials'!Y125)</x:f>
        <x:v>100000000</x:v>
      </x:c>
      <x:c r="P125" s="41" t="n">
        <x:f>IF('Materials'!Z125="","",'Materials'!Z125)</x:f>
        <x:v>1100</x:v>
      </x:c>
      <x:c r="Q125" s="41" t="n">
        <x:f>IF('Materials'!AA125="","",'Materials'!AA125)</x:f>
        <x:v>500</x:v>
      </x:c>
      <x:c r="R125" s="41" t="n">
        <x:f>IF('Materials'!AB125="","",'Materials'!AB125)</x:f>
        <x:v>150</x:v>
      </x:c>
      <x:c r="S125" s="41" t="n">
        <x:f>IF('Materials'!O125="","",'Materials'!O125)</x:f>
        <x:v>13.333333333333334</x:v>
      </x:c>
    </x:row>
    <x:row r="126">
      <x:c r="A126" s="42" t="n">
        <x:f>'Materials'!A126</x:f>
        <x:v>6009</x:v>
      </x:c>
      <x:c r="B126" s="41" t="n">
        <x:f>IF('Materials'!I126="","",'Materials'!I126)</x:f>
        <x:v>800</x:v>
      </x:c>
      <x:c r="C126" s="41" t="n">
        <x:f>IF('Materials'!J126="","",'Materials'!J126)</x:f>
        <x:v>2</x:v>
      </x:c>
      <x:c r="D126" s="41" t="n">
        <x:f>IF('Materials'!N126="","",'Materials'!N126)</x:f>
        <x:v>0.8</x:v>
      </x:c>
      <x:c r="E126" s="41" t="n">
        <x:f>IF('Materials'!K126="","",'Materials'!K126)</x:f>
        <x:v>0.25</x:v>
      </x:c>
      <x:c r="F126" s="41" t="str">
        <x:f>IF('Materials'!P126="","",'Materials'!P126)</x:f>
      </x:c>
      <x:c r="G126" s="41" t="n">
        <x:f>IF('Materials'!Q126="","",'Materials'!Q126)</x:f>
        <x:v>2</x:v>
      </x:c>
      <x:c r="H126" s="41" t="n">
        <x:f>IF('Materials'!R126="","",'Materials'!R126)</x:f>
        <x:v>8</x:v>
      </x:c>
      <x:c r="I126" s="41" t="n">
        <x:f>IF('Materials'!S126="","",'Materials'!S126)</x:f>
        <x:v>5</x:v>
      </x:c>
      <x:c r="J126" s="41" t="n">
        <x:f>IF('Materials'!T126="","",'Materials'!T126)</x:f>
        <x:v>0.002</x:v>
      </x:c>
      <x:c r="K126" s="41" t="str">
        <x:f>IF('Materials'!U126="","",'Materials'!U126)</x:f>
      </x:c>
      <x:c r="L126" s="41" t="n">
        <x:f>IF('Materials'!V126="","",'Materials'!V126)</x:f>
        <x:v>0.17</x:v>
      </x:c>
      <x:c r="M126" s="41" t="n">
        <x:f>IF('Materials'!W126="","",'Materials'!W126)</x:f>
        <x:v>1090</x:v>
      </x:c>
      <x:c r="N126" s="41" t="n">
        <x:f>IF('Materials'!X126="","",'Materials'!X126)</x:f>
        <x:v>16</x:v>
      </x:c>
      <x:c r="O126" s="43" t="n">
        <x:f>IF('Materials'!Y126="","",'Materials'!Y126)</x:f>
        <x:v>1000000000</x:v>
      </x:c>
      <x:c r="P126" s="41" t="n">
        <x:f>IF('Materials'!Z126="","",'Materials'!Z126)</x:f>
        <x:v>150</x:v>
      </x:c>
      <x:c r="Q126" s="41" t="n">
        <x:f>IF('Materials'!AA126="","",'Materials'!AA126)</x:f>
        <x:v>50</x:v>
      </x:c>
      <x:c r="R126" s="41" t="str">
        <x:f>IF('Materials'!AB126="","",'Materials'!AB126)</x:f>
      </x:c>
      <x:c r="S126" s="41" t="str">
        <x:f>IF('Materials'!O126="","",'Materials'!O126)</x:f>
      </x:c>
    </x:row>
    <x:row r="127">
      <x:c r="A127" s="42" t="n">
        <x:f>'Materials'!A127</x:f>
        <x:v>6010</x:v>
      </x:c>
      <x:c r="B127" s="41" t="n">
        <x:f>IF('Materials'!I127="","",'Materials'!I127)</x:f>
        <x:v>2350</x:v>
      </x:c>
      <x:c r="C127" s="41" t="n">
        <x:f>IF('Materials'!J127="","",'Materials'!J127)</x:f>
        <x:v>3</x:v>
      </x:c>
      <x:c r="D127" s="41" t="n">
        <x:f>IF('Materials'!N127="","",'Materials'!N127)</x:f>
        <x:v>1.1</x:v>
      </x:c>
      <x:c r="E127" s="41" t="n">
        <x:f>IF('Materials'!K127="","",'Materials'!K127)</x:f>
        <x:v>0.35</x:v>
      </x:c>
      <x:c r="F127" s="41" t="str">
        <x:f>IF('Materials'!P127="","",'Materials'!P127)</x:f>
      </x:c>
      <x:c r="G127" s="41" t="n">
        <x:f>IF('Materials'!Q127="","",'Materials'!Q127)</x:f>
        <x:v>2</x:v>
      </x:c>
      <x:c r="H127" s="41" t="n">
        <x:f>IF('Materials'!R127="","",'Materials'!R127)</x:f>
        <x:v>10</x:v>
      </x:c>
      <x:c r="I127" s="41" t="n">
        <x:f>IF('Materials'!S127="","",'Materials'!S127)</x:f>
        <x:v>5</x:v>
      </x:c>
      <x:c r="J127" s="41" t="n">
        <x:f>IF('Materials'!T127="","",'Materials'!T127)</x:f>
        <x:v>0.01</x:v>
      </x:c>
      <x:c r="K127" s="41" t="str">
        <x:f>IF('Materials'!U127="","",'Materials'!U127)</x:f>
      </x:c>
      <x:c r="L127" s="41" t="n">
        <x:f>IF('Materials'!V127="","",'Materials'!V127)</x:f>
        <x:v>0.75</x:v>
      </x:c>
      <x:c r="M127" s="41" t="n">
        <x:f>IF('Materials'!W127="","",'Materials'!W127)</x:f>
        <x:v>920</x:v>
      </x:c>
      <x:c r="N127" s="41" t="n">
        <x:f>IF('Materials'!X127="","",'Materials'!X127)</x:f>
        <x:v>25</x:v>
      </x:c>
      <x:c r="O127" s="43" t="n">
        <x:f>IF('Materials'!Y127="","",'Materials'!Y127)</x:f>
        <x:v>10000000000</x:v>
      </x:c>
      <x:c r="P127" s="41" t="n">
        <x:f>IF('Materials'!Z127="","",'Materials'!Z127)</x:f>
        <x:v>160</x:v>
      </x:c>
      <x:c r="Q127" s="41" t="n">
        <x:f>IF('Materials'!AA127="","",'Materials'!AA127)</x:f>
        <x:v>70</x:v>
      </x:c>
      <x:c r="R127" s="41" t="str">
        <x:f>IF('Materials'!AB127="","",'Materials'!AB127)</x:f>
      </x:c>
      <x:c r="S127" s="41" t="str">
        <x:f>IF('Materials'!O127="","",'Materials'!O127)</x:f>
      </x:c>
    </x:row>
  </x:sheetData>
  <x:pageMargins left="0.7" right="0.7" top="0.75" bottom="0.75" header="0.3" footer="0.3"/>
  <x:tableParts count="1">
    <x:tablePart xmlns:r="http://schemas.openxmlformats.org/officeDocument/2006/relationships" r:id="R553738a2b1594a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2" t="str">
        <x:v>Material Property Selector</x:v>
      </x:c>
      <x:c r="B1" s="2"/>
      <x:c r="C1" s="2"/>
      <x:c r="D1" s="2"/>
      <x:c r="E1" s="2"/>
      <x:c r="F1" s="2"/>
    </x:row>
    <x:row r="3">
      <x:c r="A3" s="16" t="str">
        <x:v>Input</x:v>
      </x:c>
      <x:c r="B3" s="16" t="str">
        <x:v>Value</x:v>
      </x:c>
    </x:row>
    <x:row r="4">
      <x:c r="A4" s="5" t="str">
        <x:v>Material ID</x:v>
      </x:c>
      <x:c r="B4" s="46" t="n">
        <x:v>2006</x:v>
      </x:c>
    </x:row>
    <x:row r="5">
      <x:c r="A5" s="5" t="str">
        <x:v>Property ID</x:v>
      </x:c>
      <x:c r="B5" s="46" t="n">
        <x:v>2</x:v>
      </x:c>
    </x:row>
    <x:row r="7">
      <x:c r="A7" s="16" t="str">
        <x:v>Result</x:v>
      </x:c>
      <x:c r="B7" s="16" t="str">
        <x:v>Value</x:v>
      </x:c>
    </x:row>
    <x:row r="8">
      <x:c r="A8" s="5" t="str">
        <x:v>Material name</x:v>
      </x:c>
      <x:c r="B8" t="str">
        <x:f>IFERROR(INDEX('Materials'!$C$2:$C$127,MATCH(B4,'Materials'!$A$2:$A$127,0)),"")</x:f>
        <x:v>Aluminum 6061-T6</x:v>
      </x:c>
    </x:row>
    <x:row r="9">
      <x:c r="A9" s="5" t="str">
        <x:v>CPD constant</x:v>
      </x:c>
      <x:c r="B9" t="str">
        <x:f>IFERROR(INDEX('Materials'!$B$2:$B$127,MATCH(B4,'Materials'!$A$2:$A$127,0)),"")</x:f>
        <x:v>ALUMINUM_6061_T6</x:v>
      </x:c>
    </x:row>
    <x:row r="10">
      <x:c r="A10" s="5" t="str">
        <x:v>Property name</x:v>
      </x:c>
      <x:c r="B10" t="str">
        <x:f>IFERROR(INDEX('Property Dictionary'!$C$2:$C$19,MATCH(B5,'Property Dictionary'!$A$2:$A$19,0)),"")</x:f>
        <x:v>Young's modulus</x:v>
      </x:c>
    </x:row>
    <x:row r="11">
      <x:c r="A11" s="5" t="str">
        <x:v>Unit</x:v>
      </x:c>
      <x:c r="B11" t="str">
        <x:f>IFERROR(INDEX('Property Dictionary'!$D$2:$D$19,MATCH(B5,'Property Dictionary'!$A$2:$A$19,0)),"")</x:f>
        <x:v>GPa</x:v>
      </x:c>
    </x:row>
    <x:row r="12">
      <x:c r="A12" s="5" t="str">
        <x:v>Property value</x:v>
      </x:c>
      <x:c r="B12" s="49" t="n">
        <x:f>IFERROR(INDEX('CPD Numeric Export'!$B$2:$S$127,MATCH(B4,'CPD Numeric Export'!$A$2:$A$127,0),B5),"")</x:f>
        <x:v>68.9</x:v>
      </x:c>
    </x:row>
    <x:row r="13">
      <x:c r="A13" s="5" t="str">
        <x:v>Availability</x:v>
      </x:c>
      <x:c r="B13" t="str">
        <x:f>IF(B12="","Missing / not applicable","Available")</x:f>
        <x:v>Available</x:v>
      </x:c>
    </x:row>
    <x:row r="15" ht="30" customHeight="1">
      <x:c r="A15" s="51" t="str">
        <x:v>Tip: use the CPD constant and property constant shown in the dictionary with MatPROP(item; property).</x:v>
      </x:c>
      <x:c r="B15" s="51"/>
      <x:c r="C15" s="51"/>
      <x:c r="D15" s="51"/>
      <x:c r="E15" s="51"/>
      <x:c r="F15" s="51"/>
    </x:row>
  </x:sheetData>
  <x:mergeCells>
    <x:mergeCell ref="A1:F1"/>
    <x:mergeCell ref="A15:F15"/>
  </x:mergeCells>
  <x:conditionalFormatting sqref="B13:B13">
    <x:cfRule type="containsText" dxfId="0" priority="1" operator="containsText" text="Missing"/>
  </x:conditionalFormatting>
  <x:dataValidations count="2">
    <x:dataValidation type="list" sqref="B4">
      <x:formula1>'Materials'!$A$2:$A$127</x:formula1>
    </x:dataValidation>
    <x:dataValidation type="whole" operator="between" sqref="B5">
      <x:formula1>1</x:formula1>
      <x:formula2>18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58" hidden="0" customWidth="1"/>
  </x:cols>
  <x:sheetData>
    <x:row r="1" ht="30" customHeight="1">
      <x:c r="A1" s="2" t="str">
        <x:v>Library Quality and Coverage Checks</x:v>
      </x:c>
      <x:c r="B1" s="2"/>
      <x:c r="C1" s="2"/>
      <x:c r="D1" s="2"/>
      <x:c r="E1" s="2"/>
      <x:c r="F1" s="2"/>
    </x:row>
    <x:row r="3">
      <x:c r="A3" s="16" t="str">
        <x:v>Check</x:v>
      </x:c>
      <x:c r="B3" s="16" t="str">
        <x:v>Result</x:v>
      </x:c>
    </x:row>
    <x:row r="4">
      <x:c r="A4" s="5" t="str">
        <x:v>Total materials</x:v>
      </x:c>
      <x:c r="B4" t="n">
        <x:f>COUNTA('Materials'!$A$2:$A$127)</x:f>
        <x:v>126</x:v>
      </x:c>
    </x:row>
    <x:row r="5">
      <x:c r="A5" s="5" t="str">
        <x:v>Duplicate material IDs</x:v>
      </x:c>
      <x:c r="B5" t="n">
        <x:f>COUNTIF('Materials'!$AG$2:$AG$127,TRUE)</x:f>
        <x:v>0</x:v>
      </x:c>
    </x:row>
    <x:row r="6">
      <x:c r="A6" s="5" t="str">
        <x:v>Duplicate ID check</x:v>
      </x:c>
      <x:c r="B6" t="str">
        <x:f>IF(B5=0,"PASS","FAIL")</x:f>
        <x:v>PASS</x:v>
      </x:c>
    </x:row>
    <x:row r="8">
      <x:c r="A8" s="16" t="str">
        <x:v>Family</x:v>
      </x:c>
      <x:c r="B8" s="16" t="str">
        <x:v>Material count</x:v>
      </x:c>
      <x:c r="C8" s="16" t="str">
        <x:v>Percent of library</x:v>
      </x:c>
    </x:row>
    <x:row r="9">
      <x:c r="A9" t="str">
        <x:v>Ferrous metal</x:v>
      </x:c>
      <x:c r="B9" t="n">
        <x:f>COUNTIF('Materials'!$D$2:$D$127,A9)</x:f>
        <x:v>27</x:v>
      </x:c>
      <x:c r="C9" s="52" t="n">
        <x:f>B9/$B$4</x:f>
        <x:v>0.21428571428571427</x:v>
      </x:c>
    </x:row>
    <x:row r="10">
      <x:c r="A10" t="str">
        <x:v>Nonferrous metal</x:v>
      </x:c>
      <x:c r="B10" t="n">
        <x:f>COUNTIF('Materials'!$D$2:$D$127,A10)</x:f>
        <x:v>27</x:v>
      </x:c>
      <x:c r="C10" s="52" t="n">
        <x:f>B10/$B$4</x:f>
        <x:v>0.21428571428571427</x:v>
      </x:c>
    </x:row>
    <x:row r="11">
      <x:c r="A11" t="str">
        <x:v>Polymer</x:v>
      </x:c>
      <x:c r="B11" t="n">
        <x:f>COUNTIF('Materials'!$D$2:$D$127,A11)</x:f>
        <x:v>32</x:v>
      </x:c>
      <x:c r="C11" s="52" t="n">
        <x:f>B11/$B$4</x:f>
        <x:v>0.25396825396825395</x:v>
      </x:c>
    </x:row>
    <x:row r="12">
      <x:c r="A12" t="str">
        <x:v>Ceramic</x:v>
      </x:c>
      <x:c r="B12" t="n">
        <x:f>COUNTIF('Materials'!$D$2:$D$127,A12)</x:f>
        <x:v>16</x:v>
      </x:c>
      <x:c r="C12" s="52" t="n">
        <x:f>B12/$B$4</x:f>
        <x:v>0.12698412698412698</x:v>
      </x:c>
    </x:row>
    <x:row r="13">
      <x:c r="A13" t="str">
        <x:v>Composite</x:v>
      </x:c>
      <x:c r="B13" t="n">
        <x:f>COUNTIF('Materials'!$D$2:$D$127,A13)</x:f>
        <x:v>5</x:v>
      </x:c>
      <x:c r="C13" s="52" t="n">
        <x:f>B13/$B$4</x:f>
        <x:v>0.03968253968253968</x:v>
      </x:c>
    </x:row>
    <x:row r="14">
      <x:c r="A14" t="str">
        <x:v>Wood</x:v>
      </x:c>
      <x:c r="B14" t="n">
        <x:f>COUNTIF('Materials'!$D$2:$D$127,A14)</x:f>
        <x:v>9</x:v>
      </x:c>
      <x:c r="C14" s="52" t="n">
        <x:f>B14/$B$4</x:f>
        <x:v>0.07142857142857142</x:v>
      </x:c>
    </x:row>
    <x:row r="15">
      <x:c r="A15" t="str">
        <x:v>Construction material</x:v>
      </x:c>
      <x:c r="B15" t="n">
        <x:f>COUNTIF('Materials'!$D$2:$D$127,A15)</x:f>
        <x:v>10</x:v>
      </x:c>
      <x:c r="C15" s="52" t="n">
        <x:f>B15/$B$4</x:f>
        <x:v>0.07936507936507936</x:v>
      </x:c>
    </x:row>
    <x:row r="18">
      <x:c r="A18" s="16" t="str">
        <x:v>Property ID</x:v>
      </x:c>
      <x:c r="B18" s="16" t="str">
        <x:v>Property</x:v>
      </x:c>
      <x:c r="C18" s="16" t="str">
        <x:v>Coverage</x:v>
      </x:c>
    </x:row>
    <x:row r="19">
      <x:c r="A19" t="n">
        <x:v>1</x:v>
      </x:c>
      <x:c r="B19" t="str">
        <x:v>Density</x:v>
      </x:c>
      <x:c r="C19" s="52" t="n">
        <x:f>COUNT('CPD Numeric Export'!$B$2:$B$127)/$B$4</x:f>
        <x:v>1</x:v>
      </x:c>
    </x:row>
    <x:row r="20">
      <x:c r="A20" t="n">
        <x:v>2</x:v>
      </x:c>
      <x:c r="B20" t="str">
        <x:v>Young's modulus</x:v>
      </x:c>
      <x:c r="C20" s="52" t="n">
        <x:f>COUNT('CPD Numeric Export'!$C$2:$C$127)/$B$4</x:f>
        <x:v>1</x:v>
      </x:c>
    </x:row>
    <x:row r="21">
      <x:c r="A21" t="n">
        <x:v>3</x:v>
      </x:c>
      <x:c r="B21" t="str">
        <x:v>Shear modulus</x:v>
      </x:c>
      <x:c r="C21" s="52" t="n">
        <x:f>COUNT('CPD Numeric Export'!$D$2:$D$127)/$B$4</x:f>
        <x:v>0.9841269841269841</x:v>
      </x:c>
    </x:row>
    <x:row r="22">
      <x:c r="A22" t="n">
        <x:v>4</x:v>
      </x:c>
      <x:c r="B22" t="str">
        <x:v>Poisson ratio</x:v>
      </x:c>
      <x:c r="C22" s="52" t="n">
        <x:f>COUNT('CPD Numeric Export'!$E$2:$E$127)/$B$4</x:f>
        <x:v>0.9841269841269841</x:v>
      </x:c>
    </x:row>
    <x:row r="23">
      <x:c r="A23" t="n">
        <x:v>5</x:v>
      </x:c>
      <x:c r="B23" t="str">
        <x:v>Tensile yield strength</x:v>
      </x:c>
      <x:c r="C23" s="52" t="n">
        <x:f>COUNT('CPD Numeric Export'!$F$2:$F$127)/$B$4</x:f>
        <x:v>0.626984126984127</x:v>
      </x:c>
    </x:row>
    <x:row r="24">
      <x:c r="A24" t="n">
        <x:v>6</x:v>
      </x:c>
      <x:c r="B24" t="str">
        <x:v>Ultimate tensile strength</x:v>
      </x:c>
      <x:c r="C24" s="52" t="n">
        <x:f>COUNT('CPD Numeric Export'!$G$2:$G$127)/$B$4</x:f>
        <x:v>1</x:v>
      </x:c>
    </x:row>
    <x:row r="25">
      <x:c r="A25" t="n">
        <x:v>7</x:v>
      </x:c>
      <x:c r="B25" t="str">
        <x:v>Compressive strength</x:v>
      </x:c>
      <x:c r="C25" s="52" t="n">
        <x:f>COUNT('CPD Numeric Export'!$H$2:$H$127)/$B$4</x:f>
        <x:v>0.5396825396825397</x:v>
      </x:c>
    </x:row>
    <x:row r="26">
      <x:c r="A26" t="n">
        <x:v>8</x:v>
      </x:c>
      <x:c r="B26" t="str">
        <x:v>Flexural strength</x:v>
      </x:c>
      <x:c r="C26" s="52" t="n">
        <x:f>COUNT('CPD Numeric Export'!$I$2:$I$127)/$B$4</x:f>
        <x:v>0.5317460317460317</x:v>
      </x:c>
    </x:row>
    <x:row r="27">
      <x:c r="A27" t="n">
        <x:v>9</x:v>
      </x:c>
      <x:c r="B27" t="str">
        <x:v>Elongation at break</x:v>
      </x:c>
      <x:c r="C27" s="52" t="n">
        <x:f>COUNT('CPD Numeric Export'!$J$2:$J$127)/$B$4</x:f>
        <x:v>1</x:v>
      </x:c>
    </x:row>
    <x:row r="28">
      <x:c r="A28" t="n">
        <x:v>10</x:v>
      </x:c>
      <x:c r="B28" t="str">
        <x:v>Fracture toughness</x:v>
      </x:c>
      <x:c r="C28" s="52" t="n">
        <x:f>COUNT('CPD Numeric Export'!$K$2:$K$127)/$B$4</x:f>
        <x:v>0.7857142857142857</x:v>
      </x:c>
    </x:row>
    <x:row r="29">
      <x:c r="A29" t="n">
        <x:v>11</x:v>
      </x:c>
      <x:c r="B29" t="str">
        <x:v>Thermal conductivity</x:v>
      </x:c>
      <x:c r="C29" s="52" t="n">
        <x:f>COUNT('CPD Numeric Export'!$L$2:$L$127)/$B$4</x:f>
        <x:v>1</x:v>
      </x:c>
    </x:row>
    <x:row r="30">
      <x:c r="A30" t="n">
        <x:v>12</x:v>
      </x:c>
      <x:c r="B30" t="str">
        <x:v>Specific heat</x:v>
      </x:c>
      <x:c r="C30" s="52" t="n">
        <x:f>COUNT('CPD Numeric Export'!$M$2:$M$127)/$B$4</x:f>
        <x:v>1</x:v>
      </x:c>
    </x:row>
    <x:row r="31">
      <x:c r="A31" t="n">
        <x:v>13</x:v>
      </x:c>
      <x:c r="B31" t="str">
        <x:v>Coefficient of thermal expansion</x:v>
      </x:c>
      <x:c r="C31" s="52" t="n">
        <x:f>COUNT('CPD Numeric Export'!$N$2:$N$127)/$B$4</x:f>
        <x:v>1</x:v>
      </x:c>
    </x:row>
    <x:row r="32">
      <x:c r="A32" t="n">
        <x:v>14</x:v>
      </x:c>
      <x:c r="B32" t="str">
        <x:v>Electrical resistivity</x:v>
      </x:c>
      <x:c r="C32" s="52" t="n">
        <x:f>COUNT('CPD Numeric Export'!$O$2:$O$127)/$B$4</x:f>
        <x:v>1</x:v>
      </x:c>
    </x:row>
    <x:row r="33">
      <x:c r="A33" t="n">
        <x:v>15</x:v>
      </x:c>
      <x:c r="B33" t="str">
        <x:v>Primary transition temperature</x:v>
      </x:c>
      <x:c r="C33" s="52" t="n">
        <x:f>COUNT('CPD Numeric Export'!$P$2:$P$127)/$B$4</x:f>
        <x:v>0.9761904761904762</x:v>
      </x:c>
    </x:row>
    <x:row r="34">
      <x:c r="A34" t="n">
        <x:v>16</x:v>
      </x:c>
      <x:c r="B34" t="str">
        <x:v>Indicative maximum service temperature</x:v>
      </x:c>
      <x:c r="C34" s="52" t="n">
        <x:f>COUNT('CPD Numeric Export'!$Q$2:$Q$127)/$B$4</x:f>
        <x:v>0.9761904761904762</x:v>
      </x:c>
    </x:row>
    <x:row r="35">
      <x:c r="A35" t="n">
        <x:v>17</x:v>
      </x:c>
      <x:c r="B35" t="str">
        <x:v>Vickers hardness</x:v>
      </x:c>
      <x:c r="C35" s="52" t="n">
        <x:f>COUNT('CPD Numeric Export'!$R$2:$R$127)/$B$4</x:f>
        <x:v>0.5555555555555556</x:v>
      </x:c>
    </x:row>
    <x:row r="36">
      <x:c r="A36" t="n">
        <x:v>18</x:v>
      </x:c>
      <x:c r="B36" t="str">
        <x:v>Bulk modulus</x:v>
      </x:c>
      <x:c r="C36" s="52" t="n">
        <x:f>COUNT('CPD Numeric Export'!$S$2:$S$127)/$B$4</x:f>
        <x:v>0.8571428571428571</x:v>
      </x:c>
    </x:row>
    <x:row r="38">
      <x:c r="A38" s="119" t="str">
        <x:v>Provenance qualification</x:v>
      </x:c>
      <x:c r="B38" s="119"/>
      <x:c r="C38" s="119"/>
    </x:row>
    <x:row r="39">
      <x:c r="A39" s="120" t="str">
        <x:v>Check</x:v>
      </x:c>
      <x:c r="B39" s="120" t="str">
        <x:v>Result</x:v>
      </x:c>
      <x:c r="C39" s="120" t="str">
        <x:v>Requirement</x:v>
      </x:c>
    </x:row>
    <x:row r="40">
      <x:c r="A40" s="7" t="str">
        <x:v>Populated property values</x:v>
      </x:c>
      <x:c r="B40" s="7" t="n">
        <x:v>1993</x:v>
      </x:c>
      <x:c r="C40" s="7" t="str">
        <x:v>Exactly one provenance row per value</x:v>
      </x:c>
    </x:row>
    <x:row r="41">
      <x:c r="A41" s="7" t="str">
        <x:v>Property provenance rows</x:v>
      </x:c>
      <x:c r="B41" s="7" t="n">
        <x:v>1993</x:v>
      </x:c>
      <x:c r="C41" s="7" t="str">
        <x:v>Must equal populated values</x:v>
      </x:c>
    </x:row>
    <x:row r="42">
      <x:c r="A42" s="7" t="str">
        <x:v>Source-only rows</x:v>
      </x:c>
      <x:c r="B42" s="7" t="n">
        <x:v>1963</x:v>
      </x:c>
      <x:c r="C42" s="7" t="str">
        <x:v>Must be reduced to zero for release</x:v>
      </x:c>
    </x:row>
    <x:row r="43">
      <x:c r="A43" s="7" t="str">
        <x:v>Grouped rows</x:v>
      </x:c>
      <x:c r="B43" s="7" t="n">
        <x:v>0</x:v>
      </x:c>
      <x:c r="C43" s="7" t="str">
        <x:v>Accepted only if release minimum is lowered to 2</x:v>
      </x:c>
    </x:row>
    <x:row r="44">
      <x:c r="A44" s="7" t="str">
        <x:v>Property-record rows</x:v>
      </x:c>
      <x:c r="B44" s="7" t="n">
        <x:v>30</x:v>
      </x:c>
      <x:c r="C44" s="7" t="str">
        <x:v>All rows required at current release minimum 3</x:v>
      </x:c>
    </x:row>
    <x:row r="45">
      <x:c r="A45" s="7" t="str">
        <x:v>Forta DX 2205 pilot</x:v>
      </x:c>
      <x:c r="B45" s="7" t="str">
        <x:v>12 qualified</x:v>
      </x:c>
      <x:c r="C45" s="7" t="str">
        <x:v>4 unsupported legacy values removed</x:v>
      </x:c>
    </x:row>
    <x:row r="46">
      <x:c r="A46" s="7" t="str">
        <x:v>Core 304/304L batch</x:v>
      </x:c>
      <x:c r="B46" s="7" t="str">
        <x:v>18 qualified</x:v>
      </x:c>
      <x:c r="C46" s="7" t="str">
        <x:v>14 unsupported legacy values removed</x:v>
      </x:c>
    </x:row>
  </x:sheetData>
  <x:mergeCells>
    <x:mergeCell ref="A1:F1"/>
  </x:mergeCells>
  <x:conditionalFormatting sqref="C19:C36">
    <x:cfRule type="dataBar" priority="1">
      <x:dataBar>
        <x:cfvo type="min"/>
        <x:cfvo type="max"/>
        <x:color rgb="FF1D6F78"/>
      </x:dataBar>
      <x:extLst>
        <x:ext xmlns:x14="http://schemas.microsoft.com/office/spreadsheetml/2009/9/main" uri="{B025F937-C7B1-47D3-B67F-A62EFF666E3E}">
          <x14:id>{F7DC1D20-97ED-DE95-DE9B-9E4AA6DA4A7B}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DC1D20-97ED-DE95-DE9B-9E4AA6DA4A7B}">
            <x14:dataBar gradient="1">
              <x14:cfvo type="min"/>
              <x14:cfvo type="max"/>
              <x14:fillColor rgb="FF1D6F78"/>
            </x14:dataBar>
          </x14:cfRule>
          <xm:sqref>C19:C36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25" hidden="0" customWidth="1"/>
    <x:col min="4" max="4" width="24" hidden="0" customWidth="1"/>
    <x:col min="5" max="5" width="24" hidden="0" customWidth="1"/>
  </x:cols>
  <x:sheetData>
    <x:row r="1" ht="32" customHeight="1">
      <x:c r="A1" s="98" t="str">
        <x:v>Category_ID</x:v>
      </x:c>
      <x:c r="B1" s="98" t="str">
        <x:v>CPD_Constant</x:v>
      </x:c>
      <x:c r="C1" s="98" t="str">
        <x:v>Category_Name</x:v>
      </x:c>
      <x:c r="D1" s="98" t="str">
        <x:v>Family</x:v>
      </x:c>
      <x:c r="E1" s="98" t="str">
        <x:v>Category_Override</x:v>
      </x:c>
    </x:row>
    <x:row r="2">
      <x:c r="A2" s="54" t="n">
        <x:v>1</x:v>
      </x:c>
      <x:c r="B2" s="54" t="str">
        <x:v>MAT_CAT_FERROUS_METAL</x:v>
      </x:c>
      <x:c r="C2" s="54" t="str">
        <x:v>Ferrous metals</x:v>
      </x:c>
      <x:c r="D2" s="54" t="str">
        <x:v>Ferrous metal</x:v>
      </x:c>
      <x:c r="E2" s="54" t="str"/>
    </x:row>
    <x:row r="3">
      <x:c r="A3" s="54" t="n">
        <x:v>2</x:v>
      </x:c>
      <x:c r="B3" s="54" t="str">
        <x:v>MAT_CAT_NONFERROUS_METAL</x:v>
      </x:c>
      <x:c r="C3" s="54" t="str">
        <x:v>Nonferrous metals</x:v>
      </x:c>
      <x:c r="D3" s="54" t="str">
        <x:v>Nonferrous metal</x:v>
      </x:c>
      <x:c r="E3" s="54" t="str"/>
    </x:row>
    <x:row r="4">
      <x:c r="A4" s="54" t="n">
        <x:v>3</x:v>
      </x:c>
      <x:c r="B4" s="54" t="str">
        <x:v>MAT_CAT_POLYMER</x:v>
      </x:c>
      <x:c r="C4" s="54" t="str">
        <x:v>Polymers</x:v>
      </x:c>
      <x:c r="D4" s="54" t="str">
        <x:v>Polymer</x:v>
      </x:c>
      <x:c r="E4" s="54" t="str"/>
    </x:row>
    <x:row r="5">
      <x:c r="A5" s="54" t="n">
        <x:v>4</x:v>
      </x:c>
      <x:c r="B5" s="54" t="str">
        <x:v>MAT_CAT_ELASTOMER</x:v>
      </x:c>
      <x:c r="C5" s="54" t="str">
        <x:v>Elastomers</x:v>
      </x:c>
      <x:c r="D5" s="54" t="str">
        <x:v>Polymer</x:v>
      </x:c>
      <x:c r="E5" s="54" t="str">
        <x:v>Elastomer</x:v>
      </x:c>
    </x:row>
    <x:row r="6">
      <x:c r="A6" s="54" t="n">
        <x:v>5</x:v>
      </x:c>
      <x:c r="B6" s="54" t="str">
        <x:v>MAT_CAT_GLASS</x:v>
      </x:c>
      <x:c r="C6" s="54" t="str">
        <x:v>Glass</x:v>
      </x:c>
      <x:c r="D6" s="54" t="str">
        <x:v>Ceramic</x:v>
      </x:c>
      <x:c r="E6" s="54" t="str">
        <x:v>Glass</x:v>
      </x:c>
    </x:row>
    <x:row r="7">
      <x:c r="A7" s="54" t="n">
        <x:v>6</x:v>
      </x:c>
      <x:c r="B7" s="54" t="str">
        <x:v>MAT_CAT_CERAMIC_RELATED</x:v>
      </x:c>
      <x:c r="C7" s="54" t="str">
        <x:v>Ceramics</x:v>
      </x:c>
      <x:c r="D7" s="54" t="str">
        <x:v>Ceramic</x:v>
      </x:c>
      <x:c r="E7" s="54" t="str"/>
    </x:row>
    <x:row r="8">
      <x:c r="A8" s="54" t="n">
        <x:v>7</x:v>
      </x:c>
      <x:c r="B8" s="54" t="str">
        <x:v>MAT_CAT_COMPOSITE</x:v>
      </x:c>
      <x:c r="C8" s="54" t="str">
        <x:v>Composites</x:v>
      </x:c>
      <x:c r="D8" s="54" t="str">
        <x:v>Composite</x:v>
      </x:c>
      <x:c r="E8" s="54" t="str"/>
    </x:row>
    <x:row r="9">
      <x:c r="A9" s="54" t="n">
        <x:v>8</x:v>
      </x:c>
      <x:c r="B9" s="54" t="str">
        <x:v>MAT_CAT_WOOD</x:v>
      </x:c>
      <x:c r="C9" s="54" t="str">
        <x:v>Wood</x:v>
      </x:c>
      <x:c r="D9" s="54" t="str">
        <x:v>Wood</x:v>
      </x:c>
      <x:c r="E9" s="54" t="str"/>
    </x:row>
    <x:row r="10">
      <x:c r="A10" s="54" t="n">
        <x:v>9</x:v>
      </x:c>
      <x:c r="B10" s="54" t="str">
        <x:v>MAT_CAT_CONSTRUCTION</x:v>
      </x:c>
      <x:c r="C10" s="54" t="str">
        <x:v>Construction materials</x:v>
      </x:c>
      <x:c r="D10" s="54" t="str">
        <x:v>Construction material</x:v>
      </x:c>
      <x:c r="E10" s="54" t="str"/>
    </x:row>
  </x:sheetData>
  <x:pageMargins left="0.7" right="0.7" top="0.75" bottom="0.75" header="0.3" footer="0.3"/>
  <x:tableParts count="1">
    <x:tablePart xmlns:r="http://schemas.openxmlformats.org/officeDocument/2006/relationships" r:id="Raa337c3b8c0b4b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7" hidden="0" customWidth="1"/>
    <x:col min="4" max="4" width="42" hidden="0" customWidth="1"/>
  </x:cols>
  <x:sheetData>
    <x:row r="1" ht="32" customHeight="1">
      <x:c r="A1" s="98" t="str">
        <x:v>Alias_Type</x:v>
      </x:c>
      <x:c r="B1" s="98" t="str">
        <x:v>Sequence</x:v>
      </x:c>
      <x:c r="C1" s="98" t="str">
        <x:v>Alias_Constant</x:v>
      </x:c>
      <x:c r="D1" s="98" t="str">
        <x:v>Target_Constant</x:v>
      </x:c>
    </x:row>
    <x:row r="2">
      <x:c r="A2" s="54" t="str">
        <x:v>Material</x:v>
      </x:c>
      <x:c r="B2" s="54" t="n">
        <x:v>1</x:v>
      </x:c>
      <x:c r="C2" s="54" t="str">
        <x:v>A36</x:v>
      </x:c>
      <x:c r="D2" s="54" t="str">
        <x:v>STEEL_ASTM_A36</x:v>
      </x:c>
    </x:row>
    <x:row r="3">
      <x:c r="A3" s="54" t="str">
        <x:v>Material</x:v>
      </x:c>
      <x:c r="B3" s="54" t="n">
        <x:v>2</x:v>
      </x:c>
      <x:c r="C3" s="54" t="str">
        <x:v>STEEL_A36</x:v>
      </x:c>
      <x:c r="D3" s="54" t="str">
        <x:v>STEEL_ASTM_A36</x:v>
      </x:c>
    </x:row>
    <x:row r="4">
      <x:c r="A4" s="54" t="str">
        <x:v>Material</x:v>
      </x:c>
      <x:c r="B4" s="54" t="n">
        <x:v>3</x:v>
      </x:c>
      <x:c r="C4" s="54" t="str">
        <x:v>AISI_1018</x:v>
      </x:c>
      <x:c r="D4" s="54" t="str">
        <x:v>STEEL_AISI_1018_CD</x:v>
      </x:c>
    </x:row>
    <x:row r="5">
      <x:c r="A5" s="54" t="str">
        <x:v>Material</x:v>
      </x:c>
      <x:c r="B5" s="54" t="n">
        <x:v>4</x:v>
      </x:c>
      <x:c r="C5" s="54" t="str">
        <x:v>STEEL_1018</x:v>
      </x:c>
      <x:c r="D5" s="54" t="str">
        <x:v>STEEL_AISI_1018_CD</x:v>
      </x:c>
    </x:row>
    <x:row r="6">
      <x:c r="A6" s="54" t="str">
        <x:v>Material</x:v>
      </x:c>
      <x:c r="B6" s="54" t="n">
        <x:v>5</x:v>
      </x:c>
      <x:c r="C6" s="54" t="str">
        <x:v>AISI_1020</x:v>
      </x:c>
      <x:c r="D6" s="54" t="str">
        <x:v>STEEL_AISI_1020_HR</x:v>
      </x:c>
    </x:row>
    <x:row r="7">
      <x:c r="A7" s="54" t="str">
        <x:v>Material</x:v>
      </x:c>
      <x:c r="B7" s="54" t="n">
        <x:v>6</x:v>
      </x:c>
      <x:c r="C7" s="54" t="str">
        <x:v>STEEL_1020</x:v>
      </x:c>
      <x:c r="D7" s="54" t="str">
        <x:v>STEEL_AISI_1020_HR</x:v>
      </x:c>
    </x:row>
    <x:row r="8">
      <x:c r="A8" s="54" t="str">
        <x:v>Material</x:v>
      </x:c>
      <x:c r="B8" s="54" t="n">
        <x:v>7</x:v>
      </x:c>
      <x:c r="C8" s="54" t="str">
        <x:v>AISI_1045</x:v>
      </x:c>
      <x:c r="D8" s="54" t="str">
        <x:v>STEEL_AISI_1045_N</x:v>
      </x:c>
    </x:row>
    <x:row r="9">
      <x:c r="A9" s="54" t="str">
        <x:v>Material</x:v>
      </x:c>
      <x:c r="B9" s="54" t="n">
        <x:v>8</x:v>
      </x:c>
      <x:c r="C9" s="54" t="str">
        <x:v>STEEL_1045</x:v>
      </x:c>
      <x:c r="D9" s="54" t="str">
        <x:v>STEEL_AISI_1045_N</x:v>
      </x:c>
    </x:row>
    <x:row r="10">
      <x:c r="A10" s="54" t="str">
        <x:v>Material</x:v>
      </x:c>
      <x:c r="B10" s="54" t="n">
        <x:v>9</x:v>
      </x:c>
      <x:c r="C10" s="54" t="str">
        <x:v>AISI_1095</x:v>
      </x:c>
      <x:c r="D10" s="54" t="str">
        <x:v>STEEL_AISI_1095_A</x:v>
      </x:c>
    </x:row>
    <x:row r="11">
      <x:c r="A11" s="54" t="str">
        <x:v>Material</x:v>
      </x:c>
      <x:c r="B11" s="54" t="n">
        <x:v>10</x:v>
      </x:c>
      <x:c r="C11" s="54" t="str">
        <x:v>STEEL_1095</x:v>
      </x:c>
      <x:c r="D11" s="54" t="str">
        <x:v>STEEL_AISI_1095_A</x:v>
      </x:c>
    </x:row>
    <x:row r="12">
      <x:c r="A12" s="54" t="str">
        <x:v>Material</x:v>
      </x:c>
      <x:c r="B12" s="54" t="n">
        <x:v>11</x:v>
      </x:c>
      <x:c r="C12" s="54" t="str">
        <x:v>AISI_4130</x:v>
      </x:c>
      <x:c r="D12" s="54" t="str">
        <x:v>STEEL_AISI_4130_N</x:v>
      </x:c>
    </x:row>
    <x:row r="13">
      <x:c r="A13" s="54" t="str">
        <x:v>Material</x:v>
      </x:c>
      <x:c r="B13" s="54" t="n">
        <x:v>12</x:v>
      </x:c>
      <x:c r="C13" s="54" t="str">
        <x:v>STEEL_4130</x:v>
      </x:c>
      <x:c r="D13" s="54" t="str">
        <x:v>STEEL_AISI_4130_N</x:v>
      </x:c>
    </x:row>
    <x:row r="14">
      <x:c r="A14" s="54" t="str">
        <x:v>Material</x:v>
      </x:c>
      <x:c r="B14" s="54" t="n">
        <x:v>13</x:v>
      </x:c>
      <x:c r="C14" s="54" t="str">
        <x:v>AISI_4140</x:v>
      </x:c>
      <x:c r="D14" s="54" t="str">
        <x:v>STEEL_AISI_4140_QT</x:v>
      </x:c>
    </x:row>
    <x:row r="15">
      <x:c r="A15" s="54" t="str">
        <x:v>Material</x:v>
      </x:c>
      <x:c r="B15" s="54" t="n">
        <x:v>14</x:v>
      </x:c>
      <x:c r="C15" s="54" t="str">
        <x:v>STEEL_4140</x:v>
      </x:c>
      <x:c r="D15" s="54" t="str">
        <x:v>STEEL_AISI_4140_QT</x:v>
      </x:c>
    </x:row>
    <x:row r="16">
      <x:c r="A16" s="54" t="str">
        <x:v>Material</x:v>
      </x:c>
      <x:c r="B16" s="54" t="n">
        <x:v>15</x:v>
      </x:c>
      <x:c r="C16" s="54" t="str">
        <x:v>AISI_4340</x:v>
      </x:c>
      <x:c r="D16" s="54" t="str">
        <x:v>STEEL_AISI_4340_QT</x:v>
      </x:c>
    </x:row>
    <x:row r="17">
      <x:c r="A17" s="54" t="str">
        <x:v>Material</x:v>
      </x:c>
      <x:c r="B17" s="54" t="n">
        <x:v>16</x:v>
      </x:c>
      <x:c r="C17" s="54" t="str">
        <x:v>STEEL_4340</x:v>
      </x:c>
      <x:c r="D17" s="54" t="str">
        <x:v>STEEL_AISI_4340_QT</x:v>
      </x:c>
    </x:row>
    <x:row r="18">
      <x:c r="A18" s="54" t="str">
        <x:v>Material</x:v>
      </x:c>
      <x:c r="B18" s="54" t="n">
        <x:v>17</x:v>
      </x:c>
      <x:c r="C18" s="54" t="str">
        <x:v>A572_GR50</x:v>
      </x:c>
      <x:c r="D18" s="54" t="str">
        <x:v>STEEL_ASTM_A572_GR50</x:v>
      </x:c>
    </x:row>
    <x:row r="19">
      <x:c r="A19" s="54" t="str">
        <x:v>Material</x:v>
      </x:c>
      <x:c r="B19" s="54" t="n">
        <x:v>18</x:v>
      </x:c>
      <x:c r="C19" s="54" t="str">
        <x:v>STEEL_A572_GR50</x:v>
      </x:c>
      <x:c r="D19" s="54" t="str">
        <x:v>STEEL_ASTM_A572_GR50</x:v>
      </x:c>
    </x:row>
    <x:row r="20">
      <x:c r="A20" s="54" t="str">
        <x:v>Material</x:v>
      </x:c>
      <x:c r="B20" s="54" t="n">
        <x:v>19</x:v>
      </x:c>
      <x:c r="C20" s="54" t="str">
        <x:v>A992</x:v>
      </x:c>
      <x:c r="D20" s="54" t="str">
        <x:v>STEEL_ASTM_A992</x:v>
      </x:c>
    </x:row>
    <x:row r="21">
      <x:c r="A21" s="54" t="str">
        <x:v>Material</x:v>
      </x:c>
      <x:c r="B21" s="54" t="n">
        <x:v>20</x:v>
      </x:c>
      <x:c r="C21" s="54" t="str">
        <x:v>STEEL_A992</x:v>
      </x:c>
      <x:c r="D21" s="54" t="str">
        <x:v>STEEL_ASTM_A992</x:v>
      </x:c>
    </x:row>
    <x:row r="22">
      <x:c r="A22" s="54" t="str">
        <x:v>Material</x:v>
      </x:c>
      <x:c r="B22" s="54" t="n">
        <x:v>21</x:v>
      </x:c>
      <x:c r="C22" s="54" t="str">
        <x:v>TOOL_STEEL_A2</x:v>
      </x:c>
      <x:c r="D22" s="54" t="str">
        <x:v>TOOL_STEEL_A2_HARDENED</x:v>
      </x:c>
    </x:row>
    <x:row r="23">
      <x:c r="A23" s="54" t="str">
        <x:v>Material</x:v>
      </x:c>
      <x:c r="B23" s="54" t="n">
        <x:v>22</x:v>
      </x:c>
      <x:c r="C23" s="54" t="str">
        <x:v>TOOL_STEEL_D2</x:v>
      </x:c>
      <x:c r="D23" s="54" t="str">
        <x:v>TOOL_STEEL_D2_HARDENED</x:v>
      </x:c>
    </x:row>
    <x:row r="24">
      <x:c r="A24" s="54" t="str">
        <x:v>Material</x:v>
      </x:c>
      <x:c r="B24" s="54" t="n">
        <x:v>23</x:v>
      </x:c>
      <x:c r="C24" s="54" t="str">
        <x:v>TOOL_STEEL_H13</x:v>
      </x:c>
      <x:c r="D24" s="54" t="str">
        <x:v>TOOL_STEEL_H13_HARDENED</x:v>
      </x:c>
    </x:row>
    <x:row r="25">
      <x:c r="A25" s="54" t="str">
        <x:v>Material</x:v>
      </x:c>
      <x:c r="B25" s="54" t="n">
        <x:v>24</x:v>
      </x:c>
      <x:c r="C25" s="54" t="str">
        <x:v>MARAGING_250</x:v>
      </x:c>
      <x:c r="D25" s="54" t="str">
        <x:v>MARAGING_STEEL_18NI_250</x:v>
      </x:c>
    </x:row>
    <x:row r="26">
      <x:c r="A26" s="54" t="str">
        <x:v>Material</x:v>
      </x:c>
      <x:c r="B26" s="54" t="n">
        <x:v>25</x:v>
      </x:c>
      <x:c r="C26" s="54" t="str">
        <x:v>SS304</x:v>
      </x:c>
      <x:c r="D26" s="54" t="str">
        <x:v>STAINLESS_304</x:v>
      </x:c>
    </x:row>
    <x:row r="27">
      <x:c r="A27" s="54" t="str">
        <x:v>Material</x:v>
      </x:c>
      <x:c r="B27" s="54" t="n">
        <x:v>26</x:v>
      </x:c>
      <x:c r="C27" s="54" t="str">
        <x:v>AISI_304</x:v>
      </x:c>
      <x:c r="D27" s="54" t="str">
        <x:v>STAINLESS_304</x:v>
      </x:c>
    </x:row>
    <x:row r="28">
      <x:c r="A28" s="54" t="str">
        <x:v>Material</x:v>
      </x:c>
      <x:c r="B28" s="54" t="n">
        <x:v>27</x:v>
      </x:c>
      <x:c r="C28" s="54" t="str">
        <x:v>SS304L</x:v>
      </x:c>
      <x:c r="D28" s="54" t="str">
        <x:v>STAINLESS_304L</x:v>
      </x:c>
    </x:row>
    <x:row r="29">
      <x:c r="A29" s="54" t="str">
        <x:v>Material</x:v>
      </x:c>
      <x:c r="B29" s="54" t="n">
        <x:v>28</x:v>
      </x:c>
      <x:c r="C29" s="54" t="str">
        <x:v>AISI_304L</x:v>
      </x:c>
      <x:c r="D29" s="54" t="str">
        <x:v>STAINLESS_304L</x:v>
      </x:c>
    </x:row>
    <x:row r="30">
      <x:c r="A30" s="54" t="str">
        <x:v>Material</x:v>
      </x:c>
      <x:c r="B30" s="54" t="n">
        <x:v>29</x:v>
      </x:c>
      <x:c r="C30" s="54" t="str">
        <x:v>SS316</x:v>
      </x:c>
      <x:c r="D30" s="54" t="str">
        <x:v>STAINLESS_316</x:v>
      </x:c>
    </x:row>
    <x:row r="31">
      <x:c r="A31" s="54" t="str">
        <x:v>Material</x:v>
      </x:c>
      <x:c r="B31" s="54" t="n">
        <x:v>30</x:v>
      </x:c>
      <x:c r="C31" s="54" t="str">
        <x:v>AISI_316</x:v>
      </x:c>
      <x:c r="D31" s="54" t="str">
        <x:v>STAINLESS_316</x:v>
      </x:c>
    </x:row>
    <x:row r="32">
      <x:c r="A32" s="54" t="str">
        <x:v>Material</x:v>
      </x:c>
      <x:c r="B32" s="54" t="n">
        <x:v>31</x:v>
      </x:c>
      <x:c r="C32" s="54" t="str">
        <x:v>SS316L</x:v>
      </x:c>
      <x:c r="D32" s="54" t="str">
        <x:v>STAINLESS_316L</x:v>
      </x:c>
    </x:row>
    <x:row r="33">
      <x:c r="A33" s="54" t="str">
        <x:v>Material</x:v>
      </x:c>
      <x:c r="B33" s="54" t="n">
        <x:v>32</x:v>
      </x:c>
      <x:c r="C33" s="54" t="str">
        <x:v>AISI_316L</x:v>
      </x:c>
      <x:c r="D33" s="54" t="str">
        <x:v>STAINLESS_316L</x:v>
      </x:c>
    </x:row>
    <x:row r="34">
      <x:c r="A34" s="54" t="str">
        <x:v>Material</x:v>
      </x:c>
      <x:c r="B34" s="54" t="n">
        <x:v>33</x:v>
      </x:c>
      <x:c r="C34" s="54" t="str">
        <x:v>SS321</x:v>
      </x:c>
      <x:c r="D34" s="54" t="str">
        <x:v>STAINLESS_321</x:v>
      </x:c>
    </x:row>
    <x:row r="35">
      <x:c r="A35" s="54" t="str">
        <x:v>Material</x:v>
      </x:c>
      <x:c r="B35" s="54" t="n">
        <x:v>34</x:v>
      </x:c>
      <x:c r="C35" s="54" t="str">
        <x:v>AISI_321</x:v>
      </x:c>
      <x:c r="D35" s="54" t="str">
        <x:v>STAINLESS_321</x:v>
      </x:c>
    </x:row>
    <x:row r="36">
      <x:c r="A36" s="54" t="str">
        <x:v>Material</x:v>
      </x:c>
      <x:c r="B36" s="54" t="n">
        <x:v>35</x:v>
      </x:c>
      <x:c r="C36" s="54" t="str">
        <x:v>SS410</x:v>
      </x:c>
      <x:c r="D36" s="54" t="str">
        <x:v>STAINLESS_410_A</x:v>
      </x:c>
    </x:row>
    <x:row r="37">
      <x:c r="A37" s="54" t="str">
        <x:v>Material</x:v>
      </x:c>
      <x:c r="B37" s="54" t="n">
        <x:v>36</x:v>
      </x:c>
      <x:c r="C37" s="54" t="str">
        <x:v>AISI_410</x:v>
      </x:c>
      <x:c r="D37" s="54" t="str">
        <x:v>STAINLESS_410_A</x:v>
      </x:c>
    </x:row>
    <x:row r="38">
      <x:c r="A38" s="54" t="str">
        <x:v>Material</x:v>
      </x:c>
      <x:c r="B38" s="54" t="n">
        <x:v>37</x:v>
      </x:c>
      <x:c r="C38" s="54" t="str">
        <x:v>SS420</x:v>
      </x:c>
      <x:c r="D38" s="54" t="str">
        <x:v>STAINLESS_420_H</x:v>
      </x:c>
    </x:row>
    <x:row r="39">
      <x:c r="A39" s="54" t="str">
        <x:v>Material</x:v>
      </x:c>
      <x:c r="B39" s="54" t="n">
        <x:v>38</x:v>
      </x:c>
      <x:c r="C39" s="54" t="str">
        <x:v>AISI_420</x:v>
      </x:c>
      <x:c r="D39" s="54" t="str">
        <x:v>STAINLESS_420_H</x:v>
      </x:c>
    </x:row>
    <x:row r="40">
      <x:c r="A40" s="54" t="str">
        <x:v>Material</x:v>
      </x:c>
      <x:c r="B40" s="54" t="n">
        <x:v>39</x:v>
      </x:c>
      <x:c r="C40" s="54" t="str">
        <x:v>SS430</x:v>
      </x:c>
      <x:c r="D40" s="54" t="str">
        <x:v>STAINLESS_430</x:v>
      </x:c>
    </x:row>
    <x:row r="41">
      <x:c r="A41" s="54" t="str">
        <x:v>Material</x:v>
      </x:c>
      <x:c r="B41" s="54" t="n">
        <x:v>40</x:v>
      </x:c>
      <x:c r="C41" s="54" t="str">
        <x:v>AISI_430</x:v>
      </x:c>
      <x:c r="D41" s="54" t="str">
        <x:v>STAINLESS_430</x:v>
      </x:c>
    </x:row>
    <x:row r="42">
      <x:c r="A42" s="54" t="str">
        <x:v>Material</x:v>
      </x:c>
      <x:c r="B42" s="54" t="n">
        <x:v>41</x:v>
      </x:c>
      <x:c r="C42" s="54" t="str">
        <x:v>SS17_4PH</x:v>
      </x:c>
      <x:c r="D42" s="54" t="str">
        <x:v>STAINLESS_17_4PH_H900</x:v>
      </x:c>
    </x:row>
    <x:row r="43">
      <x:c r="A43" s="54" t="str">
        <x:v>Material</x:v>
      </x:c>
      <x:c r="B43" s="54" t="n">
        <x:v>42</x:v>
      </x:c>
      <x:c r="C43" s="54" t="str">
        <x:v>DUPLEX_2205</x:v>
      </x:c>
      <x:c r="D43" s="54" t="str">
        <x:v>STAINLESS_DUPLEX_2205</x:v>
      </x:c>
    </x:row>
    <x:row r="44">
      <x:c r="A44" s="54" t="str">
        <x:v>Material</x:v>
      </x:c>
      <x:c r="B44" s="54" t="n">
        <x:v>43</x:v>
      </x:c>
      <x:c r="C44" s="54" t="str">
        <x:v>SS2205</x:v>
      </x:c>
      <x:c r="D44" s="54" t="str">
        <x:v>STAINLESS_DUPLEX_2205</x:v>
      </x:c>
    </x:row>
    <x:row r="45">
      <x:c r="A45" s="54" t="str">
        <x:v>Material</x:v>
      </x:c>
      <x:c r="B45" s="54" t="n">
        <x:v>44</x:v>
      </x:c>
      <x:c r="C45" s="54" t="str">
        <x:v>GRAY_IRON_CLASS_30</x:v>
      </x:c>
      <x:c r="D45" s="54" t="str">
        <x:v>CAST_IRON_GRAY_CLASS_30</x:v>
      </x:c>
    </x:row>
    <x:row r="46">
      <x:c r="A46" s="54" t="str">
        <x:v>Material</x:v>
      </x:c>
      <x:c r="B46" s="54" t="n">
        <x:v>45</x:v>
      </x:c>
      <x:c r="C46" s="54" t="str">
        <x:v>DUCTILE_IRON_65_45_12</x:v>
      </x:c>
      <x:c r="D46" s="54" t="str">
        <x:v>CAST_IRON_DUCTILE_65_45_12</x:v>
      </x:c>
    </x:row>
    <x:row r="47">
      <x:c r="A47" s="54" t="str">
        <x:v>Material</x:v>
      </x:c>
      <x:c r="B47" s="54" t="n">
        <x:v>46</x:v>
      </x:c>
      <x:c r="C47" s="54" t="str">
        <x:v>CGI_CAST_IRON</x:v>
      </x:c>
      <x:c r="D47" s="54" t="str">
        <x:v>CAST_IRON_COMPACTED_GRAPHITE</x:v>
      </x:c>
    </x:row>
    <x:row r="48">
      <x:c r="A48" s="54" t="str">
        <x:v>Material</x:v>
      </x:c>
      <x:c r="B48" s="54" t="n">
        <x:v>47</x:v>
      </x:c>
      <x:c r="C48" s="54" t="str">
        <x:v>AL1100_H14</x:v>
      </x:c>
      <x:c r="D48" s="54" t="str">
        <x:v>ALUMINUM_1100_H14</x:v>
      </x:c>
    </x:row>
    <x:row r="49">
      <x:c r="A49" s="54" t="str">
        <x:v>Material</x:v>
      </x:c>
      <x:c r="B49" s="54" t="n">
        <x:v>48</x:v>
      </x:c>
      <x:c r="C49" s="54" t="str">
        <x:v>AL2024_T3</x:v>
      </x:c>
      <x:c r="D49" s="54" t="str">
        <x:v>ALUMINUM_2024_T3</x:v>
      </x:c>
    </x:row>
    <x:row r="50">
      <x:c r="A50" s="54" t="str">
        <x:v>Material</x:v>
      </x:c>
      <x:c r="B50" s="54" t="n">
        <x:v>49</x:v>
      </x:c>
      <x:c r="C50" s="54" t="str">
        <x:v>AL3003_H14</x:v>
      </x:c>
      <x:c r="D50" s="54" t="str">
        <x:v>ALUMINUM_3003_H14</x:v>
      </x:c>
    </x:row>
    <x:row r="51">
      <x:c r="A51" s="54" t="str">
        <x:v>Material</x:v>
      </x:c>
      <x:c r="B51" s="54" t="n">
        <x:v>50</x:v>
      </x:c>
      <x:c r="C51" s="54" t="str">
        <x:v>AL5052_H32</x:v>
      </x:c>
      <x:c r="D51" s="54" t="str">
        <x:v>ALUMINUM_5052_H32</x:v>
      </x:c>
    </x:row>
    <x:row r="52">
      <x:c r="A52" s="54" t="str">
        <x:v>Material</x:v>
      </x:c>
      <x:c r="B52" s="54" t="n">
        <x:v>51</x:v>
      </x:c>
      <x:c r="C52" s="54" t="str">
        <x:v>AL5083_H116</x:v>
      </x:c>
      <x:c r="D52" s="54" t="str">
        <x:v>ALUMINUM_5083_H116</x:v>
      </x:c>
    </x:row>
    <x:row r="53">
      <x:c r="A53" s="54" t="str">
        <x:v>Material</x:v>
      </x:c>
      <x:c r="B53" s="54" t="n">
        <x:v>52</x:v>
      </x:c>
      <x:c r="C53" s="54" t="str">
        <x:v>AL6061_T6</x:v>
      </x:c>
      <x:c r="D53" s="54" t="str">
        <x:v>ALUMINUM_6061_T6</x:v>
      </x:c>
    </x:row>
    <x:row r="54">
      <x:c r="A54" s="54" t="str">
        <x:v>Material</x:v>
      </x:c>
      <x:c r="B54" s="54" t="n">
        <x:v>53</x:v>
      </x:c>
      <x:c r="C54" s="54" t="str">
        <x:v>ALUMINUM_6061</x:v>
      </x:c>
      <x:c r="D54" s="54" t="str">
        <x:v>ALUMINUM_6061_T6</x:v>
      </x:c>
    </x:row>
    <x:row r="55">
      <x:c r="A55" s="54" t="str">
        <x:v>Material</x:v>
      </x:c>
      <x:c r="B55" s="54" t="n">
        <x:v>54</x:v>
      </x:c>
      <x:c r="C55" s="54" t="str">
        <x:v>AL6063_T5</x:v>
      </x:c>
      <x:c r="D55" s="54" t="str">
        <x:v>ALUMINUM_6063_T5</x:v>
      </x:c>
    </x:row>
    <x:row r="56">
      <x:c r="A56" s="54" t="str">
        <x:v>Material</x:v>
      </x:c>
      <x:c r="B56" s="54" t="n">
        <x:v>55</x:v>
      </x:c>
      <x:c r="C56" s="54" t="str">
        <x:v>AL7075_T6</x:v>
      </x:c>
      <x:c r="D56" s="54" t="str">
        <x:v>ALUMINUM_7075_T6</x:v>
      </x:c>
    </x:row>
    <x:row r="57">
      <x:c r="A57" s="54" t="str">
        <x:v>Material</x:v>
      </x:c>
      <x:c r="B57" s="54" t="n">
        <x:v>56</x:v>
      </x:c>
      <x:c r="C57" s="54" t="str">
        <x:v>A356_T6</x:v>
      </x:c>
      <x:c r="D57" s="54" t="str">
        <x:v>ALUMINUM_A356_T6</x:v>
      </x:c>
    </x:row>
    <x:row r="58">
      <x:c r="A58" s="54" t="str">
        <x:v>Material</x:v>
      </x:c>
      <x:c r="B58" s="54" t="n">
        <x:v>57</x:v>
      </x:c>
      <x:c r="C58" s="54" t="str">
        <x:v>COPPER_C110</x:v>
      </x:c>
      <x:c r="D58" s="54" t="str">
        <x:v>COPPER_C110_ANNEALED</x:v>
      </x:c>
    </x:row>
    <x:row r="59">
      <x:c r="A59" s="54" t="str">
        <x:v>Material</x:v>
      </x:c>
      <x:c r="B59" s="54" t="n">
        <x:v>58</x:v>
      </x:c>
      <x:c r="C59" s="54" t="str">
        <x:v>C110_COPPER</x:v>
      </x:c>
      <x:c r="D59" s="54" t="str">
        <x:v>COPPER_C110_ANNEALED</x:v>
      </x:c>
    </x:row>
    <x:row r="60">
      <x:c r="A60" s="54" t="str">
        <x:v>Material</x:v>
      </x:c>
      <x:c r="B60" s="54" t="n">
        <x:v>59</x:v>
      </x:c>
      <x:c r="C60" s="54" t="str">
        <x:v>BRASS_C260</x:v>
      </x:c>
      <x:c r="D60" s="54" t="str">
        <x:v>BRASS_C260_H02</x:v>
      </x:c>
    </x:row>
    <x:row r="61">
      <x:c r="A61" s="54" t="str">
        <x:v>Material</x:v>
      </x:c>
      <x:c r="B61" s="54" t="n">
        <x:v>60</x:v>
      </x:c>
      <x:c r="C61" s="54" t="str">
        <x:v>BRONZE_C510</x:v>
      </x:c>
      <x:c r="D61" s="54" t="str">
        <x:v>PHOSPHOR_BRONZE_C510</x:v>
      </x:c>
    </x:row>
    <x:row r="62">
      <x:c r="A62" s="54" t="str">
        <x:v>Material</x:v>
      </x:c>
      <x:c r="B62" s="54" t="n">
        <x:v>61</x:v>
      </x:c>
      <x:c r="C62" s="54" t="str">
        <x:v>BRONZE_C932</x:v>
      </x:c>
      <x:c r="D62" s="54" t="str">
        <x:v>BEARING_BRONZE_C932</x:v>
      </x:c>
    </x:row>
    <x:row r="63">
      <x:c r="A63" s="54" t="str">
        <x:v>Material</x:v>
      </x:c>
      <x:c r="B63" s="54" t="n">
        <x:v>63</x:v>
      </x:c>
      <x:c r="C63" s="54" t="str">
        <x:v>C715_COPPER_NICKEL</x:v>
      </x:c>
      <x:c r="D63" s="54" t="str">
        <x:v>COPPER_NICKEL_C715</x:v>
      </x:c>
    </x:row>
    <x:row r="64">
      <x:c r="A64" s="54" t="str">
        <x:v>Material</x:v>
      </x:c>
      <x:c r="B64" s="54" t="n">
        <x:v>62</x:v>
      </x:c>
      <x:c r="C64" s="54" t="str">
        <x:v>CUNi_70_30</x:v>
      </x:c>
      <x:c r="D64" s="54" t="str">
        <x:v>COPPER_NICKEL_C715</x:v>
      </x:c>
    </x:row>
    <x:row r="65">
      <x:c r="A65" s="54" t="str">
        <x:v>Material</x:v>
      </x:c>
      <x:c r="B65" s="54" t="n">
        <x:v>64</x:v>
      </x:c>
      <x:c r="C65" s="54" t="str">
        <x:v>MG_AZ31B</x:v>
      </x:c>
      <x:c r="D65" s="54" t="str">
        <x:v>MAGNESIUM_AZ31B_H24</x:v>
      </x:c>
    </x:row>
    <x:row r="66">
      <x:c r="A66" s="54" t="str">
        <x:v>Material</x:v>
      </x:c>
      <x:c r="B66" s="54" t="n">
        <x:v>65</x:v>
      </x:c>
      <x:c r="C66" s="54" t="str">
        <x:v>MG_AZ91D</x:v>
      </x:c>
      <x:c r="D66" s="54" t="str">
        <x:v>MAGNESIUM_AZ91D_T6</x:v>
      </x:c>
    </x:row>
    <x:row r="67">
      <x:c r="A67" s="54" t="str">
        <x:v>Material</x:v>
      </x:c>
      <x:c r="B67" s="54" t="n">
        <x:v>66</x:v>
      </x:c>
      <x:c r="C67" s="54" t="str">
        <x:v>TI_GRADE_2</x:v>
      </x:c>
      <x:c r="D67" s="54" t="str">
        <x:v>TITANIUM_GRADE_2</x:v>
      </x:c>
    </x:row>
    <x:row r="68">
      <x:c r="A68" s="54" t="str">
        <x:v>Material</x:v>
      </x:c>
      <x:c r="B68" s="54" t="n">
        <x:v>67</x:v>
      </x:c>
      <x:c r="C68" s="54" t="str">
        <x:v>TI6AL4V</x:v>
      </x:c>
      <x:c r="D68" s="54" t="str">
        <x:v>TITANIUM_TI6AL4V_ANNEALED</x:v>
      </x:c>
    </x:row>
    <x:row r="69">
      <x:c r="A69" s="54" t="str">
        <x:v>Material</x:v>
      </x:c>
      <x:c r="B69" s="54" t="n">
        <x:v>68</x:v>
      </x:c>
      <x:c r="C69" s="54" t="str">
        <x:v>TITANIUM_GRADE_5</x:v>
      </x:c>
      <x:c r="D69" s="54" t="str">
        <x:v>TITANIUM_TI6AL4V_ANNEALED</x:v>
      </x:c>
    </x:row>
    <x:row r="70">
      <x:c r="A70" s="54" t="str">
        <x:v>Material</x:v>
      </x:c>
      <x:c r="B70" s="54" t="n">
        <x:v>69</x:v>
      </x:c>
      <x:c r="C70" s="54" t="str">
        <x:v>NI200</x:v>
      </x:c>
      <x:c r="D70" s="54" t="str">
        <x:v>NICKEL_200</x:v>
      </x:c>
    </x:row>
    <x:row r="71">
      <x:c r="A71" s="54" t="str">
        <x:v>Material</x:v>
      </x:c>
      <x:c r="B71" s="54" t="n">
        <x:v>70</x:v>
      </x:c>
      <x:c r="C71" s="54" t="str">
        <x:v>NICKEL200</x:v>
      </x:c>
      <x:c r="D71" s="54" t="str">
        <x:v>NICKEL_200</x:v>
      </x:c>
    </x:row>
    <x:row r="72">
      <x:c r="A72" s="54" t="str">
        <x:v>Material</x:v>
      </x:c>
      <x:c r="B72" s="54" t="n">
        <x:v>71</x:v>
      </x:c>
      <x:c r="C72" s="54" t="str">
        <x:v>MONEL400</x:v>
      </x:c>
      <x:c r="D72" s="54" t="str">
        <x:v>MONEL_400</x:v>
      </x:c>
    </x:row>
    <x:row r="73">
      <x:c r="A73" s="54" t="str">
        <x:v>Material</x:v>
      </x:c>
      <x:c r="B73" s="54" t="n">
        <x:v>72</x:v>
      </x:c>
      <x:c r="C73" s="54" t="str">
        <x:v>INCONEL625</x:v>
      </x:c>
      <x:c r="D73" s="54" t="str">
        <x:v>INCONEL_625</x:v>
      </x:c>
    </x:row>
    <x:row r="74">
      <x:c r="A74" s="54" t="str">
        <x:v>Material</x:v>
      </x:c>
      <x:c r="B74" s="54" t="n">
        <x:v>73</x:v>
      </x:c>
      <x:c r="C74" s="54" t="str">
        <x:v>INCONEL718</x:v>
      </x:c>
      <x:c r="D74" s="54" t="str">
        <x:v>INCONEL_718_AGED</x:v>
      </x:c>
    </x:row>
    <x:row r="75">
      <x:c r="A75" s="54" t="str">
        <x:v>Material</x:v>
      </x:c>
      <x:c r="B75" s="54" t="n">
        <x:v>74</x:v>
      </x:c>
      <x:c r="C75" s="54" t="str">
        <x:v>C276</x:v>
      </x:c>
      <x:c r="D75" s="54" t="str">
        <x:v>HASTELLOY_C276</x:v>
      </x:c>
    </x:row>
    <x:row r="76">
      <x:c r="A76" s="54" t="str">
        <x:v>Material</x:v>
      </x:c>
      <x:c r="B76" s="54" t="n">
        <x:v>75</x:v>
      </x:c>
      <x:c r="C76" s="54" t="str">
        <x:v>HASTELLOY_C_276</x:v>
      </x:c>
      <x:c r="D76" s="54" t="str">
        <x:v>HASTELLOY_C276</x:v>
      </x:c>
    </x:row>
    <x:row r="77">
      <x:c r="A77" s="54" t="str">
        <x:v>Material</x:v>
      </x:c>
      <x:c r="B77" s="54" t="n">
        <x:v>76</x:v>
      </x:c>
      <x:c r="C77" s="54" t="str">
        <x:v>ZAMAK3</x:v>
      </x:c>
      <x:c r="D77" s="54" t="str">
        <x:v>ZINC_ZAMAK_3</x:v>
      </x:c>
    </x:row>
    <x:row r="78">
      <x:c r="A78" s="54" t="str">
        <x:v>Material</x:v>
      </x:c>
      <x:c r="B78" s="54" t="n">
        <x:v>77</x:v>
      </x:c>
      <x:c r="C78" s="54" t="str">
        <x:v>LEAD</x:v>
      </x:c>
      <x:c r="D78" s="54" t="str">
        <x:v>LEAD_PURE</x:v>
      </x:c>
    </x:row>
    <x:row r="79">
      <x:c r="A79" s="54" t="str">
        <x:v>Material</x:v>
      </x:c>
      <x:c r="B79" s="54" t="n">
        <x:v>78</x:v>
      </x:c>
      <x:c r="C79" s="54" t="str">
        <x:v>TIN</x:v>
      </x:c>
      <x:c r="D79" s="54" t="str">
        <x:v>TIN_PURE</x:v>
      </x:c>
    </x:row>
    <x:row r="80">
      <x:c r="A80" s="54" t="str">
        <x:v>Material</x:v>
      </x:c>
      <x:c r="B80" s="54" t="n">
        <x:v>79</x:v>
      </x:c>
      <x:c r="C80" s="54" t="str">
        <x:v>ABS</x:v>
      </x:c>
      <x:c r="D80" s="54" t="str">
        <x:v>POLYMER_ABS</x:v>
      </x:c>
    </x:row>
    <x:row r="81">
      <x:c r="A81" s="54" t="str">
        <x:v>Material</x:v>
      </x:c>
      <x:c r="B81" s="54" t="n">
        <x:v>80</x:v>
      </x:c>
      <x:c r="C81" s="54" t="str">
        <x:v>PLA</x:v>
      </x:c>
      <x:c r="D81" s="54" t="str">
        <x:v>POLYMER_PLA</x:v>
      </x:c>
    </x:row>
    <x:row r="82">
      <x:c r="A82" s="54" t="str">
        <x:v>Material</x:v>
      </x:c>
      <x:c r="B82" s="54" t="n">
        <x:v>81</x:v>
      </x:c>
      <x:c r="C82" s="54" t="str">
        <x:v>HIPS</x:v>
      </x:c>
      <x:c r="D82" s="54" t="str">
        <x:v>POLYMER_HIPS</x:v>
      </x:c>
    </x:row>
    <x:row r="83">
      <x:c r="A83" s="54" t="str">
        <x:v>Material</x:v>
      </x:c>
      <x:c r="B83" s="54" t="n">
        <x:v>82</x:v>
      </x:c>
      <x:c r="C83" s="54" t="str">
        <x:v>HDPE</x:v>
      </x:c>
      <x:c r="D83" s="54" t="str">
        <x:v>POLYMER_HDPE</x:v>
      </x:c>
    </x:row>
    <x:row r="84">
      <x:c r="A84" s="54" t="str">
        <x:v>Material</x:v>
      </x:c>
      <x:c r="B84" s="54" t="n">
        <x:v>83</x:v>
      </x:c>
      <x:c r="C84" s="54" t="str">
        <x:v>LDPE</x:v>
      </x:c>
      <x:c r="D84" s="54" t="str">
        <x:v>POLYMER_LDPE</x:v>
      </x:c>
    </x:row>
    <x:row r="85">
      <x:c r="A85" s="54" t="str">
        <x:v>Material</x:v>
      </x:c>
      <x:c r="B85" s="54" t="n">
        <x:v>84</x:v>
      </x:c>
      <x:c r="C85" s="54" t="str">
        <x:v>UHMWPE</x:v>
      </x:c>
      <x:c r="D85" s="54" t="str">
        <x:v>POLYMER_UHMWPE</x:v>
      </x:c>
    </x:row>
    <x:row r="86">
      <x:c r="A86" s="54" t="str">
        <x:v>Material</x:v>
      </x:c>
      <x:c r="B86" s="54" t="n">
        <x:v>85</x:v>
      </x:c>
      <x:c r="C86" s="54" t="str">
        <x:v>PP</x:v>
      </x:c>
      <x:c r="D86" s="54" t="str">
        <x:v>POLYMER_PP_HOMOPOLYMER</x:v>
      </x:c>
    </x:row>
    <x:row r="87">
      <x:c r="A87" s="54" t="str">
        <x:v>Material</x:v>
      </x:c>
      <x:c r="B87" s="54" t="n">
        <x:v>86</x:v>
      </x:c>
      <x:c r="C87" s="54" t="str">
        <x:v>POLYPROPYLENE</x:v>
      </x:c>
      <x:c r="D87" s="54" t="str">
        <x:v>POLYMER_PP_HOMOPOLYMER</x:v>
      </x:c>
    </x:row>
    <x:row r="88">
      <x:c r="A88" s="54" t="str">
        <x:v>Material</x:v>
      </x:c>
      <x:c r="B88" s="54" t="n">
        <x:v>87</x:v>
      </x:c>
      <x:c r="C88" s="54" t="str">
        <x:v>PVC</x:v>
      </x:c>
      <x:c r="D88" s="54" t="str">
        <x:v>POLYMER_PVC_RIGID</x:v>
      </x:c>
    </x:row>
    <x:row r="89">
      <x:c r="A89" s="54" t="str">
        <x:v>Material</x:v>
      </x:c>
      <x:c r="B89" s="54" t="n">
        <x:v>88</x:v>
      </x:c>
      <x:c r="C89" s="54" t="str">
        <x:v>UPVC</x:v>
      </x:c>
      <x:c r="D89" s="54" t="str">
        <x:v>POLYMER_PVC_RIGID</x:v>
      </x:c>
    </x:row>
    <x:row r="90">
      <x:c r="A90" s="54" t="str">
        <x:v>Material</x:v>
      </x:c>
      <x:c r="B90" s="54" t="n">
        <x:v>89</x:v>
      </x:c>
      <x:c r="C90" s="54" t="str">
        <x:v>CPVC</x:v>
      </x:c>
      <x:c r="D90" s="54" t="str">
        <x:v>POLYMER_CPVC</x:v>
      </x:c>
    </x:row>
    <x:row r="91">
      <x:c r="A91" s="54" t="str">
        <x:v>Material</x:v>
      </x:c>
      <x:c r="B91" s="54" t="n">
        <x:v>90</x:v>
      </x:c>
      <x:c r="C91" s="54" t="str">
        <x:v>PET</x:v>
      </x:c>
      <x:c r="D91" s="54" t="str">
        <x:v>POLYMER_PET</x:v>
      </x:c>
    </x:row>
    <x:row r="92">
      <x:c r="A92" s="54" t="str">
        <x:v>Material</x:v>
      </x:c>
      <x:c r="B92" s="54" t="n">
        <x:v>91</x:v>
      </x:c>
      <x:c r="C92" s="54" t="str">
        <x:v>PETG</x:v>
      </x:c>
      <x:c r="D92" s="54" t="str">
        <x:v>POLYMER_PETG</x:v>
      </x:c>
    </x:row>
    <x:row r="93">
      <x:c r="A93" s="54" t="str">
        <x:v>Material</x:v>
      </x:c>
      <x:c r="B93" s="54" t="n">
        <x:v>92</x:v>
      </x:c>
      <x:c r="C93" s="54" t="str">
        <x:v>PA6</x:v>
      </x:c>
      <x:c r="D93" s="54" t="str">
        <x:v>POLYMER_PA6_DRY</x:v>
      </x:c>
    </x:row>
    <x:row r="94">
      <x:c r="A94" s="54" t="str">
        <x:v>Material</x:v>
      </x:c>
      <x:c r="B94" s="54" t="n">
        <x:v>93</x:v>
      </x:c>
      <x:c r="C94" s="54" t="str">
        <x:v>NYLON6</x:v>
      </x:c>
      <x:c r="D94" s="54" t="str">
        <x:v>POLYMER_PA6_DRY</x:v>
      </x:c>
    </x:row>
    <x:row r="95">
      <x:c r="A95" s="54" t="str">
        <x:v>Material</x:v>
      </x:c>
      <x:c r="B95" s="54" t="n">
        <x:v>94</x:v>
      </x:c>
      <x:c r="C95" s="54" t="str">
        <x:v>PA66</x:v>
      </x:c>
      <x:c r="D95" s="54" t="str">
        <x:v>POLYMER_PA66_DRY</x:v>
      </x:c>
    </x:row>
    <x:row r="96">
      <x:c r="A96" s="54" t="str">
        <x:v>Material</x:v>
      </x:c>
      <x:c r="B96" s="54" t="n">
        <x:v>95</x:v>
      </x:c>
      <x:c r="C96" s="54" t="str">
        <x:v>NYLON66</x:v>
      </x:c>
      <x:c r="D96" s="54" t="str">
        <x:v>POLYMER_PA66_DRY</x:v>
      </x:c>
    </x:row>
    <x:row r="97">
      <x:c r="A97" s="54" t="str">
        <x:v>Material</x:v>
      </x:c>
      <x:c r="B97" s="54" t="n">
        <x:v>96</x:v>
      </x:c>
      <x:c r="C97" s="54" t="str">
        <x:v>POM</x:v>
      </x:c>
      <x:c r="D97" s="54" t="str">
        <x:v>POLYMER_POM</x:v>
      </x:c>
    </x:row>
    <x:row r="98">
      <x:c r="A98" s="54" t="str">
        <x:v>Material</x:v>
      </x:c>
      <x:c r="B98" s="54" t="n">
        <x:v>97</x:v>
      </x:c>
      <x:c r="C98" s="54" t="str">
        <x:v>ACETAL</x:v>
      </x:c>
      <x:c r="D98" s="54" t="str">
        <x:v>POLYMER_POM</x:v>
      </x:c>
    </x:row>
    <x:row r="99">
      <x:c r="A99" s="54" t="str">
        <x:v>Material</x:v>
      </x:c>
      <x:c r="B99" s="54" t="n">
        <x:v>98</x:v>
      </x:c>
      <x:c r="C99" s="54" t="str">
        <x:v>PC</x:v>
      </x:c>
      <x:c r="D99" s="54" t="str">
        <x:v>POLYMER_PC</x:v>
      </x:c>
    </x:row>
    <x:row r="100">
      <x:c r="A100" s="54" t="str">
        <x:v>Material</x:v>
      </x:c>
      <x:c r="B100" s="54" t="n">
        <x:v>99</x:v>
      </x:c>
      <x:c r="C100" s="54" t="str">
        <x:v>POLYCARBONATE</x:v>
      </x:c>
      <x:c r="D100" s="54" t="str">
        <x:v>POLYMER_PC</x:v>
      </x:c>
    </x:row>
    <x:row r="101">
      <x:c r="A101" s="54" t="str">
        <x:v>Material</x:v>
      </x:c>
      <x:c r="B101" s="54" t="n">
        <x:v>100</x:v>
      </x:c>
      <x:c r="C101" s="54" t="str">
        <x:v>PMMA</x:v>
      </x:c>
      <x:c r="D101" s="54" t="str">
        <x:v>POLYMER_PMMA</x:v>
      </x:c>
    </x:row>
    <x:row r="102">
      <x:c r="A102" s="54" t="str">
        <x:v>Material</x:v>
      </x:c>
      <x:c r="B102" s="54" t="n">
        <x:v>101</x:v>
      </x:c>
      <x:c r="C102" s="54" t="str">
        <x:v>ACRYLIC</x:v>
      </x:c>
      <x:c r="D102" s="54" t="str">
        <x:v>POLYMER_PMMA</x:v>
      </x:c>
    </x:row>
    <x:row r="103">
      <x:c r="A103" s="54" t="str">
        <x:v>Material</x:v>
      </x:c>
      <x:c r="B103" s="54" t="n">
        <x:v>102</x:v>
      </x:c>
      <x:c r="C103" s="54" t="str">
        <x:v>PTFE</x:v>
      </x:c>
      <x:c r="D103" s="54" t="str">
        <x:v>POLYMER_PTFE</x:v>
      </x:c>
    </x:row>
    <x:row r="104">
      <x:c r="A104" s="54" t="str">
        <x:v>Material</x:v>
      </x:c>
      <x:c r="B104" s="54" t="n">
        <x:v>103</x:v>
      </x:c>
      <x:c r="C104" s="54" t="str">
        <x:v>TEFLON</x:v>
      </x:c>
      <x:c r="D104" s="54" t="str">
        <x:v>POLYMER_PTFE</x:v>
      </x:c>
    </x:row>
    <x:row r="105">
      <x:c r="A105" s="54" t="str">
        <x:v>Material</x:v>
      </x:c>
      <x:c r="B105" s="54" t="n">
        <x:v>104</x:v>
      </x:c>
      <x:c r="C105" s="54" t="str">
        <x:v>PEEK</x:v>
      </x:c>
      <x:c r="D105" s="54" t="str">
        <x:v>POLYMER_PEEK</x:v>
      </x:c>
    </x:row>
    <x:row r="106">
      <x:c r="A106" s="54" t="str">
        <x:v>Material</x:v>
      </x:c>
      <x:c r="B106" s="54" t="n">
        <x:v>105</x:v>
      </x:c>
      <x:c r="C106" s="54" t="str">
        <x:v>PEI</x:v>
      </x:c>
      <x:c r="D106" s="54" t="str">
        <x:v>POLYMER_PEI</x:v>
      </x:c>
    </x:row>
    <x:row r="107">
      <x:c r="A107" s="54" t="str">
        <x:v>Material</x:v>
      </x:c>
      <x:c r="B107" s="54" t="n">
        <x:v>106</x:v>
      </x:c>
      <x:c r="C107" s="54" t="str">
        <x:v>PPS</x:v>
      </x:c>
      <x:c r="D107" s="54" t="str">
        <x:v>POLYMER_PPS</x:v>
      </x:c>
    </x:row>
    <x:row r="108">
      <x:c r="A108" s="54" t="str">
        <x:v>Material</x:v>
      </x:c>
      <x:c r="B108" s="54" t="n">
        <x:v>107</x:v>
      </x:c>
      <x:c r="C108" s="54" t="str">
        <x:v>PSU</x:v>
      </x:c>
      <x:c r="D108" s="54" t="str">
        <x:v>POLYMER_PSU</x:v>
      </x:c>
    </x:row>
    <x:row r="109">
      <x:c r="A109" s="54" t="str">
        <x:v>Material</x:v>
      </x:c>
      <x:c r="B109" s="54" t="n">
        <x:v>108</x:v>
      </x:c>
      <x:c r="C109" s="54" t="str">
        <x:v>POLYSULFONE</x:v>
      </x:c>
      <x:c r="D109" s="54" t="str">
        <x:v>POLYMER_PSU</x:v>
      </x:c>
    </x:row>
    <x:row r="110">
      <x:c r="A110" s="54" t="str">
        <x:v>Material</x:v>
      </x:c>
      <x:c r="B110" s="54" t="n">
        <x:v>109</x:v>
      </x:c>
      <x:c r="C110" s="54" t="str">
        <x:v>EPOXY</x:v>
      </x:c>
      <x:c r="D110" s="54" t="str">
        <x:v>POLYMER_EPOXY_CAST</x:v>
      </x:c>
    </x:row>
    <x:row r="111">
      <x:c r="A111" s="54" t="str">
        <x:v>Material</x:v>
      </x:c>
      <x:c r="B111" s="54" t="n">
        <x:v>110</x:v>
      </x:c>
      <x:c r="C111" s="54" t="str">
        <x:v>PHENOLIC</x:v>
      </x:c>
      <x:c r="D111" s="54" t="str">
        <x:v>POLYMER_PHENOLIC</x:v>
      </x:c>
    </x:row>
    <x:row r="112">
      <x:c r="A112" s="54" t="str">
        <x:v>Material</x:v>
      </x:c>
      <x:c r="B112" s="54" t="n">
        <x:v>111</x:v>
      </x:c>
      <x:c r="C112" s="54" t="str">
        <x:v>PBT</x:v>
      </x:c>
      <x:c r="D112" s="54" t="str">
        <x:v>POLYMER_PBT</x:v>
      </x:c>
    </x:row>
    <x:row r="113">
      <x:c r="A113" s="54" t="str">
        <x:v>Material</x:v>
      </x:c>
      <x:c r="B113" s="54" t="n">
        <x:v>112</x:v>
      </x:c>
      <x:c r="C113" s="54" t="str">
        <x:v>PVDF</x:v>
      </x:c>
      <x:c r="D113" s="54" t="str">
        <x:v>POLYMER_PVDF</x:v>
      </x:c>
    </x:row>
    <x:row r="114">
      <x:c r="A114" s="54" t="str">
        <x:v>Material</x:v>
      </x:c>
      <x:c r="B114" s="54" t="n">
        <x:v>113</x:v>
      </x:c>
      <x:c r="C114" s="54" t="str">
        <x:v>NATURAL_RUBBER</x:v>
      </x:c>
      <x:c r="D114" s="54" t="str">
        <x:v>ELASTOMER_NATURAL_RUBBER</x:v>
      </x:c>
    </x:row>
    <x:row r="115">
      <x:c r="A115" s="54" t="str">
        <x:v>Material</x:v>
      </x:c>
      <x:c r="B115" s="54" t="n">
        <x:v>114</x:v>
      </x:c>
      <x:c r="C115" s="54" t="str">
        <x:v>NR_RUBBER</x:v>
      </x:c>
      <x:c r="D115" s="54" t="str">
        <x:v>ELASTOMER_NATURAL_RUBBER</x:v>
      </x:c>
    </x:row>
    <x:row r="116">
      <x:c r="A116" s="54" t="str">
        <x:v>Material</x:v>
      </x:c>
      <x:c r="B116" s="54" t="n">
        <x:v>115</x:v>
      </x:c>
      <x:c r="C116" s="54" t="str">
        <x:v>NEOPRENE</x:v>
      </x:c>
      <x:c r="D116" s="54" t="str">
        <x:v>ELASTOMER_NEOPRENE</x:v>
      </x:c>
    </x:row>
    <x:row r="117">
      <x:c r="A117" s="54" t="str">
        <x:v>Material</x:v>
      </x:c>
      <x:c r="B117" s="54" t="n">
        <x:v>116</x:v>
      </x:c>
      <x:c r="C117" s="54" t="str">
        <x:v>CR_RUBBER</x:v>
      </x:c>
      <x:c r="D117" s="54" t="str">
        <x:v>ELASTOMER_NEOPRENE</x:v>
      </x:c>
    </x:row>
    <x:row r="118">
      <x:c r="A118" s="54" t="str">
        <x:v>Material</x:v>
      </x:c>
      <x:c r="B118" s="54" t="n">
        <x:v>117</x:v>
      </x:c>
      <x:c r="C118" s="54" t="str">
        <x:v>NBR</x:v>
      </x:c>
      <x:c r="D118" s="54" t="str">
        <x:v>ELASTOMER_NBR</x:v>
      </x:c>
    </x:row>
    <x:row r="119">
      <x:c r="A119" s="54" t="str">
        <x:v>Material</x:v>
      </x:c>
      <x:c r="B119" s="54" t="n">
        <x:v>118</x:v>
      </x:c>
      <x:c r="C119" s="54" t="str">
        <x:v>NITRILE_RUBBER</x:v>
      </x:c>
      <x:c r="D119" s="54" t="str">
        <x:v>ELASTOMER_NBR</x:v>
      </x:c>
    </x:row>
    <x:row r="120">
      <x:c r="A120" s="54" t="str">
        <x:v>Material</x:v>
      </x:c>
      <x:c r="B120" s="54" t="n">
        <x:v>119</x:v>
      </x:c>
      <x:c r="C120" s="54" t="str">
        <x:v>EPDM</x:v>
      </x:c>
      <x:c r="D120" s="54" t="str">
        <x:v>ELASTOMER_EPDM</x:v>
      </x:c>
    </x:row>
    <x:row r="121">
      <x:c r="A121" s="54" t="str">
        <x:v>Material</x:v>
      </x:c>
      <x:c r="B121" s="54" t="n">
        <x:v>120</x:v>
      </x:c>
      <x:c r="C121" s="54" t="str">
        <x:v>SILICONE_RUBBER</x:v>
      </x:c>
      <x:c r="D121" s="54" t="str">
        <x:v>ELASTOMER_SILICONE</x:v>
      </x:c>
    </x:row>
    <x:row r="122">
      <x:c r="A122" s="54" t="str">
        <x:v>Material</x:v>
      </x:c>
      <x:c r="B122" s="54" t="n">
        <x:v>121</x:v>
      </x:c>
      <x:c r="C122" s="54" t="str">
        <x:v>FKM</x:v>
      </x:c>
      <x:c r="D122" s="54" t="str">
        <x:v>ELASTOMER_FKM</x:v>
      </x:c>
    </x:row>
    <x:row r="123">
      <x:c r="A123" s="54" t="str">
        <x:v>Material</x:v>
      </x:c>
      <x:c r="B123" s="54" t="n">
        <x:v>122</x:v>
      </x:c>
      <x:c r="C123" s="54" t="str">
        <x:v>FLUOROELASTOMER</x:v>
      </x:c>
      <x:c r="D123" s="54" t="str">
        <x:v>ELASTOMER_FKM</x:v>
      </x:c>
    </x:row>
    <x:row r="124">
      <x:c r="A124" s="54" t="str">
        <x:v>Material</x:v>
      </x:c>
      <x:c r="B124" s="54" t="n">
        <x:v>123</x:v>
      </x:c>
      <x:c r="C124" s="54" t="str">
        <x:v>TPU</x:v>
      </x:c>
      <x:c r="D124" s="54" t="str">
        <x:v>ELASTOMER_TPU</x:v>
      </x:c>
    </x:row>
    <x:row r="125">
      <x:c r="A125" s="54" t="str">
        <x:v>Material</x:v>
      </x:c>
      <x:c r="B125" s="54" t="n">
        <x:v>124</x:v>
      </x:c>
      <x:c r="C125" s="54" t="str">
        <x:v>SODA_LIME_GLASS</x:v>
      </x:c>
      <x:c r="D125" s="54" t="str">
        <x:v>GLASS_SODA_LIME</x:v>
      </x:c>
    </x:row>
    <x:row r="126">
      <x:c r="A126" s="54" t="str">
        <x:v>Material</x:v>
      </x:c>
      <x:c r="B126" s="54" t="n">
        <x:v>125</x:v>
      </x:c>
      <x:c r="C126" s="54" t="str">
        <x:v>BOROSILICATE_GLASS</x:v>
      </x:c>
      <x:c r="D126" s="54" t="str">
        <x:v>GLASS_BOROSILICATE</x:v>
      </x:c>
    </x:row>
    <x:row r="127">
      <x:c r="A127" s="54" t="str">
        <x:v>Material</x:v>
      </x:c>
      <x:c r="B127" s="54" t="n">
        <x:v>126</x:v>
      </x:c>
      <x:c r="C127" s="54" t="str">
        <x:v>FUSED_SILICA</x:v>
      </x:c>
      <x:c r="D127" s="54" t="str">
        <x:v>GLASS_FUSED_SILICA</x:v>
      </x:c>
    </x:row>
    <x:row r="128">
      <x:c r="A128" s="54" t="str">
        <x:v>Material</x:v>
      </x:c>
      <x:c r="B128" s="54" t="n">
        <x:v>127</x:v>
      </x:c>
      <x:c r="C128" s="54" t="str">
        <x:v>ALUMINA_96</x:v>
      </x:c>
      <x:c r="D128" s="54" t="str">
        <x:v>CERAMIC_ALUMINA_96</x:v>
      </x:c>
    </x:row>
    <x:row r="129">
      <x:c r="A129" s="54" t="str">
        <x:v>Material</x:v>
      </x:c>
      <x:c r="B129" s="54" t="n">
        <x:v>128</x:v>
      </x:c>
      <x:c r="C129" s="54" t="str">
        <x:v>ALUMINA_995</x:v>
      </x:c>
      <x:c r="D129" s="54" t="str">
        <x:v>CERAMIC_ALUMINA_995</x:v>
      </x:c>
    </x:row>
    <x:row r="130">
      <x:c r="A130" s="54" t="str">
        <x:v>Material</x:v>
      </x:c>
      <x:c r="B130" s="54" t="n">
        <x:v>129</x:v>
      </x:c>
      <x:c r="C130" s="54" t="str">
        <x:v>YTZP</x:v>
      </x:c>
      <x:c r="D130" s="54" t="str">
        <x:v>CERAMIC_ZIRCONIA_YTZP</x:v>
      </x:c>
    </x:row>
    <x:row r="131">
      <x:c r="A131" s="54" t="str">
        <x:v>Material</x:v>
      </x:c>
      <x:c r="B131" s="54" t="n">
        <x:v>130</x:v>
      </x:c>
      <x:c r="C131" s="54" t="str">
        <x:v>ZIRCONIA_YTZP</x:v>
      </x:c>
      <x:c r="D131" s="54" t="str">
        <x:v>CERAMIC_ZIRCONIA_YTZP</x:v>
      </x:c>
    </x:row>
    <x:row r="132">
      <x:c r="A132" s="54" t="str">
        <x:v>Material</x:v>
      </x:c>
      <x:c r="B132" s="54" t="n">
        <x:v>131</x:v>
      </x:c>
      <x:c r="C132" s="54" t="str">
        <x:v>SILICON_CARBIDE</x:v>
      </x:c>
      <x:c r="D132" s="54" t="str">
        <x:v>CERAMIC_SILICON_CARBIDE</x:v>
      </x:c>
    </x:row>
    <x:row r="133">
      <x:c r="A133" s="54" t="str">
        <x:v>Material</x:v>
      </x:c>
      <x:c r="B133" s="54" t="n">
        <x:v>132</x:v>
      </x:c>
      <x:c r="C133" s="54" t="str">
        <x:v>SIC</x:v>
      </x:c>
      <x:c r="D133" s="54" t="str">
        <x:v>CERAMIC_SILICON_CARBIDE</x:v>
      </x:c>
    </x:row>
    <x:row r="134">
      <x:c r="A134" s="54" t="str">
        <x:v>Material</x:v>
      </x:c>
      <x:c r="B134" s="54" t="n">
        <x:v>133</x:v>
      </x:c>
      <x:c r="C134" s="54" t="str">
        <x:v>SILICON_NITRIDE</x:v>
      </x:c>
      <x:c r="D134" s="54" t="str">
        <x:v>CERAMIC_SILICON_NITRIDE</x:v>
      </x:c>
    </x:row>
    <x:row r="135">
      <x:c r="A135" s="54" t="str">
        <x:v>Material</x:v>
      </x:c>
      <x:c r="B135" s="54" t="n">
        <x:v>134</x:v>
      </x:c>
      <x:c r="C135" s="54" t="str">
        <x:v>SI3N4</x:v>
      </x:c>
      <x:c r="D135" s="54" t="str">
        <x:v>CERAMIC_SILICON_NITRIDE</x:v>
      </x:c>
    </x:row>
    <x:row r="136">
      <x:c r="A136" s="54" t="str">
        <x:v>Material</x:v>
      </x:c>
      <x:c r="B136" s="54" t="n">
        <x:v>135</x:v>
      </x:c>
      <x:c r="C136" s="54" t="str">
        <x:v>ALUMINUM_NITRIDE</x:v>
      </x:c>
      <x:c r="D136" s="54" t="str">
        <x:v>CERAMIC_ALUMINUM_NITRIDE</x:v>
      </x:c>
    </x:row>
    <x:row r="137">
      <x:c r="A137" s="54" t="str">
        <x:v>Material</x:v>
      </x:c>
      <x:c r="B137" s="54" t="n">
        <x:v>136</x:v>
      </x:c>
      <x:c r="C137" s="54" t="str">
        <x:v>ALN</x:v>
      </x:c>
      <x:c r="D137" s="54" t="str">
        <x:v>CERAMIC_ALUMINUM_NITRIDE</x:v>
      </x:c>
    </x:row>
    <x:row r="138">
      <x:c r="A138" s="54" t="str">
        <x:v>Material</x:v>
      </x:c>
      <x:c r="B138" s="54" t="n">
        <x:v>137</x:v>
      </x:c>
      <x:c r="C138" s="54" t="str">
        <x:v>BORON_CARBIDE</x:v>
      </x:c>
      <x:c r="D138" s="54" t="str">
        <x:v>CERAMIC_BORON_CARBIDE</x:v>
      </x:c>
    </x:row>
    <x:row r="139">
      <x:c r="A139" s="54" t="str">
        <x:v>Material</x:v>
      </x:c>
      <x:c r="B139" s="54" t="n">
        <x:v>138</x:v>
      </x:c>
      <x:c r="C139" s="54" t="str">
        <x:v>B4C</x:v>
      </x:c>
      <x:c r="D139" s="54" t="str">
        <x:v>CERAMIC_BORON_CARBIDE</x:v>
      </x:c>
    </x:row>
    <x:row r="140">
      <x:c r="A140" s="54" t="str">
        <x:v>Material</x:v>
      </x:c>
      <x:c r="B140" s="54" t="n">
        <x:v>139</x:v>
      </x:c>
      <x:c r="C140" s="54" t="str">
        <x:v>MULLITE</x:v>
      </x:c>
      <x:c r="D140" s="54" t="str">
        <x:v>CERAMIC_MULLITE</x:v>
      </x:c>
    </x:row>
    <x:row r="141">
      <x:c r="A141" s="54" t="str">
        <x:v>Material</x:v>
      </x:c>
      <x:c r="B141" s="54" t="n">
        <x:v>140</x:v>
      </x:c>
      <x:c r="C141" s="54" t="str">
        <x:v>ELECTRICAL_PORCELAIN</x:v>
      </x:c>
      <x:c r="D141" s="54" t="str">
        <x:v>CERAMIC_PORCELAIN_ELECTRICAL</x:v>
      </x:c>
    </x:row>
    <x:row r="142">
      <x:c r="A142" s="54" t="str">
        <x:v>Material</x:v>
      </x:c>
      <x:c r="B142" s="54" t="n">
        <x:v>141</x:v>
      </x:c>
      <x:c r="C142" s="54" t="str">
        <x:v>GRAPHITE</x:v>
      </x:c>
      <x:c r="D142" s="54" t="str">
        <x:v>CARBON_GRAPHITE_ISOTROPIC</x:v>
      </x:c>
    </x:row>
    <x:row r="143">
      <x:c r="A143" s="54" t="str">
        <x:v>Material</x:v>
      </x:c>
      <x:c r="B143" s="54" t="n">
        <x:v>142</x:v>
      </x:c>
      <x:c r="C143" s="54" t="str">
        <x:v>WC_6CO</x:v>
      </x:c>
      <x:c r="D143" s="54" t="str">
        <x:v>CERMET_TUNGSTEN_CARBIDE_6CO</x:v>
      </x:c>
    </x:row>
    <x:row r="144">
      <x:c r="A144" s="54" t="str">
        <x:v>Material</x:v>
      </x:c>
      <x:c r="B144" s="54" t="n">
        <x:v>143</x:v>
      </x:c>
      <x:c r="C144" s="54" t="str">
        <x:v>TUNGSTEN_CARBIDE</x:v>
      </x:c>
      <x:c r="D144" s="54" t="str">
        <x:v>CERMET_TUNGSTEN_CARBIDE_6CO</x:v>
      </x:c>
    </x:row>
    <x:row r="145">
      <x:c r="A145" s="54" t="str">
        <x:v>Material</x:v>
      </x:c>
      <x:c r="B145" s="54" t="n">
        <x:v>144</x:v>
      </x:c>
      <x:c r="C145" s="54" t="str">
        <x:v>STEATITE</x:v>
      </x:c>
      <x:c r="D145" s="54" t="str">
        <x:v>CERAMIC_STEATITE</x:v>
      </x:c>
    </x:row>
    <x:row r="146">
      <x:c r="A146" s="54" t="str">
        <x:v>Material</x:v>
      </x:c>
      <x:c r="B146" s="54" t="n">
        <x:v>145</x:v>
      </x:c>
      <x:c r="C146" s="54" t="str">
        <x:v>CORDIERITE</x:v>
      </x:c>
      <x:c r="D146" s="54" t="str">
        <x:v>CERAMIC_CORDIERITE</x:v>
      </x:c>
    </x:row>
    <x:row r="147">
      <x:c r="A147" s="54" t="str">
        <x:v>Material</x:v>
      </x:c>
      <x:c r="B147" s="54" t="n">
        <x:v>146</x:v>
      </x:c>
      <x:c r="C147" s="54" t="str">
        <x:v>CFRP_UD</x:v>
      </x:c>
      <x:c r="D147" s="54" t="str">
        <x:v>COMPOSITE_CFRP_UD</x:v>
      </x:c>
    </x:row>
    <x:row r="148">
      <x:c r="A148" s="54" t="str">
        <x:v>Material</x:v>
      </x:c>
      <x:c r="B148" s="54" t="n">
        <x:v>147</x:v>
      </x:c>
      <x:c r="C148" s="54" t="str">
        <x:v>CFRP_QUASI</x:v>
      </x:c>
      <x:c r="D148" s="54" t="str">
        <x:v>COMPOSITE_CFRP_QUASI_ISO</x:v>
      </x:c>
    </x:row>
    <x:row r="149">
      <x:c r="A149" s="54" t="str">
        <x:v>Material</x:v>
      </x:c>
      <x:c r="B149" s="54" t="n">
        <x:v>148</x:v>
      </x:c>
      <x:c r="C149" s="54" t="str">
        <x:v>GFRP_UD</x:v>
      </x:c>
      <x:c r="D149" s="54" t="str">
        <x:v>COMPOSITE_GFRP_UD</x:v>
      </x:c>
    </x:row>
    <x:row r="150">
      <x:c r="A150" s="54" t="str">
        <x:v>Material</x:v>
      </x:c>
      <x:c r="B150" s="54" t="n">
        <x:v>149</x:v>
      </x:c>
      <x:c r="C150" s="54" t="str">
        <x:v>GFRP_QUASI</x:v>
      </x:c>
      <x:c r="D150" s="54" t="str">
        <x:v>COMPOSITE_GFRP_QUASI_ISO</x:v>
      </x:c>
    </x:row>
    <x:row r="151">
      <x:c r="A151" s="54" t="str">
        <x:v>Material</x:v>
      </x:c>
      <x:c r="B151" s="54" t="n">
        <x:v>150</x:v>
      </x:c>
      <x:c r="C151" s="54" t="str">
        <x:v>ARAMID_EPOXY_UD</x:v>
      </x:c>
      <x:c r="D151" s="54" t="str">
        <x:v>COMPOSITE_ARAMID_EPOXY_UD</x:v>
      </x:c>
    </x:row>
    <x:row r="152">
      <x:c r="A152" s="54" t="str">
        <x:v>Material</x:v>
      </x:c>
      <x:c r="B152" s="54" t="n">
        <x:v>151</x:v>
      </x:c>
      <x:c r="C152" s="54" t="str">
        <x:v>KEVLAR_EPOXY_UD</x:v>
      </x:c>
      <x:c r="D152" s="54" t="str">
        <x:v>COMPOSITE_ARAMID_EPOXY_UD</x:v>
      </x:c>
    </x:row>
    <x:row r="153">
      <x:c r="A153" s="54" t="str">
        <x:v>Material</x:v>
      </x:c>
      <x:c r="B153" s="54" t="n">
        <x:v>152</x:v>
      </x:c>
      <x:c r="C153" s="54" t="str">
        <x:v>DOUGLAS_FIR</x:v>
      </x:c>
      <x:c r="D153" s="54" t="str">
        <x:v>WOOD_DOUGLAS_FIR</x:v>
      </x:c>
    </x:row>
    <x:row r="154">
      <x:c r="A154" s="54" t="str">
        <x:v>Material</x:v>
      </x:c>
      <x:c r="B154" s="54" t="n">
        <x:v>153</x:v>
      </x:c>
      <x:c r="C154" s="54" t="str">
        <x:v>SPF_WOOD</x:v>
      </x:c>
      <x:c r="D154" s="54" t="str">
        <x:v>WOOD_SPRUCE_PINE_FIR</x:v>
      </x:c>
    </x:row>
    <x:row r="155">
      <x:c r="A155" s="54" t="str">
        <x:v>Material</x:v>
      </x:c>
      <x:c r="B155" s="54" t="n">
        <x:v>154</x:v>
      </x:c>
      <x:c r="C155" s="54" t="str">
        <x:v>SOUTHERN_PINE</x:v>
      </x:c>
      <x:c r="D155" s="54" t="str">
        <x:v>WOOD_SOUTHERN_PINE</x:v>
      </x:c>
    </x:row>
    <x:row r="156">
      <x:c r="A156" s="54" t="str">
        <x:v>Material</x:v>
      </x:c>
      <x:c r="B156" s="54" t="n">
        <x:v>155</x:v>
      </x:c>
      <x:c r="C156" s="54" t="str">
        <x:v>WHITE_OAK</x:v>
      </x:c>
      <x:c r="D156" s="54" t="str">
        <x:v>WOOD_WHITE_OAK</x:v>
      </x:c>
    </x:row>
    <x:row r="157">
      <x:c r="A157" s="54" t="str">
        <x:v>Material</x:v>
      </x:c>
      <x:c r="B157" s="54" t="n">
        <x:v>156</x:v>
      </x:c>
      <x:c r="C157" s="54" t="str">
        <x:v>HARD_MAPLE</x:v>
      </x:c>
      <x:c r="D157" s="54" t="str">
        <x:v>WOOD_HARD_MAPLE</x:v>
      </x:c>
    </x:row>
    <x:row r="158">
      <x:c r="A158" s="54" t="str">
        <x:v>Material</x:v>
      </x:c>
      <x:c r="B158" s="54" t="n">
        <x:v>157</x:v>
      </x:c>
      <x:c r="C158" s="54" t="str">
        <x:v>SOFTWOOD_PLYWOOD</x:v>
      </x:c>
      <x:c r="D158" s="54" t="str">
        <x:v>WOOD_PLYWOOD_SOFTWOOD</x:v>
      </x:c>
    </x:row>
    <x:row r="159">
      <x:c r="A159" s="54" t="str">
        <x:v>Material</x:v>
      </x:c>
      <x:c r="B159" s="54" t="n">
        <x:v>158</x:v>
      </x:c>
      <x:c r="C159" s="54" t="str">
        <x:v>PLYWOOD</x:v>
      </x:c>
      <x:c r="D159" s="54" t="str">
        <x:v>WOOD_PLYWOOD_SOFTWOOD</x:v>
      </x:c>
    </x:row>
    <x:row r="160">
      <x:c r="A160" s="54" t="str">
        <x:v>Material</x:v>
      </x:c>
      <x:c r="B160" s="54" t="n">
        <x:v>159</x:v>
      </x:c>
      <x:c r="C160" s="54" t="str">
        <x:v>MDF</x:v>
      </x:c>
      <x:c r="D160" s="54" t="str">
        <x:v>WOOD_MDF</x:v>
      </x:c>
    </x:row>
    <x:row r="161">
      <x:c r="A161" s="54" t="str">
        <x:v>Material</x:v>
      </x:c>
      <x:c r="B161" s="54" t="n">
        <x:v>160</x:v>
      </x:c>
      <x:c r="C161" s="54" t="str">
        <x:v>LVL</x:v>
      </x:c>
      <x:c r="D161" s="54" t="str">
        <x:v>WOOD_LVL</x:v>
      </x:c>
    </x:row>
    <x:row r="162">
      <x:c r="A162" s="54" t="str">
        <x:v>Material</x:v>
      </x:c>
      <x:c r="B162" s="54" t="n">
        <x:v>161</x:v>
      </x:c>
      <x:c r="C162" s="54" t="str">
        <x:v>GLULAM</x:v>
      </x:c>
      <x:c r="D162" s="54" t="str">
        <x:v>WOOD_GLULAM</x:v>
      </x:c>
    </x:row>
    <x:row r="163">
      <x:c r="A163" s="54" t="str">
        <x:v>Material</x:v>
      </x:c>
      <x:c r="B163" s="54" t="n">
        <x:v>162</x:v>
      </x:c>
      <x:c r="C163" s="54" t="str">
        <x:v>CONCRETE_25MPA</x:v>
      </x:c>
      <x:c r="D163" s="54" t="str">
        <x:v>CONCRETE_NORMAL_25MPA</x:v>
      </x:c>
    </x:row>
    <x:row r="164">
      <x:c r="A164" s="54" t="str">
        <x:v>Material</x:v>
      </x:c>
      <x:c r="B164" s="54" t="n">
        <x:v>163</x:v>
      </x:c>
      <x:c r="C164" s="54" t="str">
        <x:v>CONCRETE_40MPA</x:v>
      </x:c>
      <x:c r="D164" s="54" t="str">
        <x:v>CONCRETE_NORMAL_40MPA</x:v>
      </x:c>
    </x:row>
    <x:row r="165">
      <x:c r="A165" s="54" t="str">
        <x:v>Material</x:v>
      </x:c>
      <x:c r="B165" s="54" t="n">
        <x:v>164</x:v>
      </x:c>
      <x:c r="C165" s="54" t="str">
        <x:v>CONCRETE_60MPA</x:v>
      </x:c>
      <x:c r="D165" s="54" t="str">
        <x:v>CONCRETE_NORMAL_60MPA</x:v>
      </x:c>
    </x:row>
    <x:row r="166">
      <x:c r="A166" s="54" t="str">
        <x:v>Material</x:v>
      </x:c>
      <x:c r="B166" s="54" t="n">
        <x:v>165</x:v>
      </x:c>
      <x:c r="C166" s="54" t="str">
        <x:v>LIGHTWEIGHT_CONCRETE</x:v>
      </x:c>
      <x:c r="D166" s="54" t="str">
        <x:v>CONCRETE_LIGHTWEIGHT_25MPA</x:v>
      </x:c>
    </x:row>
    <x:row r="167">
      <x:c r="A167" s="54" t="str">
        <x:v>Material</x:v>
      </x:c>
      <x:c r="B167" s="54" t="n">
        <x:v>166</x:v>
      </x:c>
      <x:c r="C167" s="54" t="str">
        <x:v>CLAY_BRICK</x:v>
      </x:c>
      <x:c r="D167" s="54" t="str">
        <x:v>MASONRY_FIRED_CLAY_BRICK</x:v>
      </x:c>
    </x:row>
    <x:row r="168">
      <x:c r="A168" s="54" t="str">
        <x:v>Material</x:v>
      </x:c>
      <x:c r="B168" s="54" t="n">
        <x:v>167</x:v>
      </x:c>
      <x:c r="C168" s="54" t="str">
        <x:v>GRANITE</x:v>
      </x:c>
      <x:c r="D168" s="54" t="str">
        <x:v>STONE_GRANITE</x:v>
      </x:c>
    </x:row>
    <x:row r="169">
      <x:c r="A169" s="54" t="str">
        <x:v>Material</x:v>
      </x:c>
      <x:c r="B169" s="54" t="n">
        <x:v>168</x:v>
      </x:c>
      <x:c r="C169" s="54" t="str">
        <x:v>LIMESTONE</x:v>
      </x:c>
      <x:c r="D169" s="54" t="str">
        <x:v>STONE_LIMESTONE</x:v>
      </x:c>
    </x:row>
    <x:row r="170">
      <x:c r="A170" s="54" t="str">
        <x:v>Material</x:v>
      </x:c>
      <x:c r="B170" s="54" t="n">
        <x:v>169</x:v>
      </x:c>
      <x:c r="C170" s="54" t="str">
        <x:v>SANDSTONE</x:v>
      </x:c>
      <x:c r="D170" s="54" t="str">
        <x:v>STONE_SANDSTONE</x:v>
      </x:c>
    </x:row>
    <x:row r="171">
      <x:c r="A171" s="54" t="str">
        <x:v>Material</x:v>
      </x:c>
      <x:c r="B171" s="54" t="n">
        <x:v>170</x:v>
      </x:c>
      <x:c r="C171" s="54" t="str">
        <x:v>DRYWALL</x:v>
      </x:c>
      <x:c r="D171" s="54" t="str">
        <x:v>GYPSUM_BOARD</x:v>
      </x:c>
    </x:row>
    <x:row r="172">
      <x:c r="A172" s="54" t="str">
        <x:v>Material</x:v>
      </x:c>
      <x:c r="B172" s="54" t="n">
        <x:v>171</x:v>
      </x:c>
      <x:c r="C172" s="54" t="str">
        <x:v>GYPSUM_WALLBOARD</x:v>
      </x:c>
      <x:c r="D172" s="54" t="str">
        <x:v>GYPSUM_BOARD</x:v>
      </x:c>
    </x:row>
    <x:row r="173">
      <x:c r="A173" s="54" t="str">
        <x:v>Material</x:v>
      </x:c>
      <x:c r="B173" s="54" t="n">
        <x:v>172</x:v>
      </x:c>
      <x:c r="C173" s="54" t="str">
        <x:v>ASPHALT</x:v>
      </x:c>
      <x:c r="D173" s="54" t="str">
        <x:v>ASPHALT_CONCRETE</x:v>
      </x:c>
    </x:row>
    <x:row r="174">
      <x:c r="A174" s="54" t="str">
        <x:v>Property</x:v>
      </x:c>
      <x:c r="B174" s="54" t="n">
        <x:v>1</x:v>
      </x:c>
      <x:c r="C174" s="54" t="str">
        <x:v>MAT_DENSITY</x:v>
      </x:c>
      <x:c r="D174" s="54" t="str">
        <x:v>MAT_P_DENSITY</x:v>
      </x:c>
    </x:row>
    <x:row r="175">
      <x:c r="A175" s="54" t="str">
        <x:v>Property</x:v>
      </x:c>
      <x:c r="B175" s="54" t="n">
        <x:v>2</x:v>
      </x:c>
      <x:c r="C175" s="54" t="str">
        <x:v>MAT_RHO</x:v>
      </x:c>
      <x:c r="D175" s="54" t="str">
        <x:v>MAT_P_DENSITY</x:v>
      </x:c>
    </x:row>
    <x:row r="176">
      <x:c r="A176" s="54" t="str">
        <x:v>Property</x:v>
      </x:c>
      <x:c r="B176" s="54" t="n">
        <x:v>3</x:v>
      </x:c>
      <x:c r="C176" s="54" t="str">
        <x:v>MAT_E</x:v>
      </x:c>
      <x:c r="D176" s="54" t="str">
        <x:v>MAT_P_YOUNGS_MODULUS</x:v>
      </x:c>
    </x:row>
    <x:row r="177">
      <x:c r="A177" s="54" t="str">
        <x:v>Property</x:v>
      </x:c>
      <x:c r="B177" s="54" t="n">
        <x:v>4</x:v>
      </x:c>
      <x:c r="C177" s="54" t="str">
        <x:v>MAT_ELASTIC_MODULUS</x:v>
      </x:c>
      <x:c r="D177" s="54" t="str">
        <x:v>MAT_P_YOUNGS_MODULUS</x:v>
      </x:c>
    </x:row>
    <x:row r="178">
      <x:c r="A178" s="54" t="str">
        <x:v>Property</x:v>
      </x:c>
      <x:c r="B178" s="54" t="n">
        <x:v>5</x:v>
      </x:c>
      <x:c r="C178" s="54" t="str">
        <x:v>MAT_G</x:v>
      </x:c>
      <x:c r="D178" s="54" t="str">
        <x:v>MAT_P_SHEAR_MODULUS</x:v>
      </x:c>
    </x:row>
    <x:row r="179">
      <x:c r="A179" s="54" t="str">
        <x:v>Property</x:v>
      </x:c>
      <x:c r="B179" s="54" t="n">
        <x:v>6</x:v>
      </x:c>
      <x:c r="C179" s="54" t="str">
        <x:v>MAT_NU</x:v>
      </x:c>
      <x:c r="D179" s="54" t="str">
        <x:v>MAT_P_POISSON_RATIO</x:v>
      </x:c>
    </x:row>
    <x:row r="180">
      <x:c r="A180" s="54" t="str">
        <x:v>Property</x:v>
      </x:c>
      <x:c r="B180" s="54" t="n">
        <x:v>7</x:v>
      </x:c>
      <x:c r="C180" s="54" t="str">
        <x:v>MAT_YIELD</x:v>
      </x:c>
      <x:c r="D180" s="54" t="str">
        <x:v>MAT_P_YIELD_STRENGTH</x:v>
      </x:c>
    </x:row>
    <x:row r="181">
      <x:c r="A181" s="54" t="str">
        <x:v>Property</x:v>
      </x:c>
      <x:c r="B181" s="54" t="n">
        <x:v>8</x:v>
      </x:c>
      <x:c r="C181" s="54" t="str">
        <x:v>MAT_UTS</x:v>
      </x:c>
      <x:c r="D181" s="54" t="str">
        <x:v>MAT_P_TENSILE_STRENGTH</x:v>
      </x:c>
    </x:row>
    <x:row r="182">
      <x:c r="A182" s="54" t="str">
        <x:v>Property</x:v>
      </x:c>
      <x:c r="B182" s="54" t="n">
        <x:v>9</x:v>
      </x:c>
      <x:c r="C182" s="54" t="str">
        <x:v>MAT_COMPRESSIVE</x:v>
      </x:c>
      <x:c r="D182" s="54" t="str">
        <x:v>MAT_P_COMPRESSIVE_STRENGTH</x:v>
      </x:c>
    </x:row>
    <x:row r="183">
      <x:c r="A183" s="54" t="str">
        <x:v>Property</x:v>
      </x:c>
      <x:c r="B183" s="54" t="n">
        <x:v>10</x:v>
      </x:c>
      <x:c r="C183" s="54" t="str">
        <x:v>MAT_FLEXURAL</x:v>
      </x:c>
      <x:c r="D183" s="54" t="str">
        <x:v>MAT_P_FLEXURAL_STRENGTH</x:v>
      </x:c>
    </x:row>
    <x:row r="184">
      <x:c r="A184" s="54" t="str">
        <x:v>Property</x:v>
      </x:c>
      <x:c r="B184" s="54" t="n">
        <x:v>11</x:v>
      </x:c>
      <x:c r="C184" s="54" t="str">
        <x:v>MAT_ELONGATION</x:v>
      </x:c>
      <x:c r="D184" s="54" t="str">
        <x:v>MAT_P_ELONGATION</x:v>
      </x:c>
    </x:row>
    <x:row r="185">
      <x:c r="A185" s="54" t="str">
        <x:v>Property</x:v>
      </x:c>
      <x:c r="B185" s="54" t="n">
        <x:v>12</x:v>
      </x:c>
      <x:c r="C185" s="54" t="str">
        <x:v>MAT_KIC</x:v>
      </x:c>
      <x:c r="D185" s="54" t="str">
        <x:v>MAT_P_FRACTURE_TOUGHNESS</x:v>
      </x:c>
    </x:row>
    <x:row r="186">
      <x:c r="A186" s="54" t="str">
        <x:v>Property</x:v>
      </x:c>
      <x:c r="B186" s="54" t="n">
        <x:v>13</x:v>
      </x:c>
      <x:c r="C186" s="54" t="str">
        <x:v>MAT_THERMAL_K</x:v>
      </x:c>
      <x:c r="D186" s="54" t="str">
        <x:v>MAT_P_THERMAL_CONDUCTIVITY</x:v>
      </x:c>
    </x:row>
    <x:row r="187">
      <x:c r="A187" s="54" t="str">
        <x:v>Property</x:v>
      </x:c>
      <x:c r="B187" s="54" t="n">
        <x:v>14</x:v>
      </x:c>
      <x:c r="C187" s="54" t="str">
        <x:v>MAT_CP</x:v>
      </x:c>
      <x:c r="D187" s="54" t="str">
        <x:v>MAT_P_SPECIFIC_HEAT</x:v>
      </x:c>
    </x:row>
    <x:row r="188">
      <x:c r="A188" s="54" t="str">
        <x:v>Property</x:v>
      </x:c>
      <x:c r="B188" s="54" t="n">
        <x:v>15</x:v>
      </x:c>
      <x:c r="C188" s="54" t="str">
        <x:v>MAT_CTE</x:v>
      </x:c>
      <x:c r="D188" s="54" t="str">
        <x:v>MAT_P_CTE</x:v>
      </x:c>
    </x:row>
    <x:row r="189">
      <x:c r="A189" s="54" t="str">
        <x:v>Property</x:v>
      </x:c>
      <x:c r="B189" s="54" t="n">
        <x:v>16</x:v>
      </x:c>
      <x:c r="C189" s="54" t="str">
        <x:v>MAT_RESISTIVITY</x:v>
      </x:c>
      <x:c r="D189" s="54" t="str">
        <x:v>MAT_P_ELECTRICAL_RESISTIVITY</x:v>
      </x:c>
    </x:row>
    <x:row r="190">
      <x:c r="A190" s="54" t="str">
        <x:v>Property</x:v>
      </x:c>
      <x:c r="B190" s="54" t="n">
        <x:v>17</x:v>
      </x:c>
      <x:c r="C190" s="54" t="str">
        <x:v>MAT_TRANSITION_T</x:v>
      </x:c>
      <x:c r="D190" s="54" t="str">
        <x:v>MAT_P_TRANSITION_TEMPERATURE</x:v>
      </x:c>
    </x:row>
    <x:row r="191">
      <x:c r="A191" s="54" t="str">
        <x:v>Property</x:v>
      </x:c>
      <x:c r="B191" s="54" t="n">
        <x:v>18</x:v>
      </x:c>
      <x:c r="C191" s="54" t="str">
        <x:v>MAT_MAX_SERVICE_T</x:v>
      </x:c>
      <x:c r="D191" s="54" t="str">
        <x:v>MAT_P_MAX_SERVICE_TEMPERATURE</x:v>
      </x:c>
    </x:row>
    <x:row r="192">
      <x:c r="A192" s="54" t="str">
        <x:v>Property</x:v>
      </x:c>
      <x:c r="B192" s="54" t="n">
        <x:v>19</x:v>
      </x:c>
      <x:c r="C192" s="54" t="str">
        <x:v>MAT_HV</x:v>
      </x:c>
      <x:c r="D192" s="54" t="str">
        <x:v>MAT_P_HARDNESS_VICKERS</x:v>
      </x:c>
    </x:row>
    <x:row r="193">
      <x:c r="A193" s="54" t="str">
        <x:v>Property</x:v>
      </x:c>
      <x:c r="B193" s="54" t="n">
        <x:v>20</x:v>
      </x:c>
      <x:c r="C193" s="54" t="str">
        <x:v>MAT_K_BULK</x:v>
      </x:c>
      <x:c r="D193" s="54" t="str">
        <x:v>MAT_P_BULK_MODULUS</x:v>
      </x:c>
    </x:row>
  </x:sheetData>
  <x:pageMargins left="0.7" right="0.7" top="0.75" bottom="0.75" header="0.3" footer="0.3"/>
  <x:tableParts count="1">
    <x:tablePart xmlns:r="http://schemas.openxmlformats.org/officeDocument/2006/relationships" r:id="R3fbc1b09b38d40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3" hidden="0" customWidth="1"/>
    <x:col min="3" max="3" width="58" hidden="0" customWidth="1"/>
  </x:cols>
  <x:sheetData>
    <x:row r="1" ht="34" customHeight="1">
      <x:c r="A1" s="102" t="str">
        <x:v>Key</x:v>
      </x:c>
      <x:c r="B1" s="102" t="str">
        <x:v>Value</x:v>
      </x:c>
      <x:c r="C1" s="102" t="str">
        <x:v>Purpose</x:v>
      </x:c>
    </x:row>
    <x:row r="2">
      <x:c r="A2" s="54" t="str">
        <x:v>Dataset_ID</x:v>
      </x:c>
      <x:c r="B2" s="54" t="str">
        <x:v>DRAT_ENGINEERING_MATERIALS</x:v>
      </x:c>
      <x:c r="C2" s="54" t="str">
        <x:v>Stable workbook identity</x:v>
      </x:c>
    </x:row>
    <x:row r="3">
      <x:c r="A3" s="54" t="str">
        <x:v>Schema_Version</x:v>
      </x:c>
      <x:c r="B3" s="54" t="str">
        <x:v>1.3.0</x:v>
      </x:c>
      <x:c r="C3" s="54" t="str">
        <x:v>Workbook contract version</x:v>
      </x:c>
    </x:row>
    <x:row r="4">
      <x:c r="A4" s="54" t="str">
        <x:v>Library_Name</x:v>
      </x:c>
      <x:c r="B4" s="54" t="str">
        <x:v>Common Engineering Materials Library</x:v>
      </x:c>
      <x:c r="C4" s="54" t="str">
        <x:v>Generated CalcPad component name</x:v>
      </x:c>
    </x:row>
    <x:row r="5">
      <x:c r="A5" s="54" t="str">
        <x:v>Library_Revision</x:v>
      </x:c>
      <x:c r="B5" s="54" t="str">
        <x:v>1.7.0</x:v>
      </x:c>
      <x:c r="C5" s="54" t="str">
        <x:v>Generated library semantic version</x:v>
      </x:c>
    </x:row>
    <x:row r="6">
      <x:c r="A6" s="54" t="str">
        <x:v>Library_Date</x:v>
      </x:c>
      <x:c r="B6" s="54" t="str">
        <x:v>2026-08-23</x:v>
      </x:c>
      <x:c r="C6" s="54" t="str">
        <x:v>Generated library revision date</x:v>
      </x:c>
    </x:row>
    <x:row r="7">
      <x:c r="A7" s="54" t="str">
        <x:v>Records_Sheet</x:v>
      </x:c>
      <x:c r="B7" s="54" t="str">
        <x:v>Materials</x:v>
      </x:c>
      <x:c r="C7" s="54" t="str">
        <x:v>Workbook-owned material records</x:v>
      </x:c>
    </x:row>
    <x:row r="8">
      <x:c r="A8" s="54" t="str">
        <x:v>Properties_Sheet</x:v>
      </x:c>
      <x:c r="B8" s="54" t="str">
        <x:v>Property Dictionary</x:v>
      </x:c>
      <x:c r="C8" s="54" t="str">
        <x:v>Workbook-owned property schema</x:v>
      </x:c>
    </x:row>
    <x:row r="9">
      <x:c r="A9" s="54" t="str">
        <x:v>Sources_Sheet</x:v>
      </x:c>
      <x:c r="B9" s="54" t="str">
        <x:v>Sources</x:v>
      </x:c>
      <x:c r="C9" s="54" t="str">
        <x:v>Workbook-owned source registry</x:v>
      </x:c>
    </x:row>
    <x:row r="10">
      <x:c r="A10" s="54" t="str">
        <x:v>Citations_Sheet</x:v>
      </x:c>
      <x:c r="B10" s="54" t="str">
        <x:v>Citations</x:v>
      </x:c>
      <x:c r="C10" s="54" t="str">
        <x:v>Workbook-owned citation registry</x:v>
      </x:c>
    </x:row>
    <x:row r="11">
      <x:c r="A11" s="54" t="str">
        <x:v>Provenance_Sheet</x:v>
      </x:c>
      <x:c r="B11" s="54" t="str">
        <x:v>Property Provenance</x:v>
      </x:c>
      <x:c r="C11" s="54" t="str">
        <x:v>One provenance row per populated material-property value</x:v>
      </x:c>
    </x:row>
    <x:row r="12">
      <x:c r="A12" s="54" t="str">
        <x:v>Aliases_Sheet</x:v>
      </x:c>
      <x:c r="B12" s="54" t="str">
        <x:v>Aliases</x:v>
      </x:c>
      <x:c r="C12" s="54" t="str">
        <x:v>Workbook-owned public constant aliases</x:v>
      </x:c>
    </x:row>
    <x:row r="13">
      <x:c r="A13" s="54" t="str">
        <x:v>Categories_Sheet</x:v>
      </x:c>
      <x:c r="B13" s="54" t="str">
        <x:v>Categories</x:v>
      </x:c>
      <x:c r="C13" s="54" t="str">
        <x:v>Workbook-owned runtime category mapping</x:v>
      </x:c>
    </x:row>
    <x:row r="14">
      <x:c r="A14" s="54" t="str">
        <x:v>Export_Sheet</x:v>
      </x:c>
      <x:c r="B14" s="54" t="str">
        <x:v>CPD Numeric Export</x:v>
      </x:c>
      <x:c r="C14" s="54" t="str">
        <x:v>Auditable numeric export in property-ID order</x:v>
      </x:c>
    </x:row>
    <x:row r="15">
      <x:c r="A15" s="54" t="str">
        <x:v>Missing_Value</x:v>
      </x:c>
      <x:c r="B15" s="54" t="str">
        <x:v>DB_MISSING</x:v>
      </x:c>
      <x:c r="C15" s="54" t="str">
        <x:v>CalcPad token emitted for blank numeric cells</x:v>
      </x:c>
    </x:row>
    <x:row r="16">
      <x:c r="A16" s="54" t="str">
        <x:v>Classification</x:v>
      </x:c>
      <x:c r="B16" s="54" t="str">
        <x:v>MAT_CLASS_SCREENING</x:v>
      </x:c>
      <x:c r="C16" s="54" t="str">
        <x:v>Current dataset classification</x:v>
      </x:c>
    </x:row>
    <x:row r="17">
      <x:c r="A17" s="54" t="str">
        <x:v>Data_Revision</x:v>
      </x:c>
      <x:c r="B17" s="54" t="n">
        <x:v>3</x:v>
      </x:c>
      <x:c r="C17" s="54" t="str">
        <x:v>Positive integer written to every material metadata record</x:v>
      </x:c>
    </x:row>
    <x:row r="18">
      <x:c r="A18" s="54" t="str">
        <x:v>Minimum_Release_Provenance_Level</x:v>
      </x:c>
      <x:c r="B18" s="54" t="n">
        <x:v>3</x:v>
      </x:c>
      <x:c r="C18" s="54" t="str">
        <x:v>Minimum level required by release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845254c95ad2435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48" hidden="0" customWidth="1"/>
    <x:col min="4" max="4" width="52" hidden="0" customWidth="1"/>
    <x:col min="5" max="5" width="65" hidden="0" customWidth="1"/>
    <x:col min="6" max="6" width="72" hidden="0" customWidth="1"/>
    <x:col min="7" max="7" width="22" hidden="0" customWidth="1"/>
    <x:col min="8" max="8" width="72" hidden="0" customWidth="1"/>
  </x:cols>
  <x:sheetData>
    <x:row r="1" ht="34" customHeight="1">
      <x:c r="A1" s="118" t="str">
        <x:v>Citation_ID</x:v>
      </x:c>
      <x:c r="B1" s="118" t="str">
        <x:v>Source_ID</x:v>
      </x:c>
      <x:c r="C1" s="118" t="str">
        <x:v>Citation_Title</x:v>
      </x:c>
      <x:c r="D1" s="118" t="str">
        <x:v>Edition_or_Revision</x:v>
      </x:c>
      <x:c r="E1" s="118" t="str">
        <x:v>Locator</x:v>
      </x:c>
      <x:c r="F1" s="118" t="str">
        <x:v>URL</x:v>
      </x:c>
      <x:c r="G1" s="118" t="str">
        <x:v>Qualification_Status</x:v>
      </x:c>
      <x:c r="H1" s="118" t="str">
        <x:v>Notes</x:v>
      </x:c>
    </x:row>
    <x:row r="2">
      <x:c r="A2" s="54" t="n">
        <x:v>1</x:v>
      </x:c>
      <x:c r="B2" s="54" t="n">
        <x:v>1</x:v>
      </x:c>
      <x:c r="C2" s="103" t="str">
        <x:v>MatWeb public materials database</x:v>
      </x:c>
      <x:c r="D2" s="103"/>
      <x:c r="E2" s="103"/>
      <x:c r="F2" s="103" t="str">
        <x:v>https://www.matweb.com/search/MaterialGroupSearch.aspx</x:v>
      </x:c>
      <x:c r="G2" s="103" t="str">
        <x:v>Source-only</x:v>
      </x:c>
      <x:c r="H2" s="103" t="str">
        <x:v>Portal-level source retained from the legacy material row. Add a stable edition or revision and a record locator before raising qualification.</x:v>
      </x:c>
    </x:row>
    <x:row r="3">
      <x:c r="A3" s="54" t="n">
        <x:v>2</x:v>
      </x:c>
      <x:c r="B3" s="54" t="n">
        <x:v>2</x:v>
      </x:c>
      <x:c r="C3" s="103" t="str">
        <x:v>Outokumpu stainless steel grades</x:v>
      </x:c>
      <x:c r="D3" s="103"/>
      <x:c r="E3" s="103"/>
      <x:c r="F3" s="103" t="str">
        <x:v>https://www.outokumpu.com/en/products/stainless-steel/grades</x:v>
      </x:c>
      <x:c r="G3" s="103" t="str">
        <x:v>Source-only</x:v>
      </x:c>
      <x:c r="H3" s="103" t="str">
        <x:v>Portal-level source retained from the legacy material row. Add a stable edition or revision and a record locator before raising qualification.</x:v>
      </x:c>
    </x:row>
    <x:row r="4">
      <x:c r="A4" s="54" t="n">
        <x:v>3</x:v>
      </x:c>
      <x:c r="B4" s="54" t="n">
        <x:v>3</x:v>
      </x:c>
      <x:c r="C4" s="103" t="str">
        <x:v>Copper Development Association alloy database</x:v>
      </x:c>
      <x:c r="D4" s="103"/>
      <x:c r="E4" s="103"/>
      <x:c r="F4" s="103" t="str">
        <x:v>https://www.copper.org/resources/properties/db/</x:v>
      </x:c>
      <x:c r="G4" s="103" t="str">
        <x:v>Source-only</x:v>
      </x:c>
      <x:c r="H4" s="103" t="str">
        <x:v>Portal-level source retained from the legacy material row. Add a stable edition or revision and a record locator before raising qualification.</x:v>
      </x:c>
    </x:row>
    <x:row r="5">
      <x:c r="A5" s="54" t="n">
        <x:v>4</x:v>
      </x:c>
      <x:c r="B5" s="54" t="n">
        <x:v>4</x:v>
      </x:c>
      <x:c r="C5" s="103" t="str">
        <x:v>Special Metals product literature</x:v>
      </x:c>
      <x:c r="D5" s="103"/>
      <x:c r="E5" s="103"/>
      <x:c r="F5" s="103" t="str">
        <x:v>https://www.specialmetals.com/documents/</x:v>
      </x:c>
      <x:c r="G5" s="103" t="str">
        <x:v>Source-only</x:v>
      </x:c>
      <x:c r="H5" s="103" t="str">
        <x:v>Portal-level source retained from the legacy material row. Add a stable edition or revision and a record locator before raising qualification.</x:v>
      </x:c>
    </x:row>
    <x:row r="6">
      <x:c r="A6" s="54" t="n">
        <x:v>5</x:v>
      </x:c>
      <x:c r="B6" s="54" t="n">
        <x:v>5</x:v>
      </x:c>
      <x:c r="C6" s="103" t="str">
        <x:v>CAMPUS plastics database</x:v>
      </x:c>
      <x:c r="D6" s="103"/>
      <x:c r="E6" s="103"/>
      <x:c r="F6" s="103" t="str">
        <x:v>https://www.campusplastics.com/</x:v>
      </x:c>
      <x:c r="G6" s="103" t="str">
        <x:v>Source-only</x:v>
      </x:c>
      <x:c r="H6" s="103" t="str">
        <x:v>Portal-level source retained from the legacy material row. Add a stable edition or revision and a record locator before raising qualification.</x:v>
      </x:c>
    </x:row>
    <x:row r="7">
      <x:c r="A7" s="54" t="n">
        <x:v>6</x:v>
      </x:c>
      <x:c r="B7" s="54" t="n">
        <x:v>6</x:v>
      </x:c>
      <x:c r="C7" s="103" t="str">
        <x:v>NIST Structural Ceramics Database</x:v>
      </x:c>
      <x:c r="D7" s="103"/>
      <x:c r="E7" s="103"/>
      <x:c r="F7" s="103" t="str">
        <x:v>https://srdata.nist.gov/CeramicDataPortal/scd</x:v>
      </x:c>
      <x:c r="G7" s="103" t="str">
        <x:v>Source-only</x:v>
      </x:c>
      <x:c r="H7" s="103" t="str">
        <x:v>Portal-level source retained from the legacy material row. Add a stable edition or revision and a record locator before raising qualification.</x:v>
      </x:c>
    </x:row>
    <x:row r="8">
      <x:c r="A8" s="54" t="n">
        <x:v>7</x:v>
      </x:c>
      <x:c r="B8" s="54" t="n">
        <x:v>7</x:v>
      </x:c>
      <x:c r="C8" s="103" t="str">
        <x:v>USDA Wood Handbook: Wood as an Engineering Material</x:v>
      </x:c>
      <x:c r="D8" s="103"/>
      <x:c r="E8" s="103"/>
      <x:c r="F8" s="103" t="str">
        <x:v>https://research.fs.usda.gov/fpl/wood-handbook</x:v>
      </x:c>
      <x:c r="G8" s="103" t="str">
        <x:v>Source-only</x:v>
      </x:c>
      <x:c r="H8" s="103" t="str">
        <x:v>Portal-level source retained from the legacy material row. Add a stable edition or revision and a record locator before raising qualification.</x:v>
      </x:c>
    </x:row>
    <x:row r="9">
      <x:c r="A9" s="54" t="n">
        <x:v>8</x:v>
      </x:c>
      <x:c r="B9" s="54" t="n">
        <x:v>8</x:v>
      </x:c>
      <x:c r="C9" s="103" t="str">
        <x:v>FHWA PCC pavement materials reference</x:v>
      </x:c>
      <x:c r="D9" s="103"/>
      <x:c r="E9" s="103"/>
      <x:c r="F9" s="103" t="str">
        <x:v>https://www.fhwa.dot.gov/publications/research/infrastructure/pavements/pccp/04127/appa.cfm</x:v>
      </x:c>
      <x:c r="G9" s="103" t="str">
        <x:v>Source-only</x:v>
      </x:c>
      <x:c r="H9" s="103" t="str">
        <x:v>Portal-level source retained from the legacy material row. Add a stable edition or revision and a record locator before raising qualification.</x:v>
      </x:c>
    </x:row>
    <x:row r="10">
      <x:c r="A10" s="54" t="n">
        <x:v>9</x:v>
      </x:c>
      <x:c r="B10" s="54" t="n">
        <x:v>9</x:v>
      </x:c>
      <x:c r="C10" s="103" t="str">
        <x:v>Hexcel product data sheets</x:v>
      </x:c>
      <x:c r="D10" s="103"/>
      <x:c r="E10" s="103"/>
      <x:c r="F10" s="103" t="str">
        <x:v>https://www.hexcel.com/Resources/DataSheets/</x:v>
      </x:c>
      <x:c r="G10" s="103" t="str">
        <x:v>Source-only</x:v>
      </x:c>
      <x:c r="H10" s="103" t="str">
        <x:v>Portal-level source retained from the legacy material row. Add a stable edition or revision and a record locator before raising qualification.</x:v>
      </x:c>
    </x:row>
    <x:row r="11">
      <x:c r="A11" s="54" t="n">
        <x:v>10</x:v>
      </x:c>
      <x:c r="B11" s="54" t="n">
        <x:v>10</x:v>
      </x:c>
      <x:c r="C11" s="103" t="str">
        <x:v>The Aluminum Association alloy overview</x:v>
      </x:c>
      <x:c r="D11" s="103"/>
      <x:c r="E11" s="103"/>
      <x:c r="F11" s="103" t="str">
        <x:v>https://www.aluminum.org/industry-standards/aluminum-alloys-101</x:v>
      </x:c>
      <x:c r="G11" s="103" t="str">
        <x:v>Source-only</x:v>
      </x:c>
      <x:c r="H11" s="103" t="str">
        <x:v>Portal-level source retained from the legacy material row. Add a stable edition or revision and a record locator before raising qualification.</x:v>
      </x:c>
    </x:row>
    <x:row r="12">
      <x:c r="A12" s="54" t="n">
        <x:v>11</x:v>
      </x:c>
      <x:c r="B12" s="54" t="n">
        <x:v>11</x:v>
      </x:c>
      <x:c r="C12" s="103" t="str">
        <x:v>NIST TPSX Materials Properties Database</x:v>
      </x:c>
      <x:c r="D12" s="103"/>
      <x:c r="E12" s="103"/>
      <x:c r="F12" s="103" t="str">
        <x:v>https://tpsx.arc.nasa.gov/</x:v>
      </x:c>
      <x:c r="G12" s="103" t="str">
        <x:v>Source-only</x:v>
      </x:c>
      <x:c r="H12" s="103" t="str">
        <x:v>Portal-level source retained from the legacy material row. Add a stable edition or revision and a record locator before raising qualification.</x:v>
      </x:c>
    </x:row>
    <x:row r="13">
      <x:c r="A13" s="54" t="n">
        <x:v>12</x:v>
      </x:c>
      <x:c r="B13" s="54" t="n">
        <x:v>2</x:v>
      </x:c>
      <x:c r="C13" s="103" t="str">
        <x:v>Outokumpu Forta Duplex datasheet — ASTM A240 mechanical properties</x:v>
      </x:c>
      <x:c r="D13" s="103" t="str">
        <x:v>CMS revision a7abe2a9-7ebb-45aa-88bf-ce0e9d4aca12; modified 2025-11-17</x:v>
      </x:c>
      <x:c r="E13" s="103" t="str">
        <x:v>Printed p. 11, Table 6, Forta DX 2205 / UNS S32205 plate, sheet and strip row</x:v>
      </x:c>
      <x:c r="F13" s="103" t="str">
        <x:v>https://www.outokumpu.com/-/media/files/products/forta/outokumpu-forta-range-datasheet.pdf?modified=20251117111938&amp;revision=a7abe2a9-7ebb-45aa-88bf-ce0e9d4aca12</x:v>
      </x:c>
      <x:c r="G13" s="103" t="str">
        <x:v>Property-record</x:v>
      </x:c>
      <x:c r="H13" s="103" t="str">
        <x:v>Yield strength, tensile strength, and elongation are individually identified by the property-provenance Evidence_Basis.</x:v>
      </x:c>
    </x:row>
    <x:row r="14">
      <x:c r="A14" s="54" t="n">
        <x:v>13</x:v>
      </x:c>
      <x:c r="B14" s="54" t="n">
        <x:v>2</x:v>
      </x:c>
      <x:c r="C14" s="103" t="str">
        <x:v>Outokumpu Forta Duplex datasheet — physical properties</x:v>
      </x:c>
      <x:c r="D14" s="103" t="str">
        <x:v>CMS revision a7abe2a9-7ebb-45aa-88bf-ce0e9d4aca12; modified 2025-11-17</x:v>
      </x:c>
      <x:c r="E14" s="103" t="str">
        <x:v>Printed p. 13, Tables 9 and 11, Forta DX 2205 row and 20 C column</x:v>
      </x:c>
      <x:c r="F14" s="103" t="str">
        <x:v>https://www.outokumpu.com/-/media/files/products/forta/outokumpu-forta-range-datasheet.pdf?modified=20251117111938&amp;revision=a7abe2a9-7ebb-45aa-88bf-ce0e9d4aca12</x:v>
      </x:c>
      <x:c r="G14" s="103" t="str">
        <x:v>Property-record</x:v>
      </x:c>
      <x:c r="H14" s="103" t="str">
        <x:v>Room-temperature physical properties and formula inputs are individually identified by the property-provenance Evidence_Basis.</x:v>
      </x:c>
    </x:row>
    <x:row r="15">
      <x:c r="A15" s="54" t="n">
        <x:v>14</x:v>
      </x:c>
      <x:c r="B15" s="54" t="n">
        <x:v>2</x:v>
      </x:c>
      <x:c r="C15" s="103" t="str">
        <x:v>Outokumpu Core range datasheet — Core 304/4301 and 304L/4307 mechanical properties</x:v>
      </x:c>
      <x:c r="D15" s="103" t="str">
        <x:v>CMS revision 025e9931-a1d5-4c8f-8ff5-f881d38916da; modified 2025-11-17</x:v>
      </x:c>
      <x:c r="E15" s="103" t="str">
        <x:v>PDF page 8 of 16, Table 5, cold rolled coil and sheet rows for Core 304/4301 and Core 304L/4307</x:v>
      </x:c>
      <x:c r="F15" s="103" t="str">
        <x:v>https://www.outokumpu.com/-/media/files/products/core/outokumpu-core-range-datasheet.pdf?modified=20251117111909&amp;revision=025e9931-a1d5-4c8f-8ff5-f881d38916da</x:v>
      </x:c>
      <x:c r="G15" s="103" t="str">
        <x:v>Property-record</x:v>
      </x:c>
      <x:c r="H15" s="103" t="str">
        <x:v>EN 10088-2 yield strength, tensile-strength range lower bound, and elongation are mapped separately in Property Provenance.</x:v>
      </x:c>
    </x:row>
    <x:row r="16">
      <x:c r="A16" s="54" t="n">
        <x:v>15</x:v>
      </x:c>
      <x:c r="B16" s="54" t="n">
        <x:v>2</x:v>
      </x:c>
      <x:c r="C16" s="103" t="str">
        <x:v>Outokumpu Core range datasheet — Core 304/4301 and 304L/4307 physical properties</x:v>
      </x:c>
      <x:c r="D16" s="103" t="str">
        <x:v>CMS revision 025e9931-a1d5-4c8f-8ff5-f881d38916da; modified 2025-11-17</x:v>
      </x:c>
      <x:c r="E16" s="103" t="str">
        <x:v>PDF page 10 of 16, Table 7, Core 304/4301 and Core 304L/4307 rows</x:v>
      </x:c>
      <x:c r="F16" s="103" t="str">
        <x:v>https://www.outokumpu.com/-/media/files/products/core/outokumpu-core-range-datasheet.pdf?modified=20251117111909&amp;revision=025e9931-a1d5-4c8f-8ff5-f881d38916da</x:v>
      </x:c>
      <x:c r="G16" s="103" t="str">
        <x:v>Property-record</x:v>
      </x:c>
      <x:c r="H16" s="103" t="str">
        <x:v>Room-temperature density, elastic modulus, thermal, and electrical properties are mapped separately in Property Provenance.</x:v>
      </x:c>
    </x:row>
  </x:sheetData>
  <x:pageMargins left="0.7" right="0.7" top="0.75" bottom="0.75" header="0.3" footer="0.3"/>
  <x:tableParts count="1">
    <x:tablePart xmlns:r="http://schemas.openxmlformats.org/officeDocument/2006/relationships" r:id="R256222e77a5a47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78" hidden="0" customWidth="1"/>
    <x:col min="6" max="6" width="78" hidden="0" customWidth="1"/>
  </x:cols>
  <x:sheetData>
    <x:row r="1" ht="34" customHeight="1">
      <x:c r="A1" s="118" t="str">
        <x:v>Material_ID</x:v>
      </x:c>
      <x:c r="B1" s="118" t="str">
        <x:v>Property_ID</x:v>
      </x:c>
      <x:c r="C1" s="118" t="str">
        <x:v>Citation_ID</x:v>
      </x:c>
      <x:c r="D1" s="118" t="str">
        <x:v>Qualification_Level</x:v>
      </x:c>
      <x:c r="E1" s="118" t="str">
        <x:v>Evidence_Basis</x:v>
      </x:c>
      <x:c r="F1" s="118" t="str">
        <x:v>Notes</x:v>
      </x:c>
    </x:row>
    <x:row r="2">
      <x:c r="A2" s="54" t="n">
        <x:v>1001</x:v>
      </x:c>
      <x:c r="B2" s="54" t="n">
        <x:v>1</x:v>
      </x:c>
      <x:c r="C2" s="54" t="n">
        <x:v>1</x:v>
      </x:c>
      <x:c r="D2" s="54" t="n">
        <x:v>1</x:v>
      </x:c>
      <x:c r="E2" s="103" t="str">
        <x:v>Material-row source portal</x:v>
      </x:c>
      <x:c r="F2" s="103" t="str">
        <x:v>Source portal is identified, but edition/revision and property record locator remain unresolved.</x:v>
      </x:c>
    </x:row>
    <x:row r="3">
      <x:c r="A3" s="54" t="n">
        <x:v>1001</x:v>
      </x:c>
      <x:c r="B3" s="54" t="n">
        <x:v>2</x:v>
      </x:c>
      <x:c r="C3" s="54" t="n">
        <x:v>1</x:v>
      </x:c>
      <x:c r="D3" s="54" t="n">
        <x:v>1</x:v>
      </x:c>
      <x:c r="E3" s="103" t="str">
        <x:v>Material-row source portal</x:v>
      </x:c>
      <x:c r="F3" s="103" t="str">
        <x:v>Source portal is identified, but edition/revision and property record locator remain unresolved.</x:v>
      </x:c>
    </x:row>
    <x:row r="4">
      <x:c r="A4" s="54" t="n">
        <x:v>1001</x:v>
      </x:c>
      <x:c r="B4" s="54" t="n">
        <x:v>3</x:v>
      </x:c>
      <x:c r="C4" s="54" t="n">
        <x:v>1</x:v>
      </x:c>
      <x:c r="D4" s="54" t="n">
        <x:v>1</x:v>
      </x:c>
      <x:c r="E4" s="103" t="str">
        <x:v>Formula-derived from E and Poisson ratio; input records inherit the material-row source</x:v>
      </x:c>
      <x:c r="F4" s="103" t="str">
        <x:v>Source portal is identified, but edition/revision and property record locator remain unresolved.</x:v>
      </x:c>
    </x:row>
    <x:row r="5">
      <x:c r="A5" s="54" t="n">
        <x:v>1001</x:v>
      </x:c>
      <x:c r="B5" s="54" t="n">
        <x:v>4</x:v>
      </x:c>
      <x:c r="C5" s="54" t="n">
        <x:v>1</x:v>
      </x:c>
      <x:c r="D5" s="54" t="n">
        <x:v>1</x:v>
      </x:c>
      <x:c r="E5" s="103" t="str">
        <x:v>Material-row source portal</x:v>
      </x:c>
      <x:c r="F5" s="103" t="str">
        <x:v>Source portal is identified, but edition/revision and property record locator remain unresolved.</x:v>
      </x:c>
    </x:row>
    <x:row r="6">
      <x:c r="A6" s="54" t="n">
        <x:v>1001</x:v>
      </x:c>
      <x:c r="B6" s="54" t="n">
        <x:v>5</x:v>
      </x:c>
      <x:c r="C6" s="54" t="n">
        <x:v>1</x:v>
      </x:c>
      <x:c r="D6" s="54" t="n">
        <x:v>1</x:v>
      </x:c>
      <x:c r="E6" s="103" t="str">
        <x:v>Material-row source portal</x:v>
      </x:c>
      <x:c r="F6" s="103" t="str">
        <x:v>Source portal is identified, but edition/revision and property record locator remain unresolved.</x:v>
      </x:c>
    </x:row>
    <x:row r="7">
      <x:c r="A7" s="54" t="n">
        <x:v>1001</x:v>
      </x:c>
      <x:c r="B7" s="54" t="n">
        <x:v>6</x:v>
      </x:c>
      <x:c r="C7" s="54" t="n">
        <x:v>1</x:v>
      </x:c>
      <x:c r="D7" s="54" t="n">
        <x:v>1</x:v>
      </x:c>
      <x:c r="E7" s="103" t="str">
        <x:v>Material-row source portal</x:v>
      </x:c>
      <x:c r="F7" s="103" t="str">
        <x:v>Source portal is identified, but edition/revision and property record locator remain unresolved.</x:v>
      </x:c>
    </x:row>
    <x:row r="8">
      <x:c r="A8" s="54" t="n">
        <x:v>1001</x:v>
      </x:c>
      <x:c r="B8" s="54" t="n">
        <x:v>9</x:v>
      </x:c>
      <x:c r="C8" s="54" t="n">
        <x:v>1</x:v>
      </x:c>
      <x:c r="D8" s="54" t="n">
        <x:v>1</x:v>
      </x:c>
      <x:c r="E8" s="103" t="str">
        <x:v>Material-row source portal</x:v>
      </x:c>
      <x:c r="F8" s="103" t="str">
        <x:v>Source portal is identified, but edition/revision and property record locator remain unresolved.</x:v>
      </x:c>
    </x:row>
    <x:row r="9">
      <x:c r="A9" s="54" t="n">
        <x:v>1001</x:v>
      </x:c>
      <x:c r="B9" s="54" t="n">
        <x:v>10</x:v>
      </x:c>
      <x:c r="C9" s="54" t="n">
        <x:v>1</x:v>
      </x:c>
      <x:c r="D9" s="54" t="n">
        <x:v>1</x:v>
      </x:c>
      <x:c r="E9" s="103" t="str">
        <x:v>Material-row source portal</x:v>
      </x:c>
      <x:c r="F9" s="103" t="str">
        <x:v>Source portal is identified, but edition/revision and property record locator remain unresolved.</x:v>
      </x:c>
    </x:row>
    <x:row r="10">
      <x:c r="A10" s="54" t="n">
        <x:v>1001</x:v>
      </x:c>
      <x:c r="B10" s="54" t="n">
        <x:v>11</x:v>
      </x:c>
      <x:c r="C10" s="54" t="n">
        <x:v>1</x:v>
      </x:c>
      <x:c r="D10" s="54" t="n">
        <x:v>1</x:v>
      </x:c>
      <x:c r="E10" s="103" t="str">
        <x:v>Material-row source portal</x:v>
      </x:c>
      <x:c r="F10" s="103" t="str">
        <x:v>Source portal is identified, but edition/revision and property record locator remain unresolved.</x:v>
      </x:c>
    </x:row>
    <x:row r="11">
      <x:c r="A11" s="54" t="n">
        <x:v>1001</x:v>
      </x:c>
      <x:c r="B11" s="54" t="n">
        <x:v>12</x:v>
      </x:c>
      <x:c r="C11" s="54" t="n">
        <x:v>1</x:v>
      </x:c>
      <x:c r="D11" s="54" t="n">
        <x:v>1</x:v>
      </x:c>
      <x:c r="E11" s="103" t="str">
        <x:v>Material-row source portal</x:v>
      </x:c>
      <x:c r="F11" s="103" t="str">
        <x:v>Source portal is identified, but edition/revision and property record locator remain unresolved.</x:v>
      </x:c>
    </x:row>
    <x:row r="12">
      <x:c r="A12" s="54" t="n">
        <x:v>1001</x:v>
      </x:c>
      <x:c r="B12" s="54" t="n">
        <x:v>13</x:v>
      </x:c>
      <x:c r="C12" s="54" t="n">
        <x:v>1</x:v>
      </x:c>
      <x:c r="D12" s="54" t="n">
        <x:v>1</x:v>
      </x:c>
      <x:c r="E12" s="103" t="str">
        <x:v>Material-row source portal</x:v>
      </x:c>
      <x:c r="F12" s="103" t="str">
        <x:v>Source portal is identified, but edition/revision and property record locator remain unresolved.</x:v>
      </x:c>
    </x:row>
    <x:row r="13">
      <x:c r="A13" s="54" t="n">
        <x:v>1001</x:v>
      </x:c>
      <x:c r="B13" s="54" t="n">
        <x:v>14</x:v>
      </x:c>
      <x:c r="C13" s="54" t="n">
        <x:v>1</x:v>
      </x:c>
      <x:c r="D13" s="54" t="n">
        <x:v>1</x:v>
      </x:c>
      <x:c r="E13" s="103" t="str">
        <x:v>Material-row source portal</x:v>
      </x:c>
      <x:c r="F13" s="103" t="str">
        <x:v>Source portal is identified, but edition/revision and property record locator remain unresolved.</x:v>
      </x:c>
    </x:row>
    <x:row r="14">
      <x:c r="A14" s="54" t="n">
        <x:v>1001</x:v>
      </x:c>
      <x:c r="B14" s="54" t="n">
        <x:v>15</x:v>
      </x:c>
      <x:c r="C14" s="54" t="n">
        <x:v>1</x:v>
      </x:c>
      <x:c r="D14" s="54" t="n">
        <x:v>1</x:v>
      </x:c>
      <x:c r="E14" s="103" t="str">
        <x:v>Material-row source portal</x:v>
      </x:c>
      <x:c r="F14" s="103" t="str">
        <x:v>Source portal is identified, but edition/revision and property record locator remain unresolved.</x:v>
      </x:c>
    </x:row>
    <x:row r="15">
      <x:c r="A15" s="54" t="n">
        <x:v>1001</x:v>
      </x:c>
      <x:c r="B15" s="54" t="n">
        <x:v>16</x:v>
      </x:c>
      <x:c r="C15" s="54" t="n">
        <x:v>1</x:v>
      </x:c>
      <x:c r="D15" s="54" t="n">
        <x:v>1</x:v>
      </x:c>
      <x:c r="E15" s="103" t="str">
        <x:v>Material-row source portal</x:v>
      </x:c>
      <x:c r="F15" s="103" t="str">
        <x:v>Source portal is identified, but edition/revision and property record locator remain unresolved.</x:v>
      </x:c>
    </x:row>
    <x:row r="16">
      <x:c r="A16" s="54" t="n">
        <x:v>1001</x:v>
      </x:c>
      <x:c r="B16" s="54" t="n">
        <x:v>17</x:v>
      </x:c>
      <x:c r="C16" s="54" t="n">
        <x:v>1</x:v>
      </x:c>
      <x:c r="D16" s="54" t="n">
        <x:v>1</x:v>
      </x:c>
      <x:c r="E16" s="103" t="str">
        <x:v>Material-row source portal</x:v>
      </x:c>
      <x:c r="F16" s="103" t="str">
        <x:v>Source portal is identified, but edition/revision and property record locator remain unresolved.</x:v>
      </x:c>
    </x:row>
    <x:row r="17">
      <x:c r="A17" s="54" t="n">
        <x:v>1001</x:v>
      </x:c>
      <x:c r="B17" s="54" t="n">
        <x:v>18</x:v>
      </x:c>
      <x:c r="C17" s="54" t="n">
        <x:v>1</x:v>
      </x:c>
      <x:c r="D17" s="54" t="n">
        <x:v>1</x:v>
      </x:c>
      <x:c r="E17" s="103" t="str">
        <x:v>Formula-derived from E and Poisson ratio; input records inherit the material-row source</x:v>
      </x:c>
      <x:c r="F17" s="103" t="str">
        <x:v>Source portal is identified, but edition/revision and property record locator remain unresolved.</x:v>
      </x:c>
    </x:row>
    <x:row r="18">
      <x:c r="A18" s="54" t="n">
        <x:v>1002</x:v>
      </x:c>
      <x:c r="B18" s="54" t="n">
        <x:v>1</x:v>
      </x:c>
      <x:c r="C18" s="54" t="n">
        <x:v>1</x:v>
      </x:c>
      <x:c r="D18" s="54" t="n">
        <x:v>1</x:v>
      </x:c>
      <x:c r="E18" s="103" t="str">
        <x:v>Material-row source portal</x:v>
      </x:c>
      <x:c r="F18" s="103" t="str">
        <x:v>Source portal is identified, but edition/revision and property record locator remain unresolved.</x:v>
      </x:c>
    </x:row>
    <x:row r="19">
      <x:c r="A19" s="54" t="n">
        <x:v>1002</x:v>
      </x:c>
      <x:c r="B19" s="54" t="n">
        <x:v>2</x:v>
      </x:c>
      <x:c r="C19" s="54" t="n">
        <x:v>1</x:v>
      </x:c>
      <x:c r="D19" s="54" t="n">
        <x:v>1</x:v>
      </x:c>
      <x:c r="E19" s="103" t="str">
        <x:v>Material-row source portal</x:v>
      </x:c>
      <x:c r="F19" s="103" t="str">
        <x:v>Source portal is identified, but edition/revision and property record locator remain unresolved.</x:v>
      </x:c>
    </x:row>
    <x:row r="20">
      <x:c r="A20" s="54" t="n">
        <x:v>1002</x:v>
      </x:c>
      <x:c r="B20" s="54" t="n">
        <x:v>3</x:v>
      </x:c>
      <x:c r="C20" s="54" t="n">
        <x:v>1</x:v>
      </x:c>
      <x:c r="D20" s="54" t="n">
        <x:v>1</x:v>
      </x:c>
      <x:c r="E20" s="103" t="str">
        <x:v>Formula-derived from E and Poisson ratio; input records inherit the material-row source</x:v>
      </x:c>
      <x:c r="F20" s="103" t="str">
        <x:v>Source portal is identified, but edition/revision and property record locator remain unresolved.</x:v>
      </x:c>
    </x:row>
    <x:row r="21">
      <x:c r="A21" s="54" t="n">
        <x:v>1002</x:v>
      </x:c>
      <x:c r="B21" s="54" t="n">
        <x:v>4</x:v>
      </x:c>
      <x:c r="C21" s="54" t="n">
        <x:v>1</x:v>
      </x:c>
      <x:c r="D21" s="54" t="n">
        <x:v>1</x:v>
      </x:c>
      <x:c r="E21" s="103" t="str">
        <x:v>Material-row source portal</x:v>
      </x:c>
      <x:c r="F21" s="103" t="str">
        <x:v>Source portal is identified, but edition/revision and property record locator remain unresolved.</x:v>
      </x:c>
    </x:row>
    <x:row r="22">
      <x:c r="A22" s="54" t="n">
        <x:v>1002</x:v>
      </x:c>
      <x:c r="B22" s="54" t="n">
        <x:v>5</x:v>
      </x:c>
      <x:c r="C22" s="54" t="n">
        <x:v>1</x:v>
      </x:c>
      <x:c r="D22" s="54" t="n">
        <x:v>1</x:v>
      </x:c>
      <x:c r="E22" s="103" t="str">
        <x:v>Material-row source portal</x:v>
      </x:c>
      <x:c r="F22" s="103" t="str">
        <x:v>Source portal is identified, but edition/revision and property record locator remain unresolved.</x:v>
      </x:c>
    </x:row>
    <x:row r="23">
      <x:c r="A23" s="54" t="n">
        <x:v>1002</x:v>
      </x:c>
      <x:c r="B23" s="54" t="n">
        <x:v>6</x:v>
      </x:c>
      <x:c r="C23" s="54" t="n">
        <x:v>1</x:v>
      </x:c>
      <x:c r="D23" s="54" t="n">
        <x:v>1</x:v>
      </x:c>
      <x:c r="E23" s="103" t="str">
        <x:v>Material-row source portal</x:v>
      </x:c>
      <x:c r="F23" s="103" t="str">
        <x:v>Source portal is identified, but edition/revision and property record locator remain unresolved.</x:v>
      </x:c>
    </x:row>
    <x:row r="24">
      <x:c r="A24" s="54" t="n">
        <x:v>1002</x:v>
      </x:c>
      <x:c r="B24" s="54" t="n">
        <x:v>9</x:v>
      </x:c>
      <x:c r="C24" s="54" t="n">
        <x:v>1</x:v>
      </x:c>
      <x:c r="D24" s="54" t="n">
        <x:v>1</x:v>
      </x:c>
      <x:c r="E24" s="103" t="str">
        <x:v>Material-row source portal</x:v>
      </x:c>
      <x:c r="F24" s="103" t="str">
        <x:v>Source portal is identified, but edition/revision and property record locator remain unresolved.</x:v>
      </x:c>
    </x:row>
    <x:row r="25">
      <x:c r="A25" s="54" t="n">
        <x:v>1002</x:v>
      </x:c>
      <x:c r="B25" s="54" t="n">
        <x:v>10</x:v>
      </x:c>
      <x:c r="C25" s="54" t="n">
        <x:v>1</x:v>
      </x:c>
      <x:c r="D25" s="54" t="n">
        <x:v>1</x:v>
      </x:c>
      <x:c r="E25" s="103" t="str">
        <x:v>Material-row source portal</x:v>
      </x:c>
      <x:c r="F25" s="103" t="str">
        <x:v>Source portal is identified, but edition/revision and property record locator remain unresolved.</x:v>
      </x:c>
    </x:row>
    <x:row r="26">
      <x:c r="A26" s="54" t="n">
        <x:v>1002</x:v>
      </x:c>
      <x:c r="B26" s="54" t="n">
        <x:v>11</x:v>
      </x:c>
      <x:c r="C26" s="54" t="n">
        <x:v>1</x:v>
      </x:c>
      <x:c r="D26" s="54" t="n">
        <x:v>1</x:v>
      </x:c>
      <x:c r="E26" s="103" t="str">
        <x:v>Material-row source portal</x:v>
      </x:c>
      <x:c r="F26" s="103" t="str">
        <x:v>Source portal is identified, but edition/revision and property record locator remain unresolved.</x:v>
      </x:c>
    </x:row>
    <x:row r="27">
      <x:c r="A27" s="54" t="n">
        <x:v>1002</x:v>
      </x:c>
      <x:c r="B27" s="54" t="n">
        <x:v>12</x:v>
      </x:c>
      <x:c r="C27" s="54" t="n">
        <x:v>1</x:v>
      </x:c>
      <x:c r="D27" s="54" t="n">
        <x:v>1</x:v>
      </x:c>
      <x:c r="E27" s="103" t="str">
        <x:v>Material-row source portal</x:v>
      </x:c>
      <x:c r="F27" s="103" t="str">
        <x:v>Source portal is identified, but edition/revision and property record locator remain unresolved.</x:v>
      </x:c>
    </x:row>
    <x:row r="28">
      <x:c r="A28" s="54" t="n">
        <x:v>1002</x:v>
      </x:c>
      <x:c r="B28" s="54" t="n">
        <x:v>13</x:v>
      </x:c>
      <x:c r="C28" s="54" t="n">
        <x:v>1</x:v>
      </x:c>
      <x:c r="D28" s="54" t="n">
        <x:v>1</x:v>
      </x:c>
      <x:c r="E28" s="103" t="str">
        <x:v>Material-row source portal</x:v>
      </x:c>
      <x:c r="F28" s="103" t="str">
        <x:v>Source portal is identified, but edition/revision and property record locator remain unresolved.</x:v>
      </x:c>
    </x:row>
    <x:row r="29">
      <x:c r="A29" s="54" t="n">
        <x:v>1002</x:v>
      </x:c>
      <x:c r="B29" s="54" t="n">
        <x:v>14</x:v>
      </x:c>
      <x:c r="C29" s="54" t="n">
        <x:v>1</x:v>
      </x:c>
      <x:c r="D29" s="54" t="n">
        <x:v>1</x:v>
      </x:c>
      <x:c r="E29" s="103" t="str">
        <x:v>Material-row source portal</x:v>
      </x:c>
      <x:c r="F29" s="103" t="str">
        <x:v>Source portal is identified, but edition/revision and property record locator remain unresolved.</x:v>
      </x:c>
    </x:row>
    <x:row r="30">
      <x:c r="A30" s="54" t="n">
        <x:v>1002</x:v>
      </x:c>
      <x:c r="B30" s="54" t="n">
        <x:v>15</x:v>
      </x:c>
      <x:c r="C30" s="54" t="n">
        <x:v>1</x:v>
      </x:c>
      <x:c r="D30" s="54" t="n">
        <x:v>1</x:v>
      </x:c>
      <x:c r="E30" s="103" t="str">
        <x:v>Material-row source portal</x:v>
      </x:c>
      <x:c r="F30" s="103" t="str">
        <x:v>Source portal is identified, but edition/revision and property record locator remain unresolved.</x:v>
      </x:c>
    </x:row>
    <x:row r="31">
      <x:c r="A31" s="54" t="n">
        <x:v>1002</x:v>
      </x:c>
      <x:c r="B31" s="54" t="n">
        <x:v>16</x:v>
      </x:c>
      <x:c r="C31" s="54" t="n">
        <x:v>1</x:v>
      </x:c>
      <x:c r="D31" s="54" t="n">
        <x:v>1</x:v>
      </x:c>
      <x:c r="E31" s="103" t="str">
        <x:v>Material-row source portal</x:v>
      </x:c>
      <x:c r="F31" s="103" t="str">
        <x:v>Source portal is identified, but edition/revision and property record locator remain unresolved.</x:v>
      </x:c>
    </x:row>
    <x:row r="32">
      <x:c r="A32" s="54" t="n">
        <x:v>1002</x:v>
      </x:c>
      <x:c r="B32" s="54" t="n">
        <x:v>17</x:v>
      </x:c>
      <x:c r="C32" s="54" t="n">
        <x:v>1</x:v>
      </x:c>
      <x:c r="D32" s="54" t="n">
        <x:v>1</x:v>
      </x:c>
      <x:c r="E32" s="103" t="str">
        <x:v>Material-row source portal</x:v>
      </x:c>
      <x:c r="F32" s="103" t="str">
        <x:v>Source portal is identified, but edition/revision and property record locator remain unresolved.</x:v>
      </x:c>
    </x:row>
    <x:row r="33">
      <x:c r="A33" s="54" t="n">
        <x:v>1002</x:v>
      </x:c>
      <x:c r="B33" s="54" t="n">
        <x:v>18</x:v>
      </x:c>
      <x:c r="C33" s="54" t="n">
        <x:v>1</x:v>
      </x:c>
      <x:c r="D33" s="54" t="n">
        <x:v>1</x:v>
      </x:c>
      <x:c r="E33" s="103" t="str">
        <x:v>Formula-derived from E and Poisson ratio; input records inherit the material-row source</x:v>
      </x:c>
      <x:c r="F33" s="103" t="str">
        <x:v>Source portal is identified, but edition/revision and property record locator remain unresolved.</x:v>
      </x:c>
    </x:row>
    <x:row r="34">
      <x:c r="A34" s="54" t="n">
        <x:v>1003</x:v>
      </x:c>
      <x:c r="B34" s="54" t="n">
        <x:v>1</x:v>
      </x:c>
      <x:c r="C34" s="54" t="n">
        <x:v>1</x:v>
      </x:c>
      <x:c r="D34" s="54" t="n">
        <x:v>1</x:v>
      </x:c>
      <x:c r="E34" s="103" t="str">
        <x:v>Material-row source portal</x:v>
      </x:c>
      <x:c r="F34" s="103" t="str">
        <x:v>Source portal is identified, but edition/revision and property record locator remain unresolved.</x:v>
      </x:c>
    </x:row>
    <x:row r="35">
      <x:c r="A35" s="54" t="n">
        <x:v>1003</x:v>
      </x:c>
      <x:c r="B35" s="54" t="n">
        <x:v>2</x:v>
      </x:c>
      <x:c r="C35" s="54" t="n">
        <x:v>1</x:v>
      </x:c>
      <x:c r="D35" s="54" t="n">
        <x:v>1</x:v>
      </x:c>
      <x:c r="E35" s="103" t="str">
        <x:v>Material-row source portal</x:v>
      </x:c>
      <x:c r="F35" s="103" t="str">
        <x:v>Source portal is identified, but edition/revision and property record locator remain unresolved.</x:v>
      </x:c>
    </x:row>
    <x:row r="36">
      <x:c r="A36" s="54" t="n">
        <x:v>1003</x:v>
      </x:c>
      <x:c r="B36" s="54" t="n">
        <x:v>3</x:v>
      </x:c>
      <x:c r="C36" s="54" t="n">
        <x:v>1</x:v>
      </x:c>
      <x:c r="D36" s="54" t="n">
        <x:v>1</x:v>
      </x:c>
      <x:c r="E36" s="103" t="str">
        <x:v>Formula-derived from E and Poisson ratio; input records inherit the material-row source</x:v>
      </x:c>
      <x:c r="F36" s="103" t="str">
        <x:v>Source portal is identified, but edition/revision and property record locator remain unresolved.</x:v>
      </x:c>
    </x:row>
    <x:row r="37">
      <x:c r="A37" s="54" t="n">
        <x:v>1003</x:v>
      </x:c>
      <x:c r="B37" s="54" t="n">
        <x:v>4</x:v>
      </x:c>
      <x:c r="C37" s="54" t="n">
        <x:v>1</x:v>
      </x:c>
      <x:c r="D37" s="54" t="n">
        <x:v>1</x:v>
      </x:c>
      <x:c r="E37" s="103" t="str">
        <x:v>Material-row source portal</x:v>
      </x:c>
      <x:c r="F37" s="103" t="str">
        <x:v>Source portal is identified, but edition/revision and property record locator remain unresolved.</x:v>
      </x:c>
    </x:row>
    <x:row r="38">
      <x:c r="A38" s="54" t="n">
        <x:v>1003</x:v>
      </x:c>
      <x:c r="B38" s="54" t="n">
        <x:v>5</x:v>
      </x:c>
      <x:c r="C38" s="54" t="n">
        <x:v>1</x:v>
      </x:c>
      <x:c r="D38" s="54" t="n">
        <x:v>1</x:v>
      </x:c>
      <x:c r="E38" s="103" t="str">
        <x:v>Material-row source portal</x:v>
      </x:c>
      <x:c r="F38" s="103" t="str">
        <x:v>Source portal is identified, but edition/revision and property record locator remain unresolved.</x:v>
      </x:c>
    </x:row>
    <x:row r="39">
      <x:c r="A39" s="54" t="n">
        <x:v>1003</x:v>
      </x:c>
      <x:c r="B39" s="54" t="n">
        <x:v>6</x:v>
      </x:c>
      <x:c r="C39" s="54" t="n">
        <x:v>1</x:v>
      </x:c>
      <x:c r="D39" s="54" t="n">
        <x:v>1</x:v>
      </x:c>
      <x:c r="E39" s="103" t="str">
        <x:v>Material-row source portal</x:v>
      </x:c>
      <x:c r="F39" s="103" t="str">
        <x:v>Source portal is identified, but edition/revision and property record locator remain unresolved.</x:v>
      </x:c>
    </x:row>
    <x:row r="40">
      <x:c r="A40" s="54" t="n">
        <x:v>1003</x:v>
      </x:c>
      <x:c r="B40" s="54" t="n">
        <x:v>9</x:v>
      </x:c>
      <x:c r="C40" s="54" t="n">
        <x:v>1</x:v>
      </x:c>
      <x:c r="D40" s="54" t="n">
        <x:v>1</x:v>
      </x:c>
      <x:c r="E40" s="103" t="str">
        <x:v>Material-row source portal</x:v>
      </x:c>
      <x:c r="F40" s="103" t="str">
        <x:v>Source portal is identified, but edition/revision and property record locator remain unresolved.</x:v>
      </x:c>
    </x:row>
    <x:row r="41">
      <x:c r="A41" s="54" t="n">
        <x:v>1003</x:v>
      </x:c>
      <x:c r="B41" s="54" t="n">
        <x:v>10</x:v>
      </x:c>
      <x:c r="C41" s="54" t="n">
        <x:v>1</x:v>
      </x:c>
      <x:c r="D41" s="54" t="n">
        <x:v>1</x:v>
      </x:c>
      <x:c r="E41" s="103" t="str">
        <x:v>Material-row source portal</x:v>
      </x:c>
      <x:c r="F41" s="103" t="str">
        <x:v>Source portal is identified, but edition/revision and property record locator remain unresolved.</x:v>
      </x:c>
    </x:row>
    <x:row r="42">
      <x:c r="A42" s="54" t="n">
        <x:v>1003</x:v>
      </x:c>
      <x:c r="B42" s="54" t="n">
        <x:v>11</x:v>
      </x:c>
      <x:c r="C42" s="54" t="n">
        <x:v>1</x:v>
      </x:c>
      <x:c r="D42" s="54" t="n">
        <x:v>1</x:v>
      </x:c>
      <x:c r="E42" s="103" t="str">
        <x:v>Material-row source portal</x:v>
      </x:c>
      <x:c r="F42" s="103" t="str">
        <x:v>Source portal is identified, but edition/revision and property record locator remain unresolved.</x:v>
      </x:c>
    </x:row>
    <x:row r="43">
      <x:c r="A43" s="54" t="n">
        <x:v>1003</x:v>
      </x:c>
      <x:c r="B43" s="54" t="n">
        <x:v>12</x:v>
      </x:c>
      <x:c r="C43" s="54" t="n">
        <x:v>1</x:v>
      </x:c>
      <x:c r="D43" s="54" t="n">
        <x:v>1</x:v>
      </x:c>
      <x:c r="E43" s="103" t="str">
        <x:v>Material-row source portal</x:v>
      </x:c>
      <x:c r="F43" s="103" t="str">
        <x:v>Source portal is identified, but edition/revision and property record locator remain unresolved.</x:v>
      </x:c>
    </x:row>
    <x:row r="44">
      <x:c r="A44" s="54" t="n">
        <x:v>1003</x:v>
      </x:c>
      <x:c r="B44" s="54" t="n">
        <x:v>13</x:v>
      </x:c>
      <x:c r="C44" s="54" t="n">
        <x:v>1</x:v>
      </x:c>
      <x:c r="D44" s="54" t="n">
        <x:v>1</x:v>
      </x:c>
      <x:c r="E44" s="103" t="str">
        <x:v>Material-row source portal</x:v>
      </x:c>
      <x:c r="F44" s="103" t="str">
        <x:v>Source portal is identified, but edition/revision and property record locator remain unresolved.</x:v>
      </x:c>
    </x:row>
    <x:row r="45">
      <x:c r="A45" s="54" t="n">
        <x:v>1003</x:v>
      </x:c>
      <x:c r="B45" s="54" t="n">
        <x:v>14</x:v>
      </x:c>
      <x:c r="C45" s="54" t="n">
        <x:v>1</x:v>
      </x:c>
      <x:c r="D45" s="54" t="n">
        <x:v>1</x:v>
      </x:c>
      <x:c r="E45" s="103" t="str">
        <x:v>Material-row source portal</x:v>
      </x:c>
      <x:c r="F45" s="103" t="str">
        <x:v>Source portal is identified, but edition/revision and property record locator remain unresolved.</x:v>
      </x:c>
    </x:row>
    <x:row r="46">
      <x:c r="A46" s="54" t="n">
        <x:v>1003</x:v>
      </x:c>
      <x:c r="B46" s="54" t="n">
        <x:v>15</x:v>
      </x:c>
      <x:c r="C46" s="54" t="n">
        <x:v>1</x:v>
      </x:c>
      <x:c r="D46" s="54" t="n">
        <x:v>1</x:v>
      </x:c>
      <x:c r="E46" s="103" t="str">
        <x:v>Material-row source portal</x:v>
      </x:c>
      <x:c r="F46" s="103" t="str">
        <x:v>Source portal is identified, but edition/revision and property record locator remain unresolved.</x:v>
      </x:c>
    </x:row>
    <x:row r="47">
      <x:c r="A47" s="54" t="n">
        <x:v>1003</x:v>
      </x:c>
      <x:c r="B47" s="54" t="n">
        <x:v>16</x:v>
      </x:c>
      <x:c r="C47" s="54" t="n">
        <x:v>1</x:v>
      </x:c>
      <x:c r="D47" s="54" t="n">
        <x:v>1</x:v>
      </x:c>
      <x:c r="E47" s="103" t="str">
        <x:v>Material-row source portal</x:v>
      </x:c>
      <x:c r="F47" s="103" t="str">
        <x:v>Source portal is identified, but edition/revision and property record locator remain unresolved.</x:v>
      </x:c>
    </x:row>
    <x:row r="48">
      <x:c r="A48" s="54" t="n">
        <x:v>1003</x:v>
      </x:c>
      <x:c r="B48" s="54" t="n">
        <x:v>17</x:v>
      </x:c>
      <x:c r="C48" s="54" t="n">
        <x:v>1</x:v>
      </x:c>
      <x:c r="D48" s="54" t="n">
        <x:v>1</x:v>
      </x:c>
      <x:c r="E48" s="103" t="str">
        <x:v>Material-row source portal</x:v>
      </x:c>
      <x:c r="F48" s="103" t="str">
        <x:v>Source portal is identified, but edition/revision and property record locator remain unresolved.</x:v>
      </x:c>
    </x:row>
    <x:row r="49">
      <x:c r="A49" s="54" t="n">
        <x:v>1003</x:v>
      </x:c>
      <x:c r="B49" s="54" t="n">
        <x:v>18</x:v>
      </x:c>
      <x:c r="C49" s="54" t="n">
        <x:v>1</x:v>
      </x:c>
      <x:c r="D49" s="54" t="n">
        <x:v>1</x:v>
      </x:c>
      <x:c r="E49" s="103" t="str">
        <x:v>Formula-derived from E and Poisson ratio; input records inherit the material-row source</x:v>
      </x:c>
      <x:c r="F49" s="103" t="str">
        <x:v>Source portal is identified, but edition/revision and property record locator remain unresolved.</x:v>
      </x:c>
    </x:row>
    <x:row r="50">
      <x:c r="A50" s="54" t="n">
        <x:v>1004</x:v>
      </x:c>
      <x:c r="B50" s="54" t="n">
        <x:v>1</x:v>
      </x:c>
      <x:c r="C50" s="54" t="n">
        <x:v>1</x:v>
      </x:c>
      <x:c r="D50" s="54" t="n">
        <x:v>1</x:v>
      </x:c>
      <x:c r="E50" s="103" t="str">
        <x:v>Material-row source portal</x:v>
      </x:c>
      <x:c r="F50" s="103" t="str">
        <x:v>Source portal is identified, but edition/revision and property record locator remain unresolved.</x:v>
      </x:c>
    </x:row>
    <x:row r="51">
      <x:c r="A51" s="54" t="n">
        <x:v>1004</x:v>
      </x:c>
      <x:c r="B51" s="54" t="n">
        <x:v>2</x:v>
      </x:c>
      <x:c r="C51" s="54" t="n">
        <x:v>1</x:v>
      </x:c>
      <x:c r="D51" s="54" t="n">
        <x:v>1</x:v>
      </x:c>
      <x:c r="E51" s="103" t="str">
        <x:v>Material-row source portal</x:v>
      </x:c>
      <x:c r="F51" s="103" t="str">
        <x:v>Source portal is identified, but edition/revision and property record locator remain unresolved.</x:v>
      </x:c>
    </x:row>
    <x:row r="52">
      <x:c r="A52" s="54" t="n">
        <x:v>1004</x:v>
      </x:c>
      <x:c r="B52" s="54" t="n">
        <x:v>3</x:v>
      </x:c>
      <x:c r="C52" s="54" t="n">
        <x:v>1</x:v>
      </x:c>
      <x:c r="D52" s="54" t="n">
        <x:v>1</x:v>
      </x:c>
      <x:c r="E52" s="103" t="str">
        <x:v>Formula-derived from E and Poisson ratio; input records inherit the material-row source</x:v>
      </x:c>
      <x:c r="F52" s="103" t="str">
        <x:v>Source portal is identified, but edition/revision and property record locator remain unresolved.</x:v>
      </x:c>
    </x:row>
    <x:row r="53">
      <x:c r="A53" s="54" t="n">
        <x:v>1004</x:v>
      </x:c>
      <x:c r="B53" s="54" t="n">
        <x:v>4</x:v>
      </x:c>
      <x:c r="C53" s="54" t="n">
        <x:v>1</x:v>
      </x:c>
      <x:c r="D53" s="54" t="n">
        <x:v>1</x:v>
      </x:c>
      <x:c r="E53" s="103" t="str">
        <x:v>Material-row source portal</x:v>
      </x:c>
      <x:c r="F53" s="103" t="str">
        <x:v>Source portal is identified, but edition/revision and property record locator remain unresolved.</x:v>
      </x:c>
    </x:row>
    <x:row r="54">
      <x:c r="A54" s="54" t="n">
        <x:v>1004</x:v>
      </x:c>
      <x:c r="B54" s="54" t="n">
        <x:v>5</x:v>
      </x:c>
      <x:c r="C54" s="54" t="n">
        <x:v>1</x:v>
      </x:c>
      <x:c r="D54" s="54" t="n">
        <x:v>1</x:v>
      </x:c>
      <x:c r="E54" s="103" t="str">
        <x:v>Material-row source portal</x:v>
      </x:c>
      <x:c r="F54" s="103" t="str">
        <x:v>Source portal is identified, but edition/revision and property record locator remain unresolved.</x:v>
      </x:c>
    </x:row>
    <x:row r="55">
      <x:c r="A55" s="54" t="n">
        <x:v>1004</x:v>
      </x:c>
      <x:c r="B55" s="54" t="n">
        <x:v>6</x:v>
      </x:c>
      <x:c r="C55" s="54" t="n">
        <x:v>1</x:v>
      </x:c>
      <x:c r="D55" s="54" t="n">
        <x:v>1</x:v>
      </x:c>
      <x:c r="E55" s="103" t="str">
        <x:v>Material-row source portal</x:v>
      </x:c>
      <x:c r="F55" s="103" t="str">
        <x:v>Source portal is identified, but edition/revision and property record locator remain unresolved.</x:v>
      </x:c>
    </x:row>
    <x:row r="56">
      <x:c r="A56" s="54" t="n">
        <x:v>1004</x:v>
      </x:c>
      <x:c r="B56" s="54" t="n">
        <x:v>9</x:v>
      </x:c>
      <x:c r="C56" s="54" t="n">
        <x:v>1</x:v>
      </x:c>
      <x:c r="D56" s="54" t="n">
        <x:v>1</x:v>
      </x:c>
      <x:c r="E56" s="103" t="str">
        <x:v>Material-row source portal</x:v>
      </x:c>
      <x:c r="F56" s="103" t="str">
        <x:v>Source portal is identified, but edition/revision and property record locator remain unresolved.</x:v>
      </x:c>
    </x:row>
    <x:row r="57">
      <x:c r="A57" s="54" t="n">
        <x:v>1004</x:v>
      </x:c>
      <x:c r="B57" s="54" t="n">
        <x:v>10</x:v>
      </x:c>
      <x:c r="C57" s="54" t="n">
        <x:v>1</x:v>
      </x:c>
      <x:c r="D57" s="54" t="n">
        <x:v>1</x:v>
      </x:c>
      <x:c r="E57" s="103" t="str">
        <x:v>Material-row source portal</x:v>
      </x:c>
      <x:c r="F57" s="103" t="str">
        <x:v>Source portal is identified, but edition/revision and property record locator remain unresolved.</x:v>
      </x:c>
    </x:row>
    <x:row r="58">
      <x:c r="A58" s="54" t="n">
        <x:v>1004</x:v>
      </x:c>
      <x:c r="B58" s="54" t="n">
        <x:v>11</x:v>
      </x:c>
      <x:c r="C58" s="54" t="n">
        <x:v>1</x:v>
      </x:c>
      <x:c r="D58" s="54" t="n">
        <x:v>1</x:v>
      </x:c>
      <x:c r="E58" s="103" t="str">
        <x:v>Material-row source portal</x:v>
      </x:c>
      <x:c r="F58" s="103" t="str">
        <x:v>Source portal is identified, but edition/revision and property record locator remain unresolved.</x:v>
      </x:c>
    </x:row>
    <x:row r="59">
      <x:c r="A59" s="54" t="n">
        <x:v>1004</x:v>
      </x:c>
      <x:c r="B59" s="54" t="n">
        <x:v>12</x:v>
      </x:c>
      <x:c r="C59" s="54" t="n">
        <x:v>1</x:v>
      </x:c>
      <x:c r="D59" s="54" t="n">
        <x:v>1</x:v>
      </x:c>
      <x:c r="E59" s="103" t="str">
        <x:v>Material-row source portal</x:v>
      </x:c>
      <x:c r="F59" s="103" t="str">
        <x:v>Source portal is identified, but edition/revision and property record locator remain unresolved.</x:v>
      </x:c>
    </x:row>
    <x:row r="60">
      <x:c r="A60" s="54" t="n">
        <x:v>1004</x:v>
      </x:c>
      <x:c r="B60" s="54" t="n">
        <x:v>13</x:v>
      </x:c>
      <x:c r="C60" s="54" t="n">
        <x:v>1</x:v>
      </x:c>
      <x:c r="D60" s="54" t="n">
        <x:v>1</x:v>
      </x:c>
      <x:c r="E60" s="103" t="str">
        <x:v>Material-row source portal</x:v>
      </x:c>
      <x:c r="F60" s="103" t="str">
        <x:v>Source portal is identified, but edition/revision and property record locator remain unresolved.</x:v>
      </x:c>
    </x:row>
    <x:row r="61">
      <x:c r="A61" s="54" t="n">
        <x:v>1004</x:v>
      </x:c>
      <x:c r="B61" s="54" t="n">
        <x:v>14</x:v>
      </x:c>
      <x:c r="C61" s="54" t="n">
        <x:v>1</x:v>
      </x:c>
      <x:c r="D61" s="54" t="n">
        <x:v>1</x:v>
      </x:c>
      <x:c r="E61" s="103" t="str">
        <x:v>Material-row source portal</x:v>
      </x:c>
      <x:c r="F61" s="103" t="str">
        <x:v>Source portal is identified, but edition/revision and property record locator remain unresolved.</x:v>
      </x:c>
    </x:row>
    <x:row r="62">
      <x:c r="A62" s="54" t="n">
        <x:v>1004</x:v>
      </x:c>
      <x:c r="B62" s="54" t="n">
        <x:v>15</x:v>
      </x:c>
      <x:c r="C62" s="54" t="n">
        <x:v>1</x:v>
      </x:c>
      <x:c r="D62" s="54" t="n">
        <x:v>1</x:v>
      </x:c>
      <x:c r="E62" s="103" t="str">
        <x:v>Material-row source portal</x:v>
      </x:c>
      <x:c r="F62" s="103" t="str">
        <x:v>Source portal is identified, but edition/revision and property record locator remain unresolved.</x:v>
      </x:c>
    </x:row>
    <x:row r="63">
      <x:c r="A63" s="54" t="n">
        <x:v>1004</x:v>
      </x:c>
      <x:c r="B63" s="54" t="n">
        <x:v>16</x:v>
      </x:c>
      <x:c r="C63" s="54" t="n">
        <x:v>1</x:v>
      </x:c>
      <x:c r="D63" s="54" t="n">
        <x:v>1</x:v>
      </x:c>
      <x:c r="E63" s="103" t="str">
        <x:v>Material-row source portal</x:v>
      </x:c>
      <x:c r="F63" s="103" t="str">
        <x:v>Source portal is identified, but edition/revision and property record locator remain unresolved.</x:v>
      </x:c>
    </x:row>
    <x:row r="64">
      <x:c r="A64" s="54" t="n">
        <x:v>1004</x:v>
      </x:c>
      <x:c r="B64" s="54" t="n">
        <x:v>17</x:v>
      </x:c>
      <x:c r="C64" s="54" t="n">
        <x:v>1</x:v>
      </x:c>
      <x:c r="D64" s="54" t="n">
        <x:v>1</x:v>
      </x:c>
      <x:c r="E64" s="103" t="str">
        <x:v>Material-row source portal</x:v>
      </x:c>
      <x:c r="F64" s="103" t="str">
        <x:v>Source portal is identified, but edition/revision and property record locator remain unresolved.</x:v>
      </x:c>
    </x:row>
    <x:row r="65">
      <x:c r="A65" s="54" t="n">
        <x:v>1004</x:v>
      </x:c>
      <x:c r="B65" s="54" t="n">
        <x:v>18</x:v>
      </x:c>
      <x:c r="C65" s="54" t="n">
        <x:v>1</x:v>
      </x:c>
      <x:c r="D65" s="54" t="n">
        <x:v>1</x:v>
      </x:c>
      <x:c r="E65" s="103" t="str">
        <x:v>Formula-derived from E and Poisson ratio; input records inherit the material-row source</x:v>
      </x:c>
      <x:c r="F65" s="103" t="str">
        <x:v>Source portal is identified, but edition/revision and property record locator remain unresolved.</x:v>
      </x:c>
    </x:row>
    <x:row r="66">
      <x:c r="A66" s="54" t="n">
        <x:v>1005</x:v>
      </x:c>
      <x:c r="B66" s="54" t="n">
        <x:v>1</x:v>
      </x:c>
      <x:c r="C66" s="54" t="n">
        <x:v>1</x:v>
      </x:c>
      <x:c r="D66" s="54" t="n">
        <x:v>1</x:v>
      </x:c>
      <x:c r="E66" s="103" t="str">
        <x:v>Material-row source portal</x:v>
      </x:c>
      <x:c r="F66" s="103" t="str">
        <x:v>Source portal is identified, but edition/revision and property record locator remain unresolved.</x:v>
      </x:c>
    </x:row>
    <x:row r="67">
      <x:c r="A67" s="54" t="n">
        <x:v>1005</x:v>
      </x:c>
      <x:c r="B67" s="54" t="n">
        <x:v>2</x:v>
      </x:c>
      <x:c r="C67" s="54" t="n">
        <x:v>1</x:v>
      </x:c>
      <x:c r="D67" s="54" t="n">
        <x:v>1</x:v>
      </x:c>
      <x:c r="E67" s="103" t="str">
        <x:v>Material-row source portal</x:v>
      </x:c>
      <x:c r="F67" s="103" t="str">
        <x:v>Source portal is identified, but edition/revision and property record locator remain unresolved.</x:v>
      </x:c>
    </x:row>
    <x:row r="68">
      <x:c r="A68" s="54" t="n">
        <x:v>1005</x:v>
      </x:c>
      <x:c r="B68" s="54" t="n">
        <x:v>3</x:v>
      </x:c>
      <x:c r="C68" s="54" t="n">
        <x:v>1</x:v>
      </x:c>
      <x:c r="D68" s="54" t="n">
        <x:v>1</x:v>
      </x:c>
      <x:c r="E68" s="103" t="str">
        <x:v>Formula-derived from E and Poisson ratio; input records inherit the material-row source</x:v>
      </x:c>
      <x:c r="F68" s="103" t="str">
        <x:v>Source portal is identified, but edition/revision and property record locator remain unresolved.</x:v>
      </x:c>
    </x:row>
    <x:row r="69">
      <x:c r="A69" s="54" t="n">
        <x:v>1005</x:v>
      </x:c>
      <x:c r="B69" s="54" t="n">
        <x:v>4</x:v>
      </x:c>
      <x:c r="C69" s="54" t="n">
        <x:v>1</x:v>
      </x:c>
      <x:c r="D69" s="54" t="n">
        <x:v>1</x:v>
      </x:c>
      <x:c r="E69" s="103" t="str">
        <x:v>Material-row source portal</x:v>
      </x:c>
      <x:c r="F69" s="103" t="str">
        <x:v>Source portal is identified, but edition/revision and property record locator remain unresolved.</x:v>
      </x:c>
    </x:row>
    <x:row r="70">
      <x:c r="A70" s="54" t="n">
        <x:v>1005</x:v>
      </x:c>
      <x:c r="B70" s="54" t="n">
        <x:v>5</x:v>
      </x:c>
      <x:c r="C70" s="54" t="n">
        <x:v>1</x:v>
      </x:c>
      <x:c r="D70" s="54" t="n">
        <x:v>1</x:v>
      </x:c>
      <x:c r="E70" s="103" t="str">
        <x:v>Material-row source portal</x:v>
      </x:c>
      <x:c r="F70" s="103" t="str">
        <x:v>Source portal is identified, but edition/revision and property record locator remain unresolved.</x:v>
      </x:c>
    </x:row>
    <x:row r="71">
      <x:c r="A71" s="54" t="n">
        <x:v>1005</x:v>
      </x:c>
      <x:c r="B71" s="54" t="n">
        <x:v>6</x:v>
      </x:c>
      <x:c r="C71" s="54" t="n">
        <x:v>1</x:v>
      </x:c>
      <x:c r="D71" s="54" t="n">
        <x:v>1</x:v>
      </x:c>
      <x:c r="E71" s="103" t="str">
        <x:v>Material-row source portal</x:v>
      </x:c>
      <x:c r="F71" s="103" t="str">
        <x:v>Source portal is identified, but edition/revision and property record locator remain unresolved.</x:v>
      </x:c>
    </x:row>
    <x:row r="72">
      <x:c r="A72" s="54" t="n">
        <x:v>1005</x:v>
      </x:c>
      <x:c r="B72" s="54" t="n">
        <x:v>9</x:v>
      </x:c>
      <x:c r="C72" s="54" t="n">
        <x:v>1</x:v>
      </x:c>
      <x:c r="D72" s="54" t="n">
        <x:v>1</x:v>
      </x:c>
      <x:c r="E72" s="103" t="str">
        <x:v>Material-row source portal</x:v>
      </x:c>
      <x:c r="F72" s="103" t="str">
        <x:v>Source portal is identified, but edition/revision and property record locator remain unresolved.</x:v>
      </x:c>
    </x:row>
    <x:row r="73">
      <x:c r="A73" s="54" t="n">
        <x:v>1005</x:v>
      </x:c>
      <x:c r="B73" s="54" t="n">
        <x:v>10</x:v>
      </x:c>
      <x:c r="C73" s="54" t="n">
        <x:v>1</x:v>
      </x:c>
      <x:c r="D73" s="54" t="n">
        <x:v>1</x:v>
      </x:c>
      <x:c r="E73" s="103" t="str">
        <x:v>Material-row source portal</x:v>
      </x:c>
      <x:c r="F73" s="103" t="str">
        <x:v>Source portal is identified, but edition/revision and property record locator remain unresolved.</x:v>
      </x:c>
    </x:row>
    <x:row r="74">
      <x:c r="A74" s="54" t="n">
        <x:v>1005</x:v>
      </x:c>
      <x:c r="B74" s="54" t="n">
        <x:v>11</x:v>
      </x:c>
      <x:c r="C74" s="54" t="n">
        <x:v>1</x:v>
      </x:c>
      <x:c r="D74" s="54" t="n">
        <x:v>1</x:v>
      </x:c>
      <x:c r="E74" s="103" t="str">
        <x:v>Material-row source portal</x:v>
      </x:c>
      <x:c r="F74" s="103" t="str">
        <x:v>Source portal is identified, but edition/revision and property record locator remain unresolved.</x:v>
      </x:c>
    </x:row>
    <x:row r="75">
      <x:c r="A75" s="54" t="n">
        <x:v>1005</x:v>
      </x:c>
      <x:c r="B75" s="54" t="n">
        <x:v>12</x:v>
      </x:c>
      <x:c r="C75" s="54" t="n">
        <x:v>1</x:v>
      </x:c>
      <x:c r="D75" s="54" t="n">
        <x:v>1</x:v>
      </x:c>
      <x:c r="E75" s="103" t="str">
        <x:v>Material-row source portal</x:v>
      </x:c>
      <x:c r="F75" s="103" t="str">
        <x:v>Source portal is identified, but edition/revision and property record locator remain unresolved.</x:v>
      </x:c>
    </x:row>
    <x:row r="76">
      <x:c r="A76" s="54" t="n">
        <x:v>1005</x:v>
      </x:c>
      <x:c r="B76" s="54" t="n">
        <x:v>13</x:v>
      </x:c>
      <x:c r="C76" s="54" t="n">
        <x:v>1</x:v>
      </x:c>
      <x:c r="D76" s="54" t="n">
        <x:v>1</x:v>
      </x:c>
      <x:c r="E76" s="103" t="str">
        <x:v>Material-row source portal</x:v>
      </x:c>
      <x:c r="F76" s="103" t="str">
        <x:v>Source portal is identified, but edition/revision and property record locator remain unresolved.</x:v>
      </x:c>
    </x:row>
    <x:row r="77">
      <x:c r="A77" s="54" t="n">
        <x:v>1005</x:v>
      </x:c>
      <x:c r="B77" s="54" t="n">
        <x:v>14</x:v>
      </x:c>
      <x:c r="C77" s="54" t="n">
        <x:v>1</x:v>
      </x:c>
      <x:c r="D77" s="54" t="n">
        <x:v>1</x:v>
      </x:c>
      <x:c r="E77" s="103" t="str">
        <x:v>Material-row source portal</x:v>
      </x:c>
      <x:c r="F77" s="103" t="str">
        <x:v>Source portal is identified, but edition/revision and property record locator remain unresolved.</x:v>
      </x:c>
    </x:row>
    <x:row r="78">
      <x:c r="A78" s="54" t="n">
        <x:v>1005</x:v>
      </x:c>
      <x:c r="B78" s="54" t="n">
        <x:v>15</x:v>
      </x:c>
      <x:c r="C78" s="54" t="n">
        <x:v>1</x:v>
      </x:c>
      <x:c r="D78" s="54" t="n">
        <x:v>1</x:v>
      </x:c>
      <x:c r="E78" s="103" t="str">
        <x:v>Material-row source portal</x:v>
      </x:c>
      <x:c r="F78" s="103" t="str">
        <x:v>Source portal is identified, but edition/revision and property record locator remain unresolved.</x:v>
      </x:c>
    </x:row>
    <x:row r="79">
      <x:c r="A79" s="54" t="n">
        <x:v>1005</x:v>
      </x:c>
      <x:c r="B79" s="54" t="n">
        <x:v>16</x:v>
      </x:c>
      <x:c r="C79" s="54" t="n">
        <x:v>1</x:v>
      </x:c>
      <x:c r="D79" s="54" t="n">
        <x:v>1</x:v>
      </x:c>
      <x:c r="E79" s="103" t="str">
        <x:v>Material-row source portal</x:v>
      </x:c>
      <x:c r="F79" s="103" t="str">
        <x:v>Source portal is identified, but edition/revision and property record locator remain unresolved.</x:v>
      </x:c>
    </x:row>
    <x:row r="80">
      <x:c r="A80" s="54" t="n">
        <x:v>1005</x:v>
      </x:c>
      <x:c r="B80" s="54" t="n">
        <x:v>17</x:v>
      </x:c>
      <x:c r="C80" s="54" t="n">
        <x:v>1</x:v>
      </x:c>
      <x:c r="D80" s="54" t="n">
        <x:v>1</x:v>
      </x:c>
      <x:c r="E80" s="103" t="str">
        <x:v>Material-row source portal</x:v>
      </x:c>
      <x:c r="F80" s="103" t="str">
        <x:v>Source portal is identified, but edition/revision and property record locator remain unresolved.</x:v>
      </x:c>
    </x:row>
    <x:row r="81">
      <x:c r="A81" s="54" t="n">
        <x:v>1005</x:v>
      </x:c>
      <x:c r="B81" s="54" t="n">
        <x:v>18</x:v>
      </x:c>
      <x:c r="C81" s="54" t="n">
        <x:v>1</x:v>
      </x:c>
      <x:c r="D81" s="54" t="n">
        <x:v>1</x:v>
      </x:c>
      <x:c r="E81" s="103" t="str">
        <x:v>Formula-derived from E and Poisson ratio; input records inherit the material-row source</x:v>
      </x:c>
      <x:c r="F81" s="103" t="str">
        <x:v>Source portal is identified, but edition/revision and property record locator remain unresolved.</x:v>
      </x:c>
    </x:row>
    <x:row r="82">
      <x:c r="A82" s="54" t="n">
        <x:v>1006</x:v>
      </x:c>
      <x:c r="B82" s="54" t="n">
        <x:v>1</x:v>
      </x:c>
      <x:c r="C82" s="54" t="n">
        <x:v>1</x:v>
      </x:c>
      <x:c r="D82" s="54" t="n">
        <x:v>1</x:v>
      </x:c>
      <x:c r="E82" s="103" t="str">
        <x:v>Material-row source portal</x:v>
      </x:c>
      <x:c r="F82" s="103" t="str">
        <x:v>Source portal is identified, but edition/revision and property record locator remain unresolved.</x:v>
      </x:c>
    </x:row>
    <x:row r="83">
      <x:c r="A83" s="54" t="n">
        <x:v>1006</x:v>
      </x:c>
      <x:c r="B83" s="54" t="n">
        <x:v>2</x:v>
      </x:c>
      <x:c r="C83" s="54" t="n">
        <x:v>1</x:v>
      </x:c>
      <x:c r="D83" s="54" t="n">
        <x:v>1</x:v>
      </x:c>
      <x:c r="E83" s="103" t="str">
        <x:v>Material-row source portal</x:v>
      </x:c>
      <x:c r="F83" s="103" t="str">
        <x:v>Source portal is identified, but edition/revision and property record locator remain unresolved.</x:v>
      </x:c>
    </x:row>
    <x:row r="84">
      <x:c r="A84" s="54" t="n">
        <x:v>1006</x:v>
      </x:c>
      <x:c r="B84" s="54" t="n">
        <x:v>3</x:v>
      </x:c>
      <x:c r="C84" s="54" t="n">
        <x:v>1</x:v>
      </x:c>
      <x:c r="D84" s="54" t="n">
        <x:v>1</x:v>
      </x:c>
      <x:c r="E84" s="103" t="str">
        <x:v>Formula-derived from E and Poisson ratio; input records inherit the material-row source</x:v>
      </x:c>
      <x:c r="F84" s="103" t="str">
        <x:v>Source portal is identified, but edition/revision and property record locator remain unresolved.</x:v>
      </x:c>
    </x:row>
    <x:row r="85">
      <x:c r="A85" s="54" t="n">
        <x:v>1006</x:v>
      </x:c>
      <x:c r="B85" s="54" t="n">
        <x:v>4</x:v>
      </x:c>
      <x:c r="C85" s="54" t="n">
        <x:v>1</x:v>
      </x:c>
      <x:c r="D85" s="54" t="n">
        <x:v>1</x:v>
      </x:c>
      <x:c r="E85" s="103" t="str">
        <x:v>Material-row source portal</x:v>
      </x:c>
      <x:c r="F85" s="103" t="str">
        <x:v>Source portal is identified, but edition/revision and property record locator remain unresolved.</x:v>
      </x:c>
    </x:row>
    <x:row r="86">
      <x:c r="A86" s="54" t="n">
        <x:v>1006</x:v>
      </x:c>
      <x:c r="B86" s="54" t="n">
        <x:v>5</x:v>
      </x:c>
      <x:c r="C86" s="54" t="n">
        <x:v>1</x:v>
      </x:c>
      <x:c r="D86" s="54" t="n">
        <x:v>1</x:v>
      </x:c>
      <x:c r="E86" s="103" t="str">
        <x:v>Material-row source portal</x:v>
      </x:c>
      <x:c r="F86" s="103" t="str">
        <x:v>Source portal is identified, but edition/revision and property record locator remain unresolved.</x:v>
      </x:c>
    </x:row>
    <x:row r="87">
      <x:c r="A87" s="54" t="n">
        <x:v>1006</x:v>
      </x:c>
      <x:c r="B87" s="54" t="n">
        <x:v>6</x:v>
      </x:c>
      <x:c r="C87" s="54" t="n">
        <x:v>1</x:v>
      </x:c>
      <x:c r="D87" s="54" t="n">
        <x:v>1</x:v>
      </x:c>
      <x:c r="E87" s="103" t="str">
        <x:v>Material-row source portal</x:v>
      </x:c>
      <x:c r="F87" s="103" t="str">
        <x:v>Source portal is identified, but edition/revision and property record locator remain unresolved.</x:v>
      </x:c>
    </x:row>
    <x:row r="88">
      <x:c r="A88" s="54" t="n">
        <x:v>1006</x:v>
      </x:c>
      <x:c r="B88" s="54" t="n">
        <x:v>9</x:v>
      </x:c>
      <x:c r="C88" s="54" t="n">
        <x:v>1</x:v>
      </x:c>
      <x:c r="D88" s="54" t="n">
        <x:v>1</x:v>
      </x:c>
      <x:c r="E88" s="103" t="str">
        <x:v>Material-row source portal</x:v>
      </x:c>
      <x:c r="F88" s="103" t="str">
        <x:v>Source portal is identified, but edition/revision and property record locator remain unresolved.</x:v>
      </x:c>
    </x:row>
    <x:row r="89">
      <x:c r="A89" s="54" t="n">
        <x:v>1006</x:v>
      </x:c>
      <x:c r="B89" s="54" t="n">
        <x:v>10</x:v>
      </x:c>
      <x:c r="C89" s="54" t="n">
        <x:v>1</x:v>
      </x:c>
      <x:c r="D89" s="54" t="n">
        <x:v>1</x:v>
      </x:c>
      <x:c r="E89" s="103" t="str">
        <x:v>Material-row source portal</x:v>
      </x:c>
      <x:c r="F89" s="103" t="str">
        <x:v>Source portal is identified, but edition/revision and property record locator remain unresolved.</x:v>
      </x:c>
    </x:row>
    <x:row r="90">
      <x:c r="A90" s="54" t="n">
        <x:v>1006</x:v>
      </x:c>
      <x:c r="B90" s="54" t="n">
        <x:v>11</x:v>
      </x:c>
      <x:c r="C90" s="54" t="n">
        <x:v>1</x:v>
      </x:c>
      <x:c r="D90" s="54" t="n">
        <x:v>1</x:v>
      </x:c>
      <x:c r="E90" s="103" t="str">
        <x:v>Material-row source portal</x:v>
      </x:c>
      <x:c r="F90" s="103" t="str">
        <x:v>Source portal is identified, but edition/revision and property record locator remain unresolved.</x:v>
      </x:c>
    </x:row>
    <x:row r="91">
      <x:c r="A91" s="54" t="n">
        <x:v>1006</x:v>
      </x:c>
      <x:c r="B91" s="54" t="n">
        <x:v>12</x:v>
      </x:c>
      <x:c r="C91" s="54" t="n">
        <x:v>1</x:v>
      </x:c>
      <x:c r="D91" s="54" t="n">
        <x:v>1</x:v>
      </x:c>
      <x:c r="E91" s="103" t="str">
        <x:v>Material-row source portal</x:v>
      </x:c>
      <x:c r="F91" s="103" t="str">
        <x:v>Source portal is identified, but edition/revision and property record locator remain unresolved.</x:v>
      </x:c>
    </x:row>
    <x:row r="92">
      <x:c r="A92" s="54" t="n">
        <x:v>1006</x:v>
      </x:c>
      <x:c r="B92" s="54" t="n">
        <x:v>13</x:v>
      </x:c>
      <x:c r="C92" s="54" t="n">
        <x:v>1</x:v>
      </x:c>
      <x:c r="D92" s="54" t="n">
        <x:v>1</x:v>
      </x:c>
      <x:c r="E92" s="103" t="str">
        <x:v>Material-row source portal</x:v>
      </x:c>
      <x:c r="F92" s="103" t="str">
        <x:v>Source portal is identified, but edition/revision and property record locator remain unresolved.</x:v>
      </x:c>
    </x:row>
    <x:row r="93">
      <x:c r="A93" s="54" t="n">
        <x:v>1006</x:v>
      </x:c>
      <x:c r="B93" s="54" t="n">
        <x:v>14</x:v>
      </x:c>
      <x:c r="C93" s="54" t="n">
        <x:v>1</x:v>
      </x:c>
      <x:c r="D93" s="54" t="n">
        <x:v>1</x:v>
      </x:c>
      <x:c r="E93" s="103" t="str">
        <x:v>Material-row source portal</x:v>
      </x:c>
      <x:c r="F93" s="103" t="str">
        <x:v>Source portal is identified, but edition/revision and property record locator remain unresolved.</x:v>
      </x:c>
    </x:row>
    <x:row r="94">
      <x:c r="A94" s="54" t="n">
        <x:v>1006</x:v>
      </x:c>
      <x:c r="B94" s="54" t="n">
        <x:v>15</x:v>
      </x:c>
      <x:c r="C94" s="54" t="n">
        <x:v>1</x:v>
      </x:c>
      <x:c r="D94" s="54" t="n">
        <x:v>1</x:v>
      </x:c>
      <x:c r="E94" s="103" t="str">
        <x:v>Material-row source portal</x:v>
      </x:c>
      <x:c r="F94" s="103" t="str">
        <x:v>Source portal is identified, but edition/revision and property record locator remain unresolved.</x:v>
      </x:c>
    </x:row>
    <x:row r="95">
      <x:c r="A95" s="54" t="n">
        <x:v>1006</x:v>
      </x:c>
      <x:c r="B95" s="54" t="n">
        <x:v>16</x:v>
      </x:c>
      <x:c r="C95" s="54" t="n">
        <x:v>1</x:v>
      </x:c>
      <x:c r="D95" s="54" t="n">
        <x:v>1</x:v>
      </x:c>
      <x:c r="E95" s="103" t="str">
        <x:v>Material-row source portal</x:v>
      </x:c>
      <x:c r="F95" s="103" t="str">
        <x:v>Source portal is identified, but edition/revision and property record locator remain unresolved.</x:v>
      </x:c>
    </x:row>
    <x:row r="96">
      <x:c r="A96" s="54" t="n">
        <x:v>1006</x:v>
      </x:c>
      <x:c r="B96" s="54" t="n">
        <x:v>17</x:v>
      </x:c>
      <x:c r="C96" s="54" t="n">
        <x:v>1</x:v>
      </x:c>
      <x:c r="D96" s="54" t="n">
        <x:v>1</x:v>
      </x:c>
      <x:c r="E96" s="103" t="str">
        <x:v>Material-row source portal</x:v>
      </x:c>
      <x:c r="F96" s="103" t="str">
        <x:v>Source portal is identified, but edition/revision and property record locator remain unresolved.</x:v>
      </x:c>
    </x:row>
    <x:row r="97">
      <x:c r="A97" s="54" t="n">
        <x:v>1006</x:v>
      </x:c>
      <x:c r="B97" s="54" t="n">
        <x:v>18</x:v>
      </x:c>
      <x:c r="C97" s="54" t="n">
        <x:v>1</x:v>
      </x:c>
      <x:c r="D97" s="54" t="n">
        <x:v>1</x:v>
      </x:c>
      <x:c r="E97" s="103" t="str">
        <x:v>Formula-derived from E and Poisson ratio; input records inherit the material-row source</x:v>
      </x:c>
      <x:c r="F97" s="103" t="str">
        <x:v>Source portal is identified, but edition/revision and property record locator remain unresolved.</x:v>
      </x:c>
    </x:row>
    <x:row r="98">
      <x:c r="A98" s="54" t="n">
        <x:v>1007</x:v>
      </x:c>
      <x:c r="B98" s="54" t="n">
        <x:v>1</x:v>
      </x:c>
      <x:c r="C98" s="54" t="n">
        <x:v>1</x:v>
      </x:c>
      <x:c r="D98" s="54" t="n">
        <x:v>1</x:v>
      </x:c>
      <x:c r="E98" s="103" t="str">
        <x:v>Material-row source portal</x:v>
      </x:c>
      <x:c r="F98" s="103" t="str">
        <x:v>Source portal is identified, but edition/revision and property record locator remain unresolved.</x:v>
      </x:c>
    </x:row>
    <x:row r="99">
      <x:c r="A99" s="54" t="n">
        <x:v>1007</x:v>
      </x:c>
      <x:c r="B99" s="54" t="n">
        <x:v>2</x:v>
      </x:c>
      <x:c r="C99" s="54" t="n">
        <x:v>1</x:v>
      </x:c>
      <x:c r="D99" s="54" t="n">
        <x:v>1</x:v>
      </x:c>
      <x:c r="E99" s="103" t="str">
        <x:v>Material-row source portal</x:v>
      </x:c>
      <x:c r="F99" s="103" t="str">
        <x:v>Source portal is identified, but edition/revision and property record locator remain unresolved.</x:v>
      </x:c>
    </x:row>
    <x:row r="100">
      <x:c r="A100" s="54" t="n">
        <x:v>1007</x:v>
      </x:c>
      <x:c r="B100" s="54" t="n">
        <x:v>3</x:v>
      </x:c>
      <x:c r="C100" s="54" t="n">
        <x:v>1</x:v>
      </x:c>
      <x:c r="D100" s="54" t="n">
        <x:v>1</x:v>
      </x:c>
      <x:c r="E100" s="103" t="str">
        <x:v>Formula-derived from E and Poisson ratio; input records inherit the material-row source</x:v>
      </x:c>
      <x:c r="F100" s="103" t="str">
        <x:v>Source portal is identified, but edition/revision and property record locator remain unresolved.</x:v>
      </x:c>
    </x:row>
    <x:row r="101">
      <x:c r="A101" s="54" t="n">
        <x:v>1007</x:v>
      </x:c>
      <x:c r="B101" s="54" t="n">
        <x:v>4</x:v>
      </x:c>
      <x:c r="C101" s="54" t="n">
        <x:v>1</x:v>
      </x:c>
      <x:c r="D101" s="54" t="n">
        <x:v>1</x:v>
      </x:c>
      <x:c r="E101" s="103" t="str">
        <x:v>Material-row source portal</x:v>
      </x:c>
      <x:c r="F101" s="103" t="str">
        <x:v>Source portal is identified, but edition/revision and property record locator remain unresolved.</x:v>
      </x:c>
    </x:row>
    <x:row r="102">
      <x:c r="A102" s="54" t="n">
        <x:v>1007</x:v>
      </x:c>
      <x:c r="B102" s="54" t="n">
        <x:v>5</x:v>
      </x:c>
      <x:c r="C102" s="54" t="n">
        <x:v>1</x:v>
      </x:c>
      <x:c r="D102" s="54" t="n">
        <x:v>1</x:v>
      </x:c>
      <x:c r="E102" s="103" t="str">
        <x:v>Material-row source portal</x:v>
      </x:c>
      <x:c r="F102" s="103" t="str">
        <x:v>Source portal is identified, but edition/revision and property record locator remain unresolved.</x:v>
      </x:c>
    </x:row>
    <x:row r="103">
      <x:c r="A103" s="54" t="n">
        <x:v>1007</x:v>
      </x:c>
      <x:c r="B103" s="54" t="n">
        <x:v>6</x:v>
      </x:c>
      <x:c r="C103" s="54" t="n">
        <x:v>1</x:v>
      </x:c>
      <x:c r="D103" s="54" t="n">
        <x:v>1</x:v>
      </x:c>
      <x:c r="E103" s="103" t="str">
        <x:v>Material-row source portal</x:v>
      </x:c>
      <x:c r="F103" s="103" t="str">
        <x:v>Source portal is identified, but edition/revision and property record locator remain unresolved.</x:v>
      </x:c>
    </x:row>
    <x:row r="104">
      <x:c r="A104" s="54" t="n">
        <x:v>1007</x:v>
      </x:c>
      <x:c r="B104" s="54" t="n">
        <x:v>9</x:v>
      </x:c>
      <x:c r="C104" s="54" t="n">
        <x:v>1</x:v>
      </x:c>
      <x:c r="D104" s="54" t="n">
        <x:v>1</x:v>
      </x:c>
      <x:c r="E104" s="103" t="str">
        <x:v>Material-row source portal</x:v>
      </x:c>
      <x:c r="F104" s="103" t="str">
        <x:v>Source portal is identified, but edition/revision and property record locator remain unresolved.</x:v>
      </x:c>
    </x:row>
    <x:row r="105">
      <x:c r="A105" s="54" t="n">
        <x:v>1007</x:v>
      </x:c>
      <x:c r="B105" s="54" t="n">
        <x:v>10</x:v>
      </x:c>
      <x:c r="C105" s="54" t="n">
        <x:v>1</x:v>
      </x:c>
      <x:c r="D105" s="54" t="n">
        <x:v>1</x:v>
      </x:c>
      <x:c r="E105" s="103" t="str">
        <x:v>Material-row source portal</x:v>
      </x:c>
      <x:c r="F105" s="103" t="str">
        <x:v>Source portal is identified, but edition/revision and property record locator remain unresolved.</x:v>
      </x:c>
    </x:row>
    <x:row r="106">
      <x:c r="A106" s="54" t="n">
        <x:v>1007</x:v>
      </x:c>
      <x:c r="B106" s="54" t="n">
        <x:v>11</x:v>
      </x:c>
      <x:c r="C106" s="54" t="n">
        <x:v>1</x:v>
      </x:c>
      <x:c r="D106" s="54" t="n">
        <x:v>1</x:v>
      </x:c>
      <x:c r="E106" s="103" t="str">
        <x:v>Material-row source portal</x:v>
      </x:c>
      <x:c r="F106" s="103" t="str">
        <x:v>Source portal is identified, but edition/revision and property record locator remain unresolved.</x:v>
      </x:c>
    </x:row>
    <x:row r="107">
      <x:c r="A107" s="54" t="n">
        <x:v>1007</x:v>
      </x:c>
      <x:c r="B107" s="54" t="n">
        <x:v>12</x:v>
      </x:c>
      <x:c r="C107" s="54" t="n">
        <x:v>1</x:v>
      </x:c>
      <x:c r="D107" s="54" t="n">
        <x:v>1</x:v>
      </x:c>
      <x:c r="E107" s="103" t="str">
        <x:v>Material-row source portal</x:v>
      </x:c>
      <x:c r="F107" s="103" t="str">
        <x:v>Source portal is identified, but edition/revision and property record locator remain unresolved.</x:v>
      </x:c>
    </x:row>
    <x:row r="108">
      <x:c r="A108" s="54" t="n">
        <x:v>1007</x:v>
      </x:c>
      <x:c r="B108" s="54" t="n">
        <x:v>13</x:v>
      </x:c>
      <x:c r="C108" s="54" t="n">
        <x:v>1</x:v>
      </x:c>
      <x:c r="D108" s="54" t="n">
        <x:v>1</x:v>
      </x:c>
      <x:c r="E108" s="103" t="str">
        <x:v>Material-row source portal</x:v>
      </x:c>
      <x:c r="F108" s="103" t="str">
        <x:v>Source portal is identified, but edition/revision and property record locator remain unresolved.</x:v>
      </x:c>
    </x:row>
    <x:row r="109">
      <x:c r="A109" s="54" t="n">
        <x:v>1007</x:v>
      </x:c>
      <x:c r="B109" s="54" t="n">
        <x:v>14</x:v>
      </x:c>
      <x:c r="C109" s="54" t="n">
        <x:v>1</x:v>
      </x:c>
      <x:c r="D109" s="54" t="n">
        <x:v>1</x:v>
      </x:c>
      <x:c r="E109" s="103" t="str">
        <x:v>Material-row source portal</x:v>
      </x:c>
      <x:c r="F109" s="103" t="str">
        <x:v>Source portal is identified, but edition/revision and property record locator remain unresolved.</x:v>
      </x:c>
    </x:row>
    <x:row r="110">
      <x:c r="A110" s="54" t="n">
        <x:v>1007</x:v>
      </x:c>
      <x:c r="B110" s="54" t="n">
        <x:v>15</x:v>
      </x:c>
      <x:c r="C110" s="54" t="n">
        <x:v>1</x:v>
      </x:c>
      <x:c r="D110" s="54" t="n">
        <x:v>1</x:v>
      </x:c>
      <x:c r="E110" s="103" t="str">
        <x:v>Material-row source portal</x:v>
      </x:c>
      <x:c r="F110" s="103" t="str">
        <x:v>Source portal is identified, but edition/revision and property record locator remain unresolved.</x:v>
      </x:c>
    </x:row>
    <x:row r="111">
      <x:c r="A111" s="54" t="n">
        <x:v>1007</x:v>
      </x:c>
      <x:c r="B111" s="54" t="n">
        <x:v>16</x:v>
      </x:c>
      <x:c r="C111" s="54" t="n">
        <x:v>1</x:v>
      </x:c>
      <x:c r="D111" s="54" t="n">
        <x:v>1</x:v>
      </x:c>
      <x:c r="E111" s="103" t="str">
        <x:v>Material-row source portal</x:v>
      </x:c>
      <x:c r="F111" s="103" t="str">
        <x:v>Source portal is identified, but edition/revision and property record locator remain unresolved.</x:v>
      </x:c>
    </x:row>
    <x:row r="112">
      <x:c r="A112" s="54" t="n">
        <x:v>1007</x:v>
      </x:c>
      <x:c r="B112" s="54" t="n">
        <x:v>17</x:v>
      </x:c>
      <x:c r="C112" s="54" t="n">
        <x:v>1</x:v>
      </x:c>
      <x:c r="D112" s="54" t="n">
        <x:v>1</x:v>
      </x:c>
      <x:c r="E112" s="103" t="str">
        <x:v>Material-row source portal</x:v>
      </x:c>
      <x:c r="F112" s="103" t="str">
        <x:v>Source portal is identified, but edition/revision and property record locator remain unresolved.</x:v>
      </x:c>
    </x:row>
    <x:row r="113">
      <x:c r="A113" s="54" t="n">
        <x:v>1007</x:v>
      </x:c>
      <x:c r="B113" s="54" t="n">
        <x:v>18</x:v>
      </x:c>
      <x:c r="C113" s="54" t="n">
        <x:v>1</x:v>
      </x:c>
      <x:c r="D113" s="54" t="n">
        <x:v>1</x:v>
      </x:c>
      <x:c r="E113" s="103" t="str">
        <x:v>Formula-derived from E and Poisson ratio; input records inherit the material-row source</x:v>
      </x:c>
      <x:c r="F113" s="103" t="str">
        <x:v>Source portal is identified, but edition/revision and property record locator remain unresolved.</x:v>
      </x:c>
    </x:row>
    <x:row r="114">
      <x:c r="A114" s="54" t="n">
        <x:v>1008</x:v>
      </x:c>
      <x:c r="B114" s="54" t="n">
        <x:v>1</x:v>
      </x:c>
      <x:c r="C114" s="54" t="n">
        <x:v>1</x:v>
      </x:c>
      <x:c r="D114" s="54" t="n">
        <x:v>1</x:v>
      </x:c>
      <x:c r="E114" s="103" t="str">
        <x:v>Material-row source portal</x:v>
      </x:c>
      <x:c r="F114" s="103" t="str">
        <x:v>Source portal is identified, but edition/revision and property record locator remain unresolved.</x:v>
      </x:c>
    </x:row>
    <x:row r="115">
      <x:c r="A115" s="54" t="n">
        <x:v>1008</x:v>
      </x:c>
      <x:c r="B115" s="54" t="n">
        <x:v>2</x:v>
      </x:c>
      <x:c r="C115" s="54" t="n">
        <x:v>1</x:v>
      </x:c>
      <x:c r="D115" s="54" t="n">
        <x:v>1</x:v>
      </x:c>
      <x:c r="E115" s="103" t="str">
        <x:v>Material-row source portal</x:v>
      </x:c>
      <x:c r="F115" s="103" t="str">
        <x:v>Source portal is identified, but edition/revision and property record locator remain unresolved.</x:v>
      </x:c>
    </x:row>
    <x:row r="116">
      <x:c r="A116" s="54" t="n">
        <x:v>1008</x:v>
      </x:c>
      <x:c r="B116" s="54" t="n">
        <x:v>3</x:v>
      </x:c>
      <x:c r="C116" s="54" t="n">
        <x:v>1</x:v>
      </x:c>
      <x:c r="D116" s="54" t="n">
        <x:v>1</x:v>
      </x:c>
      <x:c r="E116" s="103" t="str">
        <x:v>Formula-derived from E and Poisson ratio; input records inherit the material-row source</x:v>
      </x:c>
      <x:c r="F116" s="103" t="str">
        <x:v>Source portal is identified, but edition/revision and property record locator remain unresolved.</x:v>
      </x:c>
    </x:row>
    <x:row r="117">
      <x:c r="A117" s="54" t="n">
        <x:v>1008</x:v>
      </x:c>
      <x:c r="B117" s="54" t="n">
        <x:v>4</x:v>
      </x:c>
      <x:c r="C117" s="54" t="n">
        <x:v>1</x:v>
      </x:c>
      <x:c r="D117" s="54" t="n">
        <x:v>1</x:v>
      </x:c>
      <x:c r="E117" s="103" t="str">
        <x:v>Material-row source portal</x:v>
      </x:c>
      <x:c r="F117" s="103" t="str">
        <x:v>Source portal is identified, but edition/revision and property record locator remain unresolved.</x:v>
      </x:c>
    </x:row>
    <x:row r="118">
      <x:c r="A118" s="54" t="n">
        <x:v>1008</x:v>
      </x:c>
      <x:c r="B118" s="54" t="n">
        <x:v>5</x:v>
      </x:c>
      <x:c r="C118" s="54" t="n">
        <x:v>1</x:v>
      </x:c>
      <x:c r="D118" s="54" t="n">
        <x:v>1</x:v>
      </x:c>
      <x:c r="E118" s="103" t="str">
        <x:v>Material-row source portal</x:v>
      </x:c>
      <x:c r="F118" s="103" t="str">
        <x:v>Source portal is identified, but edition/revision and property record locator remain unresolved.</x:v>
      </x:c>
    </x:row>
    <x:row r="119">
      <x:c r="A119" s="54" t="n">
        <x:v>1008</x:v>
      </x:c>
      <x:c r="B119" s="54" t="n">
        <x:v>6</x:v>
      </x:c>
      <x:c r="C119" s="54" t="n">
        <x:v>1</x:v>
      </x:c>
      <x:c r="D119" s="54" t="n">
        <x:v>1</x:v>
      </x:c>
      <x:c r="E119" s="103" t="str">
        <x:v>Material-row source portal</x:v>
      </x:c>
      <x:c r="F119" s="103" t="str">
        <x:v>Source portal is identified, but edition/revision and property record locator remain unresolved.</x:v>
      </x:c>
    </x:row>
    <x:row r="120">
      <x:c r="A120" s="54" t="n">
        <x:v>1008</x:v>
      </x:c>
      <x:c r="B120" s="54" t="n">
        <x:v>9</x:v>
      </x:c>
      <x:c r="C120" s="54" t="n">
        <x:v>1</x:v>
      </x:c>
      <x:c r="D120" s="54" t="n">
        <x:v>1</x:v>
      </x:c>
      <x:c r="E120" s="103" t="str">
        <x:v>Material-row source portal</x:v>
      </x:c>
      <x:c r="F120" s="103" t="str">
        <x:v>Source portal is identified, but edition/revision and property record locator remain unresolved.</x:v>
      </x:c>
    </x:row>
    <x:row r="121">
      <x:c r="A121" s="54" t="n">
        <x:v>1008</x:v>
      </x:c>
      <x:c r="B121" s="54" t="n">
        <x:v>10</x:v>
      </x:c>
      <x:c r="C121" s="54" t="n">
        <x:v>1</x:v>
      </x:c>
      <x:c r="D121" s="54" t="n">
        <x:v>1</x:v>
      </x:c>
      <x:c r="E121" s="103" t="str">
        <x:v>Material-row source portal</x:v>
      </x:c>
      <x:c r="F121" s="103" t="str">
        <x:v>Source portal is identified, but edition/revision and property record locator remain unresolved.</x:v>
      </x:c>
    </x:row>
    <x:row r="122">
      <x:c r="A122" s="54" t="n">
        <x:v>1008</x:v>
      </x:c>
      <x:c r="B122" s="54" t="n">
        <x:v>11</x:v>
      </x:c>
      <x:c r="C122" s="54" t="n">
        <x:v>1</x:v>
      </x:c>
      <x:c r="D122" s="54" t="n">
        <x:v>1</x:v>
      </x:c>
      <x:c r="E122" s="103" t="str">
        <x:v>Material-row source portal</x:v>
      </x:c>
      <x:c r="F122" s="103" t="str">
        <x:v>Source portal is identified, but edition/revision and property record locator remain unresolved.</x:v>
      </x:c>
    </x:row>
    <x:row r="123">
      <x:c r="A123" s="54" t="n">
        <x:v>1008</x:v>
      </x:c>
      <x:c r="B123" s="54" t="n">
        <x:v>12</x:v>
      </x:c>
      <x:c r="C123" s="54" t="n">
        <x:v>1</x:v>
      </x:c>
      <x:c r="D123" s="54" t="n">
        <x:v>1</x:v>
      </x:c>
      <x:c r="E123" s="103" t="str">
        <x:v>Material-row source portal</x:v>
      </x:c>
      <x:c r="F123" s="103" t="str">
        <x:v>Source portal is identified, but edition/revision and property record locator remain unresolved.</x:v>
      </x:c>
    </x:row>
    <x:row r="124">
      <x:c r="A124" s="54" t="n">
        <x:v>1008</x:v>
      </x:c>
      <x:c r="B124" s="54" t="n">
        <x:v>13</x:v>
      </x:c>
      <x:c r="C124" s="54" t="n">
        <x:v>1</x:v>
      </x:c>
      <x:c r="D124" s="54" t="n">
        <x:v>1</x:v>
      </x:c>
      <x:c r="E124" s="103" t="str">
        <x:v>Material-row source portal</x:v>
      </x:c>
      <x:c r="F124" s="103" t="str">
        <x:v>Source portal is identified, but edition/revision and property record locator remain unresolved.</x:v>
      </x:c>
    </x:row>
    <x:row r="125">
      <x:c r="A125" s="54" t="n">
        <x:v>1008</x:v>
      </x:c>
      <x:c r="B125" s="54" t="n">
        <x:v>14</x:v>
      </x:c>
      <x:c r="C125" s="54" t="n">
        <x:v>1</x:v>
      </x:c>
      <x:c r="D125" s="54" t="n">
        <x:v>1</x:v>
      </x:c>
      <x:c r="E125" s="103" t="str">
        <x:v>Material-row source portal</x:v>
      </x:c>
      <x:c r="F125" s="103" t="str">
        <x:v>Source portal is identified, but edition/revision and property record locator remain unresolved.</x:v>
      </x:c>
    </x:row>
    <x:row r="126">
      <x:c r="A126" s="54" t="n">
        <x:v>1008</x:v>
      </x:c>
      <x:c r="B126" s="54" t="n">
        <x:v>15</x:v>
      </x:c>
      <x:c r="C126" s="54" t="n">
        <x:v>1</x:v>
      </x:c>
      <x:c r="D126" s="54" t="n">
        <x:v>1</x:v>
      </x:c>
      <x:c r="E126" s="103" t="str">
        <x:v>Material-row source portal</x:v>
      </x:c>
      <x:c r="F126" s="103" t="str">
        <x:v>Source portal is identified, but edition/revision and property record locator remain unresolved.</x:v>
      </x:c>
    </x:row>
    <x:row r="127">
      <x:c r="A127" s="54" t="n">
        <x:v>1008</x:v>
      </x:c>
      <x:c r="B127" s="54" t="n">
        <x:v>16</x:v>
      </x:c>
      <x:c r="C127" s="54" t="n">
        <x:v>1</x:v>
      </x:c>
      <x:c r="D127" s="54" t="n">
        <x:v>1</x:v>
      </x:c>
      <x:c r="E127" s="103" t="str">
        <x:v>Material-row source portal</x:v>
      </x:c>
      <x:c r="F127" s="103" t="str">
        <x:v>Source portal is identified, but edition/revision and property record locator remain unresolved.</x:v>
      </x:c>
    </x:row>
    <x:row r="128">
      <x:c r="A128" s="54" t="n">
        <x:v>1008</x:v>
      </x:c>
      <x:c r="B128" s="54" t="n">
        <x:v>17</x:v>
      </x:c>
      <x:c r="C128" s="54" t="n">
        <x:v>1</x:v>
      </x:c>
      <x:c r="D128" s="54" t="n">
        <x:v>1</x:v>
      </x:c>
      <x:c r="E128" s="103" t="str">
        <x:v>Material-row source portal</x:v>
      </x:c>
      <x:c r="F128" s="103" t="str">
        <x:v>Source portal is identified, but edition/revision and property record locator remain unresolved.</x:v>
      </x:c>
    </x:row>
    <x:row r="129">
      <x:c r="A129" s="54" t="n">
        <x:v>1008</x:v>
      </x:c>
      <x:c r="B129" s="54" t="n">
        <x:v>18</x:v>
      </x:c>
      <x:c r="C129" s="54" t="n">
        <x:v>1</x:v>
      </x:c>
      <x:c r="D129" s="54" t="n">
        <x:v>1</x:v>
      </x:c>
      <x:c r="E129" s="103" t="str">
        <x:v>Formula-derived from E and Poisson ratio; input records inherit the material-row source</x:v>
      </x:c>
      <x:c r="F129" s="103" t="str">
        <x:v>Source portal is identified, but edition/revision and property record locator remain unresolved.</x:v>
      </x:c>
    </x:row>
    <x:row r="130">
      <x:c r="A130" s="54" t="n">
        <x:v>1009</x:v>
      </x:c>
      <x:c r="B130" s="54" t="n">
        <x:v>1</x:v>
      </x:c>
      <x:c r="C130" s="54" t="n">
        <x:v>1</x:v>
      </x:c>
      <x:c r="D130" s="54" t="n">
        <x:v>1</x:v>
      </x:c>
      <x:c r="E130" s="103" t="str">
        <x:v>Material-row source portal</x:v>
      </x:c>
      <x:c r="F130" s="103" t="str">
        <x:v>Source portal is identified, but edition/revision and property record locator remain unresolved.</x:v>
      </x:c>
    </x:row>
    <x:row r="131">
      <x:c r="A131" s="54" t="n">
        <x:v>1009</x:v>
      </x:c>
      <x:c r="B131" s="54" t="n">
        <x:v>2</x:v>
      </x:c>
      <x:c r="C131" s="54" t="n">
        <x:v>1</x:v>
      </x:c>
      <x:c r="D131" s="54" t="n">
        <x:v>1</x:v>
      </x:c>
      <x:c r="E131" s="103" t="str">
        <x:v>Material-row source portal</x:v>
      </x:c>
      <x:c r="F131" s="103" t="str">
        <x:v>Source portal is identified, but edition/revision and property record locator remain unresolved.</x:v>
      </x:c>
    </x:row>
    <x:row r="132">
      <x:c r="A132" s="54" t="n">
        <x:v>1009</x:v>
      </x:c>
      <x:c r="B132" s="54" t="n">
        <x:v>3</x:v>
      </x:c>
      <x:c r="C132" s="54" t="n">
        <x:v>1</x:v>
      </x:c>
      <x:c r="D132" s="54" t="n">
        <x:v>1</x:v>
      </x:c>
      <x:c r="E132" s="103" t="str">
        <x:v>Formula-derived from E and Poisson ratio; input records inherit the material-row source</x:v>
      </x:c>
      <x:c r="F132" s="103" t="str">
        <x:v>Source portal is identified, but edition/revision and property record locator remain unresolved.</x:v>
      </x:c>
    </x:row>
    <x:row r="133">
      <x:c r="A133" s="54" t="n">
        <x:v>1009</x:v>
      </x:c>
      <x:c r="B133" s="54" t="n">
        <x:v>4</x:v>
      </x:c>
      <x:c r="C133" s="54" t="n">
        <x:v>1</x:v>
      </x:c>
      <x:c r="D133" s="54" t="n">
        <x:v>1</x:v>
      </x:c>
      <x:c r="E133" s="103" t="str">
        <x:v>Material-row source portal</x:v>
      </x:c>
      <x:c r="F133" s="103" t="str">
        <x:v>Source portal is identified, but edition/revision and property record locator remain unresolved.</x:v>
      </x:c>
    </x:row>
    <x:row r="134">
      <x:c r="A134" s="54" t="n">
        <x:v>1009</x:v>
      </x:c>
      <x:c r="B134" s="54" t="n">
        <x:v>5</x:v>
      </x:c>
      <x:c r="C134" s="54" t="n">
        <x:v>1</x:v>
      </x:c>
      <x:c r="D134" s="54" t="n">
        <x:v>1</x:v>
      </x:c>
      <x:c r="E134" s="103" t="str">
        <x:v>Material-row source portal</x:v>
      </x:c>
      <x:c r="F134" s="103" t="str">
        <x:v>Source portal is identified, but edition/revision and property record locator remain unresolved.</x:v>
      </x:c>
    </x:row>
    <x:row r="135">
      <x:c r="A135" s="54" t="n">
        <x:v>1009</x:v>
      </x:c>
      <x:c r="B135" s="54" t="n">
        <x:v>6</x:v>
      </x:c>
      <x:c r="C135" s="54" t="n">
        <x:v>1</x:v>
      </x:c>
      <x:c r="D135" s="54" t="n">
        <x:v>1</x:v>
      </x:c>
      <x:c r="E135" s="103" t="str">
        <x:v>Material-row source portal</x:v>
      </x:c>
      <x:c r="F135" s="103" t="str">
        <x:v>Source portal is identified, but edition/revision and property record locator remain unresolved.</x:v>
      </x:c>
    </x:row>
    <x:row r="136">
      <x:c r="A136" s="54" t="n">
        <x:v>1009</x:v>
      </x:c>
      <x:c r="B136" s="54" t="n">
        <x:v>9</x:v>
      </x:c>
      <x:c r="C136" s="54" t="n">
        <x:v>1</x:v>
      </x:c>
      <x:c r="D136" s="54" t="n">
        <x:v>1</x:v>
      </x:c>
      <x:c r="E136" s="103" t="str">
        <x:v>Material-row source portal</x:v>
      </x:c>
      <x:c r="F136" s="103" t="str">
        <x:v>Source portal is identified, but edition/revision and property record locator remain unresolved.</x:v>
      </x:c>
    </x:row>
    <x:row r="137">
      <x:c r="A137" s="54" t="n">
        <x:v>1009</x:v>
      </x:c>
      <x:c r="B137" s="54" t="n">
        <x:v>10</x:v>
      </x:c>
      <x:c r="C137" s="54" t="n">
        <x:v>1</x:v>
      </x:c>
      <x:c r="D137" s="54" t="n">
        <x:v>1</x:v>
      </x:c>
      <x:c r="E137" s="103" t="str">
        <x:v>Material-row source portal</x:v>
      </x:c>
      <x:c r="F137" s="103" t="str">
        <x:v>Source portal is identified, but edition/revision and property record locator remain unresolved.</x:v>
      </x:c>
    </x:row>
    <x:row r="138">
      <x:c r="A138" s="54" t="n">
        <x:v>1009</x:v>
      </x:c>
      <x:c r="B138" s="54" t="n">
        <x:v>11</x:v>
      </x:c>
      <x:c r="C138" s="54" t="n">
        <x:v>1</x:v>
      </x:c>
      <x:c r="D138" s="54" t="n">
        <x:v>1</x:v>
      </x:c>
      <x:c r="E138" s="103" t="str">
        <x:v>Material-row source portal</x:v>
      </x:c>
      <x:c r="F138" s="103" t="str">
        <x:v>Source portal is identified, but edition/revision and property record locator remain unresolved.</x:v>
      </x:c>
    </x:row>
    <x:row r="139">
      <x:c r="A139" s="54" t="n">
        <x:v>1009</x:v>
      </x:c>
      <x:c r="B139" s="54" t="n">
        <x:v>12</x:v>
      </x:c>
      <x:c r="C139" s="54" t="n">
        <x:v>1</x:v>
      </x:c>
      <x:c r="D139" s="54" t="n">
        <x:v>1</x:v>
      </x:c>
      <x:c r="E139" s="103" t="str">
        <x:v>Material-row source portal</x:v>
      </x:c>
      <x:c r="F139" s="103" t="str">
        <x:v>Source portal is identified, but edition/revision and property record locator remain unresolved.</x:v>
      </x:c>
    </x:row>
    <x:row r="140">
      <x:c r="A140" s="54" t="n">
        <x:v>1009</x:v>
      </x:c>
      <x:c r="B140" s="54" t="n">
        <x:v>13</x:v>
      </x:c>
      <x:c r="C140" s="54" t="n">
        <x:v>1</x:v>
      </x:c>
      <x:c r="D140" s="54" t="n">
        <x:v>1</x:v>
      </x:c>
      <x:c r="E140" s="103" t="str">
        <x:v>Material-row source portal</x:v>
      </x:c>
      <x:c r="F140" s="103" t="str">
        <x:v>Source portal is identified, but edition/revision and property record locator remain unresolved.</x:v>
      </x:c>
    </x:row>
    <x:row r="141">
      <x:c r="A141" s="54" t="n">
        <x:v>1009</x:v>
      </x:c>
      <x:c r="B141" s="54" t="n">
        <x:v>14</x:v>
      </x:c>
      <x:c r="C141" s="54" t="n">
        <x:v>1</x:v>
      </x:c>
      <x:c r="D141" s="54" t="n">
        <x:v>1</x:v>
      </x:c>
      <x:c r="E141" s="103" t="str">
        <x:v>Material-row source portal</x:v>
      </x:c>
      <x:c r="F141" s="103" t="str">
        <x:v>Source portal is identified, but edition/revision and property record locator remain unresolved.</x:v>
      </x:c>
    </x:row>
    <x:row r="142">
      <x:c r="A142" s="54" t="n">
        <x:v>1009</x:v>
      </x:c>
      <x:c r="B142" s="54" t="n">
        <x:v>15</x:v>
      </x:c>
      <x:c r="C142" s="54" t="n">
        <x:v>1</x:v>
      </x:c>
      <x:c r="D142" s="54" t="n">
        <x:v>1</x:v>
      </x:c>
      <x:c r="E142" s="103" t="str">
        <x:v>Material-row source portal</x:v>
      </x:c>
      <x:c r="F142" s="103" t="str">
        <x:v>Source portal is identified, but edition/revision and property record locator remain unresolved.</x:v>
      </x:c>
    </x:row>
    <x:row r="143">
      <x:c r="A143" s="54" t="n">
        <x:v>1009</x:v>
      </x:c>
      <x:c r="B143" s="54" t="n">
        <x:v>16</x:v>
      </x:c>
      <x:c r="C143" s="54" t="n">
        <x:v>1</x:v>
      </x:c>
      <x:c r="D143" s="54" t="n">
        <x:v>1</x:v>
      </x:c>
      <x:c r="E143" s="103" t="str">
        <x:v>Material-row source portal</x:v>
      </x:c>
      <x:c r="F143" s="103" t="str">
        <x:v>Source portal is identified, but edition/revision and property record locator remain unresolved.</x:v>
      </x:c>
    </x:row>
    <x:row r="144">
      <x:c r="A144" s="54" t="n">
        <x:v>1009</x:v>
      </x:c>
      <x:c r="B144" s="54" t="n">
        <x:v>17</x:v>
      </x:c>
      <x:c r="C144" s="54" t="n">
        <x:v>1</x:v>
      </x:c>
      <x:c r="D144" s="54" t="n">
        <x:v>1</x:v>
      </x:c>
      <x:c r="E144" s="103" t="str">
        <x:v>Material-row source portal</x:v>
      </x:c>
      <x:c r="F144" s="103" t="str">
        <x:v>Source portal is identified, but edition/revision and property record locator remain unresolved.</x:v>
      </x:c>
    </x:row>
    <x:row r="145">
      <x:c r="A145" s="54" t="n">
        <x:v>1009</x:v>
      </x:c>
      <x:c r="B145" s="54" t="n">
        <x:v>18</x:v>
      </x:c>
      <x:c r="C145" s="54" t="n">
        <x:v>1</x:v>
      </x:c>
      <x:c r="D145" s="54" t="n">
        <x:v>1</x:v>
      </x:c>
      <x:c r="E145" s="103" t="str">
        <x:v>Formula-derived from E and Poisson ratio; input records inherit the material-row source</x:v>
      </x:c>
      <x:c r="F145" s="103" t="str">
        <x:v>Source portal is identified, but edition/revision and property record locator remain unresolved.</x:v>
      </x:c>
    </x:row>
    <x:row r="146">
      <x:c r="A146" s="54" t="n">
        <x:v>1010</x:v>
      </x:c>
      <x:c r="B146" s="54" t="n">
        <x:v>1</x:v>
      </x:c>
      <x:c r="C146" s="54" t="n">
        <x:v>1</x:v>
      </x:c>
      <x:c r="D146" s="54" t="n">
        <x:v>1</x:v>
      </x:c>
      <x:c r="E146" s="103" t="str">
        <x:v>Material-row source portal</x:v>
      </x:c>
      <x:c r="F146" s="103" t="str">
        <x:v>Source portal is identified, but edition/revision and property record locator remain unresolved.</x:v>
      </x:c>
    </x:row>
    <x:row r="147">
      <x:c r="A147" s="54" t="n">
        <x:v>1010</x:v>
      </x:c>
      <x:c r="B147" s="54" t="n">
        <x:v>2</x:v>
      </x:c>
      <x:c r="C147" s="54" t="n">
        <x:v>1</x:v>
      </x:c>
      <x:c r="D147" s="54" t="n">
        <x:v>1</x:v>
      </x:c>
      <x:c r="E147" s="103" t="str">
        <x:v>Material-row source portal</x:v>
      </x:c>
      <x:c r="F147" s="103" t="str">
        <x:v>Source portal is identified, but edition/revision and property record locator remain unresolved.</x:v>
      </x:c>
    </x:row>
    <x:row r="148">
      <x:c r="A148" s="54" t="n">
        <x:v>1010</x:v>
      </x:c>
      <x:c r="B148" s="54" t="n">
        <x:v>3</x:v>
      </x:c>
      <x:c r="C148" s="54" t="n">
        <x:v>1</x:v>
      </x:c>
      <x:c r="D148" s="54" t="n">
        <x:v>1</x:v>
      </x:c>
      <x:c r="E148" s="103" t="str">
        <x:v>Formula-derived from E and Poisson ratio; input records inherit the material-row source</x:v>
      </x:c>
      <x:c r="F148" s="103" t="str">
        <x:v>Source portal is identified, but edition/revision and property record locator remain unresolved.</x:v>
      </x:c>
    </x:row>
    <x:row r="149">
      <x:c r="A149" s="54" t="n">
        <x:v>1010</x:v>
      </x:c>
      <x:c r="B149" s="54" t="n">
        <x:v>4</x:v>
      </x:c>
      <x:c r="C149" s="54" t="n">
        <x:v>1</x:v>
      </x:c>
      <x:c r="D149" s="54" t="n">
        <x:v>1</x:v>
      </x:c>
      <x:c r="E149" s="103" t="str">
        <x:v>Material-row source portal</x:v>
      </x:c>
      <x:c r="F149" s="103" t="str">
        <x:v>Source portal is identified, but edition/revision and property record locator remain unresolved.</x:v>
      </x:c>
    </x:row>
    <x:row r="150">
      <x:c r="A150" s="54" t="n">
        <x:v>1010</x:v>
      </x:c>
      <x:c r="B150" s="54" t="n">
        <x:v>5</x:v>
      </x:c>
      <x:c r="C150" s="54" t="n">
        <x:v>1</x:v>
      </x:c>
      <x:c r="D150" s="54" t="n">
        <x:v>1</x:v>
      </x:c>
      <x:c r="E150" s="103" t="str">
        <x:v>Material-row source portal</x:v>
      </x:c>
      <x:c r="F150" s="103" t="str">
        <x:v>Source portal is identified, but edition/revision and property record locator remain unresolved.</x:v>
      </x:c>
    </x:row>
    <x:row r="151">
      <x:c r="A151" s="54" t="n">
        <x:v>1010</x:v>
      </x:c>
      <x:c r="B151" s="54" t="n">
        <x:v>6</x:v>
      </x:c>
      <x:c r="C151" s="54" t="n">
        <x:v>1</x:v>
      </x:c>
      <x:c r="D151" s="54" t="n">
        <x:v>1</x:v>
      </x:c>
      <x:c r="E151" s="103" t="str">
        <x:v>Material-row source portal</x:v>
      </x:c>
      <x:c r="F151" s="103" t="str">
        <x:v>Source portal is identified, but edition/revision and property record locator remain unresolved.</x:v>
      </x:c>
    </x:row>
    <x:row r="152">
      <x:c r="A152" s="54" t="n">
        <x:v>1010</x:v>
      </x:c>
      <x:c r="B152" s="54" t="n">
        <x:v>9</x:v>
      </x:c>
      <x:c r="C152" s="54" t="n">
        <x:v>1</x:v>
      </x:c>
      <x:c r="D152" s="54" t="n">
        <x:v>1</x:v>
      </x:c>
      <x:c r="E152" s="103" t="str">
        <x:v>Material-row source portal</x:v>
      </x:c>
      <x:c r="F152" s="103" t="str">
        <x:v>Source portal is identified, but edition/revision and property record locator remain unresolved.</x:v>
      </x:c>
    </x:row>
    <x:row r="153">
      <x:c r="A153" s="54" t="n">
        <x:v>1010</x:v>
      </x:c>
      <x:c r="B153" s="54" t="n">
        <x:v>10</x:v>
      </x:c>
      <x:c r="C153" s="54" t="n">
        <x:v>1</x:v>
      </x:c>
      <x:c r="D153" s="54" t="n">
        <x:v>1</x:v>
      </x:c>
      <x:c r="E153" s="103" t="str">
        <x:v>Material-row source portal</x:v>
      </x:c>
      <x:c r="F153" s="103" t="str">
        <x:v>Source portal is identified, but edition/revision and property record locator remain unresolved.</x:v>
      </x:c>
    </x:row>
    <x:row r="154">
      <x:c r="A154" s="54" t="n">
        <x:v>1010</x:v>
      </x:c>
      <x:c r="B154" s="54" t="n">
        <x:v>11</x:v>
      </x:c>
      <x:c r="C154" s="54" t="n">
        <x:v>1</x:v>
      </x:c>
      <x:c r="D154" s="54" t="n">
        <x:v>1</x:v>
      </x:c>
      <x:c r="E154" s="103" t="str">
        <x:v>Material-row source portal</x:v>
      </x:c>
      <x:c r="F154" s="103" t="str">
        <x:v>Source portal is identified, but edition/revision and property record locator remain unresolved.</x:v>
      </x:c>
    </x:row>
    <x:row r="155">
      <x:c r="A155" s="54" t="n">
        <x:v>1010</x:v>
      </x:c>
      <x:c r="B155" s="54" t="n">
        <x:v>12</x:v>
      </x:c>
      <x:c r="C155" s="54" t="n">
        <x:v>1</x:v>
      </x:c>
      <x:c r="D155" s="54" t="n">
        <x:v>1</x:v>
      </x:c>
      <x:c r="E155" s="103" t="str">
        <x:v>Material-row source portal</x:v>
      </x:c>
      <x:c r="F155" s="103" t="str">
        <x:v>Source portal is identified, but edition/revision and property record locator remain unresolved.</x:v>
      </x:c>
    </x:row>
    <x:row r="156">
      <x:c r="A156" s="54" t="n">
        <x:v>1010</x:v>
      </x:c>
      <x:c r="B156" s="54" t="n">
        <x:v>13</x:v>
      </x:c>
      <x:c r="C156" s="54" t="n">
        <x:v>1</x:v>
      </x:c>
      <x:c r="D156" s="54" t="n">
        <x:v>1</x:v>
      </x:c>
      <x:c r="E156" s="103" t="str">
        <x:v>Material-row source portal</x:v>
      </x:c>
      <x:c r="F156" s="103" t="str">
        <x:v>Source portal is identified, but edition/revision and property record locator remain unresolved.</x:v>
      </x:c>
    </x:row>
    <x:row r="157">
      <x:c r="A157" s="54" t="n">
        <x:v>1010</x:v>
      </x:c>
      <x:c r="B157" s="54" t="n">
        <x:v>14</x:v>
      </x:c>
      <x:c r="C157" s="54" t="n">
        <x:v>1</x:v>
      </x:c>
      <x:c r="D157" s="54" t="n">
        <x:v>1</x:v>
      </x:c>
      <x:c r="E157" s="103" t="str">
        <x:v>Material-row source portal</x:v>
      </x:c>
      <x:c r="F157" s="103" t="str">
        <x:v>Source portal is identified, but edition/revision and property record locator remain unresolved.</x:v>
      </x:c>
    </x:row>
    <x:row r="158">
      <x:c r="A158" s="54" t="n">
        <x:v>1010</x:v>
      </x:c>
      <x:c r="B158" s="54" t="n">
        <x:v>15</x:v>
      </x:c>
      <x:c r="C158" s="54" t="n">
        <x:v>1</x:v>
      </x:c>
      <x:c r="D158" s="54" t="n">
        <x:v>1</x:v>
      </x:c>
      <x:c r="E158" s="103" t="str">
        <x:v>Material-row source portal</x:v>
      </x:c>
      <x:c r="F158" s="103" t="str">
        <x:v>Source portal is identified, but edition/revision and property record locator remain unresolved.</x:v>
      </x:c>
    </x:row>
    <x:row r="159">
      <x:c r="A159" s="54" t="n">
        <x:v>1010</x:v>
      </x:c>
      <x:c r="B159" s="54" t="n">
        <x:v>16</x:v>
      </x:c>
      <x:c r="C159" s="54" t="n">
        <x:v>1</x:v>
      </x:c>
      <x:c r="D159" s="54" t="n">
        <x:v>1</x:v>
      </x:c>
      <x:c r="E159" s="103" t="str">
        <x:v>Material-row source portal</x:v>
      </x:c>
      <x:c r="F159" s="103" t="str">
        <x:v>Source portal is identified, but edition/revision and property record locator remain unresolved.</x:v>
      </x:c>
    </x:row>
    <x:row r="160">
      <x:c r="A160" s="54" t="n">
        <x:v>1010</x:v>
      </x:c>
      <x:c r="B160" s="54" t="n">
        <x:v>17</x:v>
      </x:c>
      <x:c r="C160" s="54" t="n">
        <x:v>1</x:v>
      </x:c>
      <x:c r="D160" s="54" t="n">
        <x:v>1</x:v>
      </x:c>
      <x:c r="E160" s="103" t="str">
        <x:v>Material-row source portal</x:v>
      </x:c>
      <x:c r="F160" s="103" t="str">
        <x:v>Source portal is identified, but edition/revision and property record locator remain unresolved.</x:v>
      </x:c>
    </x:row>
    <x:row r="161">
      <x:c r="A161" s="54" t="n">
        <x:v>1010</x:v>
      </x:c>
      <x:c r="B161" s="54" t="n">
        <x:v>18</x:v>
      </x:c>
      <x:c r="C161" s="54" t="n">
        <x:v>1</x:v>
      </x:c>
      <x:c r="D161" s="54" t="n">
        <x:v>1</x:v>
      </x:c>
      <x:c r="E161" s="103" t="str">
        <x:v>Formula-derived from E and Poisson ratio; input records inherit the material-row source</x:v>
      </x:c>
      <x:c r="F161" s="103" t="str">
        <x:v>Source portal is identified, but edition/revision and property record locator remain unresolved.</x:v>
      </x:c>
    </x:row>
    <x:row r="162">
      <x:c r="A162" s="54" t="n">
        <x:v>1011</x:v>
      </x:c>
      <x:c r="B162" s="54" t="n">
        <x:v>1</x:v>
      </x:c>
      <x:c r="C162" s="54" t="n">
        <x:v>1</x:v>
      </x:c>
      <x:c r="D162" s="54" t="n">
        <x:v>1</x:v>
      </x:c>
      <x:c r="E162" s="103" t="str">
        <x:v>Material-row source portal</x:v>
      </x:c>
      <x:c r="F162" s="103" t="str">
        <x:v>Source portal is identified, but edition/revision and property record locator remain unresolved.</x:v>
      </x:c>
    </x:row>
    <x:row r="163">
      <x:c r="A163" s="54" t="n">
        <x:v>1011</x:v>
      </x:c>
      <x:c r="B163" s="54" t="n">
        <x:v>2</x:v>
      </x:c>
      <x:c r="C163" s="54" t="n">
        <x:v>1</x:v>
      </x:c>
      <x:c r="D163" s="54" t="n">
        <x:v>1</x:v>
      </x:c>
      <x:c r="E163" s="103" t="str">
        <x:v>Material-row source portal</x:v>
      </x:c>
      <x:c r="F163" s="103" t="str">
        <x:v>Source portal is identified, but edition/revision and property record locator remain unresolved.</x:v>
      </x:c>
    </x:row>
    <x:row r="164">
      <x:c r="A164" s="54" t="n">
        <x:v>1011</x:v>
      </x:c>
      <x:c r="B164" s="54" t="n">
        <x:v>3</x:v>
      </x:c>
      <x:c r="C164" s="54" t="n">
        <x:v>1</x:v>
      </x:c>
      <x:c r="D164" s="54" t="n">
        <x:v>1</x:v>
      </x:c>
      <x:c r="E164" s="103" t="str">
        <x:v>Formula-derived from E and Poisson ratio; input records inherit the material-row source</x:v>
      </x:c>
      <x:c r="F164" s="103" t="str">
        <x:v>Source portal is identified, but edition/revision and property record locator remain unresolved.</x:v>
      </x:c>
    </x:row>
    <x:row r="165">
      <x:c r="A165" s="54" t="n">
        <x:v>1011</x:v>
      </x:c>
      <x:c r="B165" s="54" t="n">
        <x:v>4</x:v>
      </x:c>
      <x:c r="C165" s="54" t="n">
        <x:v>1</x:v>
      </x:c>
      <x:c r="D165" s="54" t="n">
        <x:v>1</x:v>
      </x:c>
      <x:c r="E165" s="103" t="str">
        <x:v>Material-row source portal</x:v>
      </x:c>
      <x:c r="F165" s="103" t="str">
        <x:v>Source portal is identified, but edition/revision and property record locator remain unresolved.</x:v>
      </x:c>
    </x:row>
    <x:row r="166">
      <x:c r="A166" s="54" t="n">
        <x:v>1011</x:v>
      </x:c>
      <x:c r="B166" s="54" t="n">
        <x:v>5</x:v>
      </x:c>
      <x:c r="C166" s="54" t="n">
        <x:v>1</x:v>
      </x:c>
      <x:c r="D166" s="54" t="n">
        <x:v>1</x:v>
      </x:c>
      <x:c r="E166" s="103" t="str">
        <x:v>Material-row source portal</x:v>
      </x:c>
      <x:c r="F166" s="103" t="str">
        <x:v>Source portal is identified, but edition/revision and property record locator remain unresolved.</x:v>
      </x:c>
    </x:row>
    <x:row r="167">
      <x:c r="A167" s="54" t="n">
        <x:v>1011</x:v>
      </x:c>
      <x:c r="B167" s="54" t="n">
        <x:v>6</x:v>
      </x:c>
      <x:c r="C167" s="54" t="n">
        <x:v>1</x:v>
      </x:c>
      <x:c r="D167" s="54" t="n">
        <x:v>1</x:v>
      </x:c>
      <x:c r="E167" s="103" t="str">
        <x:v>Material-row source portal</x:v>
      </x:c>
      <x:c r="F167" s="103" t="str">
        <x:v>Source portal is identified, but edition/revision and property record locator remain unresolved.</x:v>
      </x:c>
    </x:row>
    <x:row r="168">
      <x:c r="A168" s="54" t="n">
        <x:v>1011</x:v>
      </x:c>
      <x:c r="B168" s="54" t="n">
        <x:v>9</x:v>
      </x:c>
      <x:c r="C168" s="54" t="n">
        <x:v>1</x:v>
      </x:c>
      <x:c r="D168" s="54" t="n">
        <x:v>1</x:v>
      </x:c>
      <x:c r="E168" s="103" t="str">
        <x:v>Material-row source portal</x:v>
      </x:c>
      <x:c r="F168" s="103" t="str">
        <x:v>Source portal is identified, but edition/revision and property record locator remain unresolved.</x:v>
      </x:c>
    </x:row>
    <x:row r="169">
      <x:c r="A169" s="54" t="n">
        <x:v>1011</x:v>
      </x:c>
      <x:c r="B169" s="54" t="n">
        <x:v>10</x:v>
      </x:c>
      <x:c r="C169" s="54" t="n">
        <x:v>1</x:v>
      </x:c>
      <x:c r="D169" s="54" t="n">
        <x:v>1</x:v>
      </x:c>
      <x:c r="E169" s="103" t="str">
        <x:v>Material-row source portal</x:v>
      </x:c>
      <x:c r="F169" s="103" t="str">
        <x:v>Source portal is identified, but edition/revision and property record locator remain unresolved.</x:v>
      </x:c>
    </x:row>
    <x:row r="170">
      <x:c r="A170" s="54" t="n">
        <x:v>1011</x:v>
      </x:c>
      <x:c r="B170" s="54" t="n">
        <x:v>11</x:v>
      </x:c>
      <x:c r="C170" s="54" t="n">
        <x:v>1</x:v>
      </x:c>
      <x:c r="D170" s="54" t="n">
        <x:v>1</x:v>
      </x:c>
      <x:c r="E170" s="103" t="str">
        <x:v>Material-row source portal</x:v>
      </x:c>
      <x:c r="F170" s="103" t="str">
        <x:v>Source portal is identified, but edition/revision and property record locator remain unresolved.</x:v>
      </x:c>
    </x:row>
    <x:row r="171">
      <x:c r="A171" s="54" t="n">
        <x:v>1011</x:v>
      </x:c>
      <x:c r="B171" s="54" t="n">
        <x:v>12</x:v>
      </x:c>
      <x:c r="C171" s="54" t="n">
        <x:v>1</x:v>
      </x:c>
      <x:c r="D171" s="54" t="n">
        <x:v>1</x:v>
      </x:c>
      <x:c r="E171" s="103" t="str">
        <x:v>Material-row source portal</x:v>
      </x:c>
      <x:c r="F171" s="103" t="str">
        <x:v>Source portal is identified, but edition/revision and property record locator remain unresolved.</x:v>
      </x:c>
    </x:row>
    <x:row r="172">
      <x:c r="A172" s="54" t="n">
        <x:v>1011</x:v>
      </x:c>
      <x:c r="B172" s="54" t="n">
        <x:v>13</x:v>
      </x:c>
      <x:c r="C172" s="54" t="n">
        <x:v>1</x:v>
      </x:c>
      <x:c r="D172" s="54" t="n">
        <x:v>1</x:v>
      </x:c>
      <x:c r="E172" s="103" t="str">
        <x:v>Material-row source portal</x:v>
      </x:c>
      <x:c r="F172" s="103" t="str">
        <x:v>Source portal is identified, but edition/revision and property record locator remain unresolved.</x:v>
      </x:c>
    </x:row>
    <x:row r="173">
      <x:c r="A173" s="54" t="n">
        <x:v>1011</x:v>
      </x:c>
      <x:c r="B173" s="54" t="n">
        <x:v>14</x:v>
      </x:c>
      <x:c r="C173" s="54" t="n">
        <x:v>1</x:v>
      </x:c>
      <x:c r="D173" s="54" t="n">
        <x:v>1</x:v>
      </x:c>
      <x:c r="E173" s="103" t="str">
        <x:v>Material-row source portal</x:v>
      </x:c>
      <x:c r="F173" s="103" t="str">
        <x:v>Source portal is identified, but edition/revision and property record locator remain unresolved.</x:v>
      </x:c>
    </x:row>
    <x:row r="174">
      <x:c r="A174" s="54" t="n">
        <x:v>1011</x:v>
      </x:c>
      <x:c r="B174" s="54" t="n">
        <x:v>15</x:v>
      </x:c>
      <x:c r="C174" s="54" t="n">
        <x:v>1</x:v>
      </x:c>
      <x:c r="D174" s="54" t="n">
        <x:v>1</x:v>
      </x:c>
      <x:c r="E174" s="103" t="str">
        <x:v>Material-row source portal</x:v>
      </x:c>
      <x:c r="F174" s="103" t="str">
        <x:v>Source portal is identified, but edition/revision and property record locator remain unresolved.</x:v>
      </x:c>
    </x:row>
    <x:row r="175">
      <x:c r="A175" s="54" t="n">
        <x:v>1011</x:v>
      </x:c>
      <x:c r="B175" s="54" t="n">
        <x:v>16</x:v>
      </x:c>
      <x:c r="C175" s="54" t="n">
        <x:v>1</x:v>
      </x:c>
      <x:c r="D175" s="54" t="n">
        <x:v>1</x:v>
      </x:c>
      <x:c r="E175" s="103" t="str">
        <x:v>Material-row source portal</x:v>
      </x:c>
      <x:c r="F175" s="103" t="str">
        <x:v>Source portal is identified, but edition/revision and property record locator remain unresolved.</x:v>
      </x:c>
    </x:row>
    <x:row r="176">
      <x:c r="A176" s="54" t="n">
        <x:v>1011</x:v>
      </x:c>
      <x:c r="B176" s="54" t="n">
        <x:v>17</x:v>
      </x:c>
      <x:c r="C176" s="54" t="n">
        <x:v>1</x:v>
      </x:c>
      <x:c r="D176" s="54" t="n">
        <x:v>1</x:v>
      </x:c>
      <x:c r="E176" s="103" t="str">
        <x:v>Material-row source portal</x:v>
      </x:c>
      <x:c r="F176" s="103" t="str">
        <x:v>Source portal is identified, but edition/revision and property record locator remain unresolved.</x:v>
      </x:c>
    </x:row>
    <x:row r="177">
      <x:c r="A177" s="54" t="n">
        <x:v>1011</x:v>
      </x:c>
      <x:c r="B177" s="54" t="n">
        <x:v>18</x:v>
      </x:c>
      <x:c r="C177" s="54" t="n">
        <x:v>1</x:v>
      </x:c>
      <x:c r="D177" s="54" t="n">
        <x:v>1</x:v>
      </x:c>
      <x:c r="E177" s="103" t="str">
        <x:v>Formula-derived from E and Poisson ratio; input records inherit the material-row source</x:v>
      </x:c>
      <x:c r="F177" s="103" t="str">
        <x:v>Source portal is identified, but edition/revision and property record locator remain unresolved.</x:v>
      </x:c>
    </x:row>
    <x:row r="178">
      <x:c r="A178" s="54" t="n">
        <x:v>1012</x:v>
      </x:c>
      <x:c r="B178" s="54" t="n">
        <x:v>1</x:v>
      </x:c>
      <x:c r="C178" s="54" t="n">
        <x:v>1</x:v>
      </x:c>
      <x:c r="D178" s="54" t="n">
        <x:v>1</x:v>
      </x:c>
      <x:c r="E178" s="103" t="str">
        <x:v>Material-row source portal</x:v>
      </x:c>
      <x:c r="F178" s="103" t="str">
        <x:v>Source portal is identified, but edition/revision and property record locator remain unresolved.</x:v>
      </x:c>
    </x:row>
    <x:row r="179">
      <x:c r="A179" s="54" t="n">
        <x:v>1012</x:v>
      </x:c>
      <x:c r="B179" s="54" t="n">
        <x:v>2</x:v>
      </x:c>
      <x:c r="C179" s="54" t="n">
        <x:v>1</x:v>
      </x:c>
      <x:c r="D179" s="54" t="n">
        <x:v>1</x:v>
      </x:c>
      <x:c r="E179" s="103" t="str">
        <x:v>Material-row source portal</x:v>
      </x:c>
      <x:c r="F179" s="103" t="str">
        <x:v>Source portal is identified, but edition/revision and property record locator remain unresolved.</x:v>
      </x:c>
    </x:row>
    <x:row r="180">
      <x:c r="A180" s="54" t="n">
        <x:v>1012</x:v>
      </x:c>
      <x:c r="B180" s="54" t="n">
        <x:v>3</x:v>
      </x:c>
      <x:c r="C180" s="54" t="n">
        <x:v>1</x:v>
      </x:c>
      <x:c r="D180" s="54" t="n">
        <x:v>1</x:v>
      </x:c>
      <x:c r="E180" s="103" t="str">
        <x:v>Formula-derived from E and Poisson ratio; input records inherit the material-row source</x:v>
      </x:c>
      <x:c r="F180" s="103" t="str">
        <x:v>Source portal is identified, but edition/revision and property record locator remain unresolved.</x:v>
      </x:c>
    </x:row>
    <x:row r="181">
      <x:c r="A181" s="54" t="n">
        <x:v>1012</x:v>
      </x:c>
      <x:c r="B181" s="54" t="n">
        <x:v>4</x:v>
      </x:c>
      <x:c r="C181" s="54" t="n">
        <x:v>1</x:v>
      </x:c>
      <x:c r="D181" s="54" t="n">
        <x:v>1</x:v>
      </x:c>
      <x:c r="E181" s="103" t="str">
        <x:v>Material-row source portal</x:v>
      </x:c>
      <x:c r="F181" s="103" t="str">
        <x:v>Source portal is identified, but edition/revision and property record locator remain unresolved.</x:v>
      </x:c>
    </x:row>
    <x:row r="182">
      <x:c r="A182" s="54" t="n">
        <x:v>1012</x:v>
      </x:c>
      <x:c r="B182" s="54" t="n">
        <x:v>5</x:v>
      </x:c>
      <x:c r="C182" s="54" t="n">
        <x:v>1</x:v>
      </x:c>
      <x:c r="D182" s="54" t="n">
        <x:v>1</x:v>
      </x:c>
      <x:c r="E182" s="103" t="str">
        <x:v>Material-row source portal</x:v>
      </x:c>
      <x:c r="F182" s="103" t="str">
        <x:v>Source portal is identified, but edition/revision and property record locator remain unresolved.</x:v>
      </x:c>
    </x:row>
    <x:row r="183">
      <x:c r="A183" s="54" t="n">
        <x:v>1012</x:v>
      </x:c>
      <x:c r="B183" s="54" t="n">
        <x:v>6</x:v>
      </x:c>
      <x:c r="C183" s="54" t="n">
        <x:v>1</x:v>
      </x:c>
      <x:c r="D183" s="54" t="n">
        <x:v>1</x:v>
      </x:c>
      <x:c r="E183" s="103" t="str">
        <x:v>Material-row source portal</x:v>
      </x:c>
      <x:c r="F183" s="103" t="str">
        <x:v>Source portal is identified, but edition/revision and property record locator remain unresolved.</x:v>
      </x:c>
    </x:row>
    <x:row r="184">
      <x:c r="A184" s="54" t="n">
        <x:v>1012</x:v>
      </x:c>
      <x:c r="B184" s="54" t="n">
        <x:v>9</x:v>
      </x:c>
      <x:c r="C184" s="54" t="n">
        <x:v>1</x:v>
      </x:c>
      <x:c r="D184" s="54" t="n">
        <x:v>1</x:v>
      </x:c>
      <x:c r="E184" s="103" t="str">
        <x:v>Material-row source portal</x:v>
      </x:c>
      <x:c r="F184" s="103" t="str">
        <x:v>Source portal is identified, but edition/revision and property record locator remain unresolved.</x:v>
      </x:c>
    </x:row>
    <x:row r="185">
      <x:c r="A185" s="54" t="n">
        <x:v>1012</x:v>
      </x:c>
      <x:c r="B185" s="54" t="n">
        <x:v>10</x:v>
      </x:c>
      <x:c r="C185" s="54" t="n">
        <x:v>1</x:v>
      </x:c>
      <x:c r="D185" s="54" t="n">
        <x:v>1</x:v>
      </x:c>
      <x:c r="E185" s="103" t="str">
        <x:v>Material-row source portal</x:v>
      </x:c>
      <x:c r="F185" s="103" t="str">
        <x:v>Source portal is identified, but edition/revision and property record locator remain unresolved.</x:v>
      </x:c>
    </x:row>
    <x:row r="186">
      <x:c r="A186" s="54" t="n">
        <x:v>1012</x:v>
      </x:c>
      <x:c r="B186" s="54" t="n">
        <x:v>11</x:v>
      </x:c>
      <x:c r="C186" s="54" t="n">
        <x:v>1</x:v>
      </x:c>
      <x:c r="D186" s="54" t="n">
        <x:v>1</x:v>
      </x:c>
      <x:c r="E186" s="103" t="str">
        <x:v>Material-row source portal</x:v>
      </x:c>
      <x:c r="F186" s="103" t="str">
        <x:v>Source portal is identified, but edition/revision and property record locator remain unresolved.</x:v>
      </x:c>
    </x:row>
    <x:row r="187">
      <x:c r="A187" s="54" t="n">
        <x:v>1012</x:v>
      </x:c>
      <x:c r="B187" s="54" t="n">
        <x:v>12</x:v>
      </x:c>
      <x:c r="C187" s="54" t="n">
        <x:v>1</x:v>
      </x:c>
      <x:c r="D187" s="54" t="n">
        <x:v>1</x:v>
      </x:c>
      <x:c r="E187" s="103" t="str">
        <x:v>Material-row source portal</x:v>
      </x:c>
      <x:c r="F187" s="103" t="str">
        <x:v>Source portal is identified, but edition/revision and property record locator remain unresolved.</x:v>
      </x:c>
    </x:row>
    <x:row r="188">
      <x:c r="A188" s="54" t="n">
        <x:v>1012</x:v>
      </x:c>
      <x:c r="B188" s="54" t="n">
        <x:v>13</x:v>
      </x:c>
      <x:c r="C188" s="54" t="n">
        <x:v>1</x:v>
      </x:c>
      <x:c r="D188" s="54" t="n">
        <x:v>1</x:v>
      </x:c>
      <x:c r="E188" s="103" t="str">
        <x:v>Material-row source portal</x:v>
      </x:c>
      <x:c r="F188" s="103" t="str">
        <x:v>Source portal is identified, but edition/revision and property record locator remain unresolved.</x:v>
      </x:c>
    </x:row>
    <x:row r="189">
      <x:c r="A189" s="54" t="n">
        <x:v>1012</x:v>
      </x:c>
      <x:c r="B189" s="54" t="n">
        <x:v>14</x:v>
      </x:c>
      <x:c r="C189" s="54" t="n">
        <x:v>1</x:v>
      </x:c>
      <x:c r="D189" s="54" t="n">
        <x:v>1</x:v>
      </x:c>
      <x:c r="E189" s="103" t="str">
        <x:v>Material-row source portal</x:v>
      </x:c>
      <x:c r="F189" s="103" t="str">
        <x:v>Source portal is identified, but edition/revision and property record locator remain unresolved.</x:v>
      </x:c>
    </x:row>
    <x:row r="190">
      <x:c r="A190" s="54" t="n">
        <x:v>1012</x:v>
      </x:c>
      <x:c r="B190" s="54" t="n">
        <x:v>15</x:v>
      </x:c>
      <x:c r="C190" s="54" t="n">
        <x:v>1</x:v>
      </x:c>
      <x:c r="D190" s="54" t="n">
        <x:v>1</x:v>
      </x:c>
      <x:c r="E190" s="103" t="str">
        <x:v>Material-row source portal</x:v>
      </x:c>
      <x:c r="F190" s="103" t="str">
        <x:v>Source portal is identified, but edition/revision and property record locator remain unresolved.</x:v>
      </x:c>
    </x:row>
    <x:row r="191">
      <x:c r="A191" s="54" t="n">
        <x:v>1012</x:v>
      </x:c>
      <x:c r="B191" s="54" t="n">
        <x:v>16</x:v>
      </x:c>
      <x:c r="C191" s="54" t="n">
        <x:v>1</x:v>
      </x:c>
      <x:c r="D191" s="54" t="n">
        <x:v>1</x:v>
      </x:c>
      <x:c r="E191" s="103" t="str">
        <x:v>Material-row source portal</x:v>
      </x:c>
      <x:c r="F191" s="103" t="str">
        <x:v>Source portal is identified, but edition/revision and property record locator remain unresolved.</x:v>
      </x:c>
    </x:row>
    <x:row r="192">
      <x:c r="A192" s="54" t="n">
        <x:v>1012</x:v>
      </x:c>
      <x:c r="B192" s="54" t="n">
        <x:v>17</x:v>
      </x:c>
      <x:c r="C192" s="54" t="n">
        <x:v>1</x:v>
      </x:c>
      <x:c r="D192" s="54" t="n">
        <x:v>1</x:v>
      </x:c>
      <x:c r="E192" s="103" t="str">
        <x:v>Material-row source portal</x:v>
      </x:c>
      <x:c r="F192" s="103" t="str">
        <x:v>Source portal is identified, but edition/revision and property record locator remain unresolved.</x:v>
      </x:c>
    </x:row>
    <x:row r="193">
      <x:c r="A193" s="54" t="n">
        <x:v>1012</x:v>
      </x:c>
      <x:c r="B193" s="54" t="n">
        <x:v>18</x:v>
      </x:c>
      <x:c r="C193" s="54" t="n">
        <x:v>1</x:v>
      </x:c>
      <x:c r="D193" s="54" t="n">
        <x:v>1</x:v>
      </x:c>
      <x:c r="E193" s="103" t="str">
        <x:v>Formula-derived from E and Poisson ratio; input records inherit the material-row source</x:v>
      </x:c>
      <x:c r="F193" s="103" t="str">
        <x:v>Source portal is identified, but edition/revision and property record locator remain unresolved.</x:v>
      </x:c>
    </x:row>
    <x:row r="194">
      <x:c r="A194" s="54" t="n">
        <x:v>1013</x:v>
      </x:c>
      <x:c r="B194" s="54" t="n">
        <x:v>1</x:v>
      </x:c>
      <x:c r="C194" s="54" t="n">
        <x:v>1</x:v>
      </x:c>
      <x:c r="D194" s="54" t="n">
        <x:v>1</x:v>
      </x:c>
      <x:c r="E194" s="103" t="str">
        <x:v>Material-row source portal</x:v>
      </x:c>
      <x:c r="F194" s="103" t="str">
        <x:v>Source portal is identified, but edition/revision and property record locator remain unresolved.</x:v>
      </x:c>
    </x:row>
    <x:row r="195">
      <x:c r="A195" s="54" t="n">
        <x:v>1013</x:v>
      </x:c>
      <x:c r="B195" s="54" t="n">
        <x:v>2</x:v>
      </x:c>
      <x:c r="C195" s="54" t="n">
        <x:v>1</x:v>
      </x:c>
      <x:c r="D195" s="54" t="n">
        <x:v>1</x:v>
      </x:c>
      <x:c r="E195" s="103" t="str">
        <x:v>Material-row source portal</x:v>
      </x:c>
      <x:c r="F195" s="103" t="str">
        <x:v>Source portal is identified, but edition/revision and property record locator remain unresolved.</x:v>
      </x:c>
    </x:row>
    <x:row r="196">
      <x:c r="A196" s="54" t="n">
        <x:v>1013</x:v>
      </x:c>
      <x:c r="B196" s="54" t="n">
        <x:v>3</x:v>
      </x:c>
      <x:c r="C196" s="54" t="n">
        <x:v>1</x:v>
      </x:c>
      <x:c r="D196" s="54" t="n">
        <x:v>1</x:v>
      </x:c>
      <x:c r="E196" s="103" t="str">
        <x:v>Formula-derived from E and Poisson ratio; input records inherit the material-row source</x:v>
      </x:c>
      <x:c r="F196" s="103" t="str">
        <x:v>Source portal is identified, but edition/revision and property record locator remain unresolved.</x:v>
      </x:c>
    </x:row>
    <x:row r="197">
      <x:c r="A197" s="54" t="n">
        <x:v>1013</x:v>
      </x:c>
      <x:c r="B197" s="54" t="n">
        <x:v>4</x:v>
      </x:c>
      <x:c r="C197" s="54" t="n">
        <x:v>1</x:v>
      </x:c>
      <x:c r="D197" s="54" t="n">
        <x:v>1</x:v>
      </x:c>
      <x:c r="E197" s="103" t="str">
        <x:v>Material-row source portal</x:v>
      </x:c>
      <x:c r="F197" s="103" t="str">
        <x:v>Source portal is identified, but edition/revision and property record locator remain unresolved.</x:v>
      </x:c>
    </x:row>
    <x:row r="198">
      <x:c r="A198" s="54" t="n">
        <x:v>1013</x:v>
      </x:c>
      <x:c r="B198" s="54" t="n">
        <x:v>5</x:v>
      </x:c>
      <x:c r="C198" s="54" t="n">
        <x:v>1</x:v>
      </x:c>
      <x:c r="D198" s="54" t="n">
        <x:v>1</x:v>
      </x:c>
      <x:c r="E198" s="103" t="str">
        <x:v>Material-row source portal</x:v>
      </x:c>
      <x:c r="F198" s="103" t="str">
        <x:v>Source portal is identified, but edition/revision and property record locator remain unresolved.</x:v>
      </x:c>
    </x:row>
    <x:row r="199">
      <x:c r="A199" s="54" t="n">
        <x:v>1013</x:v>
      </x:c>
      <x:c r="B199" s="54" t="n">
        <x:v>6</x:v>
      </x:c>
      <x:c r="C199" s="54" t="n">
        <x:v>1</x:v>
      </x:c>
      <x:c r="D199" s="54" t="n">
        <x:v>1</x:v>
      </x:c>
      <x:c r="E199" s="103" t="str">
        <x:v>Material-row source portal</x:v>
      </x:c>
      <x:c r="F199" s="103" t="str">
        <x:v>Source portal is identified, but edition/revision and property record locator remain unresolved.</x:v>
      </x:c>
    </x:row>
    <x:row r="200">
      <x:c r="A200" s="54" t="n">
        <x:v>1013</x:v>
      </x:c>
      <x:c r="B200" s="54" t="n">
        <x:v>9</x:v>
      </x:c>
      <x:c r="C200" s="54" t="n">
        <x:v>1</x:v>
      </x:c>
      <x:c r="D200" s="54" t="n">
        <x:v>1</x:v>
      </x:c>
      <x:c r="E200" s="103" t="str">
        <x:v>Material-row source portal</x:v>
      </x:c>
      <x:c r="F200" s="103" t="str">
        <x:v>Source portal is identified, but edition/revision and property record locator remain unresolved.</x:v>
      </x:c>
    </x:row>
    <x:row r="201">
      <x:c r="A201" s="54" t="n">
        <x:v>1013</x:v>
      </x:c>
      <x:c r="B201" s="54" t="n">
        <x:v>10</x:v>
      </x:c>
      <x:c r="C201" s="54" t="n">
        <x:v>1</x:v>
      </x:c>
      <x:c r="D201" s="54" t="n">
        <x:v>1</x:v>
      </x:c>
      <x:c r="E201" s="103" t="str">
        <x:v>Material-row source portal</x:v>
      </x:c>
      <x:c r="F201" s="103" t="str">
        <x:v>Source portal is identified, but edition/revision and property record locator remain unresolved.</x:v>
      </x:c>
    </x:row>
    <x:row r="202">
      <x:c r="A202" s="54" t="n">
        <x:v>1013</x:v>
      </x:c>
      <x:c r="B202" s="54" t="n">
        <x:v>11</x:v>
      </x:c>
      <x:c r="C202" s="54" t="n">
        <x:v>1</x:v>
      </x:c>
      <x:c r="D202" s="54" t="n">
        <x:v>1</x:v>
      </x:c>
      <x:c r="E202" s="103" t="str">
        <x:v>Material-row source portal</x:v>
      </x:c>
      <x:c r="F202" s="103" t="str">
        <x:v>Source portal is identified, but edition/revision and property record locator remain unresolved.</x:v>
      </x:c>
    </x:row>
    <x:row r="203">
      <x:c r="A203" s="54" t="n">
        <x:v>1013</x:v>
      </x:c>
      <x:c r="B203" s="54" t="n">
        <x:v>12</x:v>
      </x:c>
      <x:c r="C203" s="54" t="n">
        <x:v>1</x:v>
      </x:c>
      <x:c r="D203" s="54" t="n">
        <x:v>1</x:v>
      </x:c>
      <x:c r="E203" s="103" t="str">
        <x:v>Material-row source portal</x:v>
      </x:c>
      <x:c r="F203" s="103" t="str">
        <x:v>Source portal is identified, but edition/revision and property record locator remain unresolved.</x:v>
      </x:c>
    </x:row>
    <x:row r="204">
      <x:c r="A204" s="54" t="n">
        <x:v>1013</x:v>
      </x:c>
      <x:c r="B204" s="54" t="n">
        <x:v>13</x:v>
      </x:c>
      <x:c r="C204" s="54" t="n">
        <x:v>1</x:v>
      </x:c>
      <x:c r="D204" s="54" t="n">
        <x:v>1</x:v>
      </x:c>
      <x:c r="E204" s="103" t="str">
        <x:v>Material-row source portal</x:v>
      </x:c>
      <x:c r="F204" s="103" t="str">
        <x:v>Source portal is identified, but edition/revision and property record locator remain unresolved.</x:v>
      </x:c>
    </x:row>
    <x:row r="205">
      <x:c r="A205" s="54" t="n">
        <x:v>1013</x:v>
      </x:c>
      <x:c r="B205" s="54" t="n">
        <x:v>14</x:v>
      </x:c>
      <x:c r="C205" s="54" t="n">
        <x:v>1</x:v>
      </x:c>
      <x:c r="D205" s="54" t="n">
        <x:v>1</x:v>
      </x:c>
      <x:c r="E205" s="103" t="str">
        <x:v>Material-row source portal</x:v>
      </x:c>
      <x:c r="F205" s="103" t="str">
        <x:v>Source portal is identified, but edition/revision and property record locator remain unresolved.</x:v>
      </x:c>
    </x:row>
    <x:row r="206">
      <x:c r="A206" s="54" t="n">
        <x:v>1013</x:v>
      </x:c>
      <x:c r="B206" s="54" t="n">
        <x:v>15</x:v>
      </x:c>
      <x:c r="C206" s="54" t="n">
        <x:v>1</x:v>
      </x:c>
      <x:c r="D206" s="54" t="n">
        <x:v>1</x:v>
      </x:c>
      <x:c r="E206" s="103" t="str">
        <x:v>Material-row source portal</x:v>
      </x:c>
      <x:c r="F206" s="103" t="str">
        <x:v>Source portal is identified, but edition/revision and property record locator remain unresolved.</x:v>
      </x:c>
    </x:row>
    <x:row r="207">
      <x:c r="A207" s="54" t="n">
        <x:v>1013</x:v>
      </x:c>
      <x:c r="B207" s="54" t="n">
        <x:v>16</x:v>
      </x:c>
      <x:c r="C207" s="54" t="n">
        <x:v>1</x:v>
      </x:c>
      <x:c r="D207" s="54" t="n">
        <x:v>1</x:v>
      </x:c>
      <x:c r="E207" s="103" t="str">
        <x:v>Material-row source portal</x:v>
      </x:c>
      <x:c r="F207" s="103" t="str">
        <x:v>Source portal is identified, but edition/revision and property record locator remain unresolved.</x:v>
      </x:c>
    </x:row>
    <x:row r="208">
      <x:c r="A208" s="54" t="n">
        <x:v>1013</x:v>
      </x:c>
      <x:c r="B208" s="54" t="n">
        <x:v>17</x:v>
      </x:c>
      <x:c r="C208" s="54" t="n">
        <x:v>1</x:v>
      </x:c>
      <x:c r="D208" s="54" t="n">
        <x:v>1</x:v>
      </x:c>
      <x:c r="E208" s="103" t="str">
        <x:v>Material-row source portal</x:v>
      </x:c>
      <x:c r="F208" s="103" t="str">
        <x:v>Source portal is identified, but edition/revision and property record locator remain unresolved.</x:v>
      </x:c>
    </x:row>
    <x:row r="209">
      <x:c r="A209" s="54" t="n">
        <x:v>1013</x:v>
      </x:c>
      <x:c r="B209" s="54" t="n">
        <x:v>18</x:v>
      </x:c>
      <x:c r="C209" s="54" t="n">
        <x:v>1</x:v>
      </x:c>
      <x:c r="D209" s="54" t="n">
        <x:v>1</x:v>
      </x:c>
      <x:c r="E209" s="103" t="str">
        <x:v>Formula-derived from E and Poisson ratio; input records inherit the material-row source</x:v>
      </x:c>
      <x:c r="F209" s="103" t="str">
        <x:v>Source portal is identified, but edition/revision and property record locator remain unresolved.</x:v>
      </x:c>
    </x:row>
    <x:row r="210">
      <x:c r="A210" s="54" t="n">
        <x:v>1014</x:v>
      </x:c>
      <x:c r="B210" s="54" t="n">
        <x:v>1</x:v>
      </x:c>
      <x:c r="C210" s="54" t="n">
        <x:v>1</x:v>
      </x:c>
      <x:c r="D210" s="54" t="n">
        <x:v>1</x:v>
      </x:c>
      <x:c r="E210" s="103" t="str">
        <x:v>Material-row source portal</x:v>
      </x:c>
      <x:c r="F210" s="103" t="str">
        <x:v>Source portal is identified, but edition/revision and property record locator remain unresolved.</x:v>
      </x:c>
    </x:row>
    <x:row r="211">
      <x:c r="A211" s="54" t="n">
        <x:v>1014</x:v>
      </x:c>
      <x:c r="B211" s="54" t="n">
        <x:v>2</x:v>
      </x:c>
      <x:c r="C211" s="54" t="n">
        <x:v>1</x:v>
      </x:c>
      <x:c r="D211" s="54" t="n">
        <x:v>1</x:v>
      </x:c>
      <x:c r="E211" s="103" t="str">
        <x:v>Material-row source portal</x:v>
      </x:c>
      <x:c r="F211" s="103" t="str">
        <x:v>Source portal is identified, but edition/revision and property record locator remain unresolved.</x:v>
      </x:c>
    </x:row>
    <x:row r="212">
      <x:c r="A212" s="54" t="n">
        <x:v>1014</x:v>
      </x:c>
      <x:c r="B212" s="54" t="n">
        <x:v>3</x:v>
      </x:c>
      <x:c r="C212" s="54" t="n">
        <x:v>1</x:v>
      </x:c>
      <x:c r="D212" s="54" t="n">
        <x:v>1</x:v>
      </x:c>
      <x:c r="E212" s="103" t="str">
        <x:v>Formula-derived from E and Poisson ratio; input records inherit the material-row source</x:v>
      </x:c>
      <x:c r="F212" s="103" t="str">
        <x:v>Source portal is identified, but edition/revision and property record locator remain unresolved.</x:v>
      </x:c>
    </x:row>
    <x:row r="213">
      <x:c r="A213" s="54" t="n">
        <x:v>1014</x:v>
      </x:c>
      <x:c r="B213" s="54" t="n">
        <x:v>4</x:v>
      </x:c>
      <x:c r="C213" s="54" t="n">
        <x:v>1</x:v>
      </x:c>
      <x:c r="D213" s="54" t="n">
        <x:v>1</x:v>
      </x:c>
      <x:c r="E213" s="103" t="str">
        <x:v>Material-row source portal</x:v>
      </x:c>
      <x:c r="F213" s="103" t="str">
        <x:v>Source portal is identified, but edition/revision and property record locator remain unresolved.</x:v>
      </x:c>
    </x:row>
    <x:row r="214">
      <x:c r="A214" s="54" t="n">
        <x:v>1014</x:v>
      </x:c>
      <x:c r="B214" s="54" t="n">
        <x:v>5</x:v>
      </x:c>
      <x:c r="C214" s="54" t="n">
        <x:v>1</x:v>
      </x:c>
      <x:c r="D214" s="54" t="n">
        <x:v>1</x:v>
      </x:c>
      <x:c r="E214" s="103" t="str">
        <x:v>Material-row source portal</x:v>
      </x:c>
      <x:c r="F214" s="103" t="str">
        <x:v>Source portal is identified, but edition/revision and property record locator remain unresolved.</x:v>
      </x:c>
    </x:row>
    <x:row r="215">
      <x:c r="A215" s="54" t="n">
        <x:v>1014</x:v>
      </x:c>
      <x:c r="B215" s="54" t="n">
        <x:v>6</x:v>
      </x:c>
      <x:c r="C215" s="54" t="n">
        <x:v>1</x:v>
      </x:c>
      <x:c r="D215" s="54" t="n">
        <x:v>1</x:v>
      </x:c>
      <x:c r="E215" s="103" t="str">
        <x:v>Material-row source portal</x:v>
      </x:c>
      <x:c r="F215" s="103" t="str">
        <x:v>Source portal is identified, but edition/revision and property record locator remain unresolved.</x:v>
      </x:c>
    </x:row>
    <x:row r="216">
      <x:c r="A216" s="54" t="n">
        <x:v>1014</x:v>
      </x:c>
      <x:c r="B216" s="54" t="n">
        <x:v>9</x:v>
      </x:c>
      <x:c r="C216" s="54" t="n">
        <x:v>1</x:v>
      </x:c>
      <x:c r="D216" s="54" t="n">
        <x:v>1</x:v>
      </x:c>
      <x:c r="E216" s="103" t="str">
        <x:v>Material-row source portal</x:v>
      </x:c>
      <x:c r="F216" s="103" t="str">
        <x:v>Source portal is identified, but edition/revision and property record locator remain unresolved.</x:v>
      </x:c>
    </x:row>
    <x:row r="217">
      <x:c r="A217" s="54" t="n">
        <x:v>1014</x:v>
      </x:c>
      <x:c r="B217" s="54" t="n">
        <x:v>10</x:v>
      </x:c>
      <x:c r="C217" s="54" t="n">
        <x:v>1</x:v>
      </x:c>
      <x:c r="D217" s="54" t="n">
        <x:v>1</x:v>
      </x:c>
      <x:c r="E217" s="103" t="str">
        <x:v>Material-row source portal</x:v>
      </x:c>
      <x:c r="F217" s="103" t="str">
        <x:v>Source portal is identified, but edition/revision and property record locator remain unresolved.</x:v>
      </x:c>
    </x:row>
    <x:row r="218">
      <x:c r="A218" s="54" t="n">
        <x:v>1014</x:v>
      </x:c>
      <x:c r="B218" s="54" t="n">
        <x:v>11</x:v>
      </x:c>
      <x:c r="C218" s="54" t="n">
        <x:v>1</x:v>
      </x:c>
      <x:c r="D218" s="54" t="n">
        <x:v>1</x:v>
      </x:c>
      <x:c r="E218" s="103" t="str">
        <x:v>Material-row source portal</x:v>
      </x:c>
      <x:c r="F218" s="103" t="str">
        <x:v>Source portal is identified, but edition/revision and property record locator remain unresolved.</x:v>
      </x:c>
    </x:row>
    <x:row r="219">
      <x:c r="A219" s="54" t="n">
        <x:v>1014</x:v>
      </x:c>
      <x:c r="B219" s="54" t="n">
        <x:v>12</x:v>
      </x:c>
      <x:c r="C219" s="54" t="n">
        <x:v>1</x:v>
      </x:c>
      <x:c r="D219" s="54" t="n">
        <x:v>1</x:v>
      </x:c>
      <x:c r="E219" s="103" t="str">
        <x:v>Material-row source portal</x:v>
      </x:c>
      <x:c r="F219" s="103" t="str">
        <x:v>Source portal is identified, but edition/revision and property record locator remain unresolved.</x:v>
      </x:c>
    </x:row>
    <x:row r="220">
      <x:c r="A220" s="54" t="n">
        <x:v>1014</x:v>
      </x:c>
      <x:c r="B220" s="54" t="n">
        <x:v>13</x:v>
      </x:c>
      <x:c r="C220" s="54" t="n">
        <x:v>1</x:v>
      </x:c>
      <x:c r="D220" s="54" t="n">
        <x:v>1</x:v>
      </x:c>
      <x:c r="E220" s="103" t="str">
        <x:v>Material-row source portal</x:v>
      </x:c>
      <x:c r="F220" s="103" t="str">
        <x:v>Source portal is identified, but edition/revision and property record locator remain unresolved.</x:v>
      </x:c>
    </x:row>
    <x:row r="221">
      <x:c r="A221" s="54" t="n">
        <x:v>1014</x:v>
      </x:c>
      <x:c r="B221" s="54" t="n">
        <x:v>14</x:v>
      </x:c>
      <x:c r="C221" s="54" t="n">
        <x:v>1</x:v>
      </x:c>
      <x:c r="D221" s="54" t="n">
        <x:v>1</x:v>
      </x:c>
      <x:c r="E221" s="103" t="str">
        <x:v>Material-row source portal</x:v>
      </x:c>
      <x:c r="F221" s="103" t="str">
        <x:v>Source portal is identified, but edition/revision and property record locator remain unresolved.</x:v>
      </x:c>
    </x:row>
    <x:row r="222">
      <x:c r="A222" s="54" t="n">
        <x:v>1014</x:v>
      </x:c>
      <x:c r="B222" s="54" t="n">
        <x:v>15</x:v>
      </x:c>
      <x:c r="C222" s="54" t="n">
        <x:v>1</x:v>
      </x:c>
      <x:c r="D222" s="54" t="n">
        <x:v>1</x:v>
      </x:c>
      <x:c r="E222" s="103" t="str">
        <x:v>Material-row source portal</x:v>
      </x:c>
      <x:c r="F222" s="103" t="str">
        <x:v>Source portal is identified, but edition/revision and property record locator remain unresolved.</x:v>
      </x:c>
    </x:row>
    <x:row r="223">
      <x:c r="A223" s="54" t="n">
        <x:v>1014</x:v>
      </x:c>
      <x:c r="B223" s="54" t="n">
        <x:v>16</x:v>
      </x:c>
      <x:c r="C223" s="54" t="n">
        <x:v>1</x:v>
      </x:c>
      <x:c r="D223" s="54" t="n">
        <x:v>1</x:v>
      </x:c>
      <x:c r="E223" s="103" t="str">
        <x:v>Material-row source portal</x:v>
      </x:c>
      <x:c r="F223" s="103" t="str">
        <x:v>Source portal is identified, but edition/revision and property record locator remain unresolved.</x:v>
      </x:c>
    </x:row>
    <x:row r="224">
      <x:c r="A224" s="54" t="n">
        <x:v>1014</x:v>
      </x:c>
      <x:c r="B224" s="54" t="n">
        <x:v>17</x:v>
      </x:c>
      <x:c r="C224" s="54" t="n">
        <x:v>1</x:v>
      </x:c>
      <x:c r="D224" s="54" t="n">
        <x:v>1</x:v>
      </x:c>
      <x:c r="E224" s="103" t="str">
        <x:v>Material-row source portal</x:v>
      </x:c>
      <x:c r="F224" s="103" t="str">
        <x:v>Source portal is identified, but edition/revision and property record locator remain unresolved.</x:v>
      </x:c>
    </x:row>
    <x:row r="225">
      <x:c r="A225" s="54" t="n">
        <x:v>1014</x:v>
      </x:c>
      <x:c r="B225" s="54" t="n">
        <x:v>18</x:v>
      </x:c>
      <x:c r="C225" s="54" t="n">
        <x:v>1</x:v>
      </x:c>
      <x:c r="D225" s="54" t="n">
        <x:v>1</x:v>
      </x:c>
      <x:c r="E225" s="103" t="str">
        <x:v>Formula-derived from E and Poisson ratio; input records inherit the material-row source</x:v>
      </x:c>
      <x:c r="F225" s="103" t="str">
        <x:v>Source portal is identified, but edition/revision and property record locator remain unresolved.</x:v>
      </x:c>
    </x:row>
    <x:row r="226">
      <x:c r="A226" s="54" t="n">
        <x:v>1101</x:v>
      </x:c>
      <x:c r="B226" s="54" t="n">
        <x:v>1</x:v>
      </x:c>
      <x:c r="C226" s="54" t="n">
        <x:v>15</x:v>
      </x:c>
      <x:c r="D226" s="54" t="n">
        <x:v>3</x:v>
      </x:c>
      <x:c r="E226" s="103" t="str">
        <x:v>Table 7, density column</x:v>
      </x:c>
      <x:c r="F226" s="103" t="str">
        <x:v>7.9 kg/dm3 converted to 7900 kg/m3.</x:v>
      </x:c>
    </x:row>
    <x:row r="227">
      <x:c r="A227" s="54" t="n">
        <x:v>1101</x:v>
      </x:c>
      <x:c r="B227" s="54" t="n">
        <x:v>2</x:v>
      </x:c>
      <x:c r="C227" s="54" t="n">
        <x:v>15</x:v>
      </x:c>
      <x:c r="D227" s="54" t="n">
        <x:v>3</x:v>
      </x:c>
      <x:c r="E227" s="103" t="str">
        <x:v>Table 7, modulus of elasticity at 20 C column</x:v>
      </x:c>
      <x:c r="F227" s="103" t="str">
        <x:v>200 GPa, direct SI value.</x:v>
      </x:c>
    </x:row>
    <x:row r="228">
      <x:c r="A228" s="54" t="n">
        <x:v>1101</x:v>
      </x:c>
      <x:c r="B228" s="54" t="n">
        <x:v>5</x:v>
      </x:c>
      <x:c r="C228" s="54" t="n">
        <x:v>14</x:v>
      </x:c>
      <x:c r="D228" s="54" t="n">
        <x:v>3</x:v>
      </x:c>
      <x:c r="E228" s="103" t="str">
        <x:v>Table 5, Core 304/4301 cold-rolled row, Rp0.2 column</x:v>
      </x:c>
      <x:c r="F228" s="103" t="str">
        <x:v>EN 10088-2 minimum yield strength: 230 MPa.</x:v>
      </x:c>
    </x:row>
    <x:row r="229">
      <x:c r="A229" s="54" t="n">
        <x:v>1101</x:v>
      </x:c>
      <x:c r="B229" s="54" t="n">
        <x:v>6</x:v>
      </x:c>
      <x:c r="C229" s="54" t="n">
        <x:v>14</x:v>
      </x:c>
      <x:c r="D229" s="54" t="n">
        <x:v>3</x:v>
      </x:c>
      <x:c r="E229" s="103" t="str">
        <x:v>Table 5, Core 304/4301 cold-rolled row, Rm column</x:v>
      </x:c>
      <x:c r="F229" s="103" t="str">
        <x:v>Cited range is 540-750 MPa; the screening database stores the lower bound 540 MPa.</x:v>
      </x:c>
    </x:row>
    <x:row r="230">
      <x:c r="A230" s="54" t="n">
        <x:v>1101</x:v>
      </x:c>
      <x:c r="B230" s="54" t="n">
        <x:v>9</x:v>
      </x:c>
      <x:c r="C230" s="54" t="n">
        <x:v>14</x:v>
      </x:c>
      <x:c r="D230" s="54" t="n">
        <x:v>3</x:v>
      </x:c>
      <x:c r="E230" s="103" t="str">
        <x:v>Table 5, Core 304/4301 cold-rolled row, A column</x:v>
      </x:c>
      <x:c r="F230" s="103" t="str">
        <x:v>Minimum elongation 45%, stored as fraction 0.45.</x:v>
      </x:c>
    </x:row>
    <x:row r="231">
      <x:c r="A231" s="54" t="n">
        <x:v>1101</x:v>
      </x:c>
      <x:c r="B231" s="54" t="n">
        <x:v>11</x:v>
      </x:c>
      <x:c r="C231" s="54" t="n">
        <x:v>15</x:v>
      </x:c>
      <x:c r="D231" s="54" t="n">
        <x:v>3</x:v>
      </x:c>
      <x:c r="E231" s="103" t="str">
        <x:v>Table 7, thermal conductivity at 20 C column</x:v>
      </x:c>
      <x:c r="F231" s="103" t="str">
        <x:v>15 W/(m*K), direct SI value.</x:v>
      </x:c>
    </x:row>
    <x:row r="232">
      <x:c r="A232" s="54" t="n">
        <x:v>1101</x:v>
      </x:c>
      <x:c r="B232" s="54" t="n">
        <x:v>12</x:v>
      </x:c>
      <x:c r="C232" s="54" t="n">
        <x:v>15</x:v>
      </x:c>
      <x:c r="D232" s="54" t="n">
        <x:v>3</x:v>
      </x:c>
      <x:c r="E232" s="103" t="str">
        <x:v>Table 7, thermal capacity at 20 C column</x:v>
      </x:c>
      <x:c r="F232" s="103" t="str">
        <x:v>500 J/(kg*K), direct SI value.</x:v>
      </x:c>
    </x:row>
    <x:row r="233">
      <x:c r="A233" s="54" t="n">
        <x:v>1101</x:v>
      </x:c>
      <x:c r="B233" s="54" t="n">
        <x:v>13</x:v>
      </x:c>
      <x:c r="C233" s="54" t="n">
        <x:v>15</x:v>
      </x:c>
      <x:c r="D233" s="54" t="n">
        <x:v>3</x:v>
      </x:c>
      <x:c r="E233" s="103" t="str">
        <x:v>Table 7, coefficient of thermal expansion 20-100 C column</x:v>
      </x:c>
      <x:c r="F233" s="103" t="str">
        <x:v>16.0*10^-6/K stored as 16 um/(m*K).</x:v>
      </x:c>
    </x:row>
    <x:row r="234">
      <x:c r="A234" s="54" t="n">
        <x:v>1101</x:v>
      </x:c>
      <x:c r="B234" s="54" t="n">
        <x:v>14</x:v>
      </x:c>
      <x:c r="C234" s="54" t="n">
        <x:v>15</x:v>
      </x:c>
      <x:c r="D234" s="54" t="n">
        <x:v>3</x:v>
      </x:c>
      <x:c r="E234" s="103" t="str">
        <x:v>Table 7, electrical resistivity at 20 C column</x:v>
      </x:c>
      <x:c r="F234" s="103" t="str">
        <x:v>0.73 ohm*mm2/m converted to 7.3*10^-7 ohm*m.</x:v>
      </x:c>
    </x:row>
    <x:row r="235">
      <x:c r="A235" s="54" t="n">
        <x:v>1102</x:v>
      </x:c>
      <x:c r="B235" s="54" t="n">
        <x:v>1</x:v>
      </x:c>
      <x:c r="C235" s="54" t="n">
        <x:v>15</x:v>
      </x:c>
      <x:c r="D235" s="54" t="n">
        <x:v>3</x:v>
      </x:c>
      <x:c r="E235" s="103" t="str">
        <x:v>Table 7, density column</x:v>
      </x:c>
      <x:c r="F235" s="103" t="str">
        <x:v>7.9 kg/dm3 converted to 7900 kg/m3.</x:v>
      </x:c>
    </x:row>
    <x:row r="236">
      <x:c r="A236" s="54" t="n">
        <x:v>1102</x:v>
      </x:c>
      <x:c r="B236" s="54" t="n">
        <x:v>2</x:v>
      </x:c>
      <x:c r="C236" s="54" t="n">
        <x:v>15</x:v>
      </x:c>
      <x:c r="D236" s="54" t="n">
        <x:v>3</x:v>
      </x:c>
      <x:c r="E236" s="103" t="str">
        <x:v>Table 7, modulus of elasticity at 20 C column</x:v>
      </x:c>
      <x:c r="F236" s="103" t="str">
        <x:v>200 GPa, direct SI value.</x:v>
      </x:c>
    </x:row>
    <x:row r="237">
      <x:c r="A237" s="54" t="n">
        <x:v>1102</x:v>
      </x:c>
      <x:c r="B237" s="54" t="n">
        <x:v>5</x:v>
      </x:c>
      <x:c r="C237" s="54" t="n">
        <x:v>14</x:v>
      </x:c>
      <x:c r="D237" s="54" t="n">
        <x:v>3</x:v>
      </x:c>
      <x:c r="E237" s="103" t="str">
        <x:v>Table 5, Core 304L/4307 cold-rolled row, Rp0.2 column</x:v>
      </x:c>
      <x:c r="F237" s="103" t="str">
        <x:v>EN 10088-2 minimum yield strength: 220 MPa.</x:v>
      </x:c>
    </x:row>
    <x:row r="238">
      <x:c r="A238" s="54" t="n">
        <x:v>1102</x:v>
      </x:c>
      <x:c r="B238" s="54" t="n">
        <x:v>6</x:v>
      </x:c>
      <x:c r="C238" s="54" t="n">
        <x:v>14</x:v>
      </x:c>
      <x:c r="D238" s="54" t="n">
        <x:v>3</x:v>
      </x:c>
      <x:c r="E238" s="103" t="str">
        <x:v>Table 5, Core 304L/4307 cold-rolled row, Rm column</x:v>
      </x:c>
      <x:c r="F238" s="103" t="str">
        <x:v>Cited range is 520-700 MPa; the screening database stores the lower bound 520 MPa.</x:v>
      </x:c>
    </x:row>
    <x:row r="239">
      <x:c r="A239" s="54" t="n">
        <x:v>1102</x:v>
      </x:c>
      <x:c r="B239" s="54" t="n">
        <x:v>9</x:v>
      </x:c>
      <x:c r="C239" s="54" t="n">
        <x:v>14</x:v>
      </x:c>
      <x:c r="D239" s="54" t="n">
        <x:v>3</x:v>
      </x:c>
      <x:c r="E239" s="103" t="str">
        <x:v>Table 5, Core 304L/4307 cold-rolled row, A column</x:v>
      </x:c>
      <x:c r="F239" s="103" t="str">
        <x:v>Minimum elongation 45%, stored as fraction 0.45.</x:v>
      </x:c>
    </x:row>
    <x:row r="240">
      <x:c r="A240" s="54" t="n">
        <x:v>1102</x:v>
      </x:c>
      <x:c r="B240" s="54" t="n">
        <x:v>11</x:v>
      </x:c>
      <x:c r="C240" s="54" t="n">
        <x:v>15</x:v>
      </x:c>
      <x:c r="D240" s="54" t="n">
        <x:v>3</x:v>
      </x:c>
      <x:c r="E240" s="103" t="str">
        <x:v>Table 7, thermal conductivity at 20 C column</x:v>
      </x:c>
      <x:c r="F240" s="103" t="str">
        <x:v>15 W/(m*K), direct SI value.</x:v>
      </x:c>
    </x:row>
    <x:row r="241">
      <x:c r="A241" s="54" t="n">
        <x:v>1102</x:v>
      </x:c>
      <x:c r="B241" s="54" t="n">
        <x:v>12</x:v>
      </x:c>
      <x:c r="C241" s="54" t="n">
        <x:v>15</x:v>
      </x:c>
      <x:c r="D241" s="54" t="n">
        <x:v>3</x:v>
      </x:c>
      <x:c r="E241" s="103" t="str">
        <x:v>Table 7, thermal capacity at 20 C column</x:v>
      </x:c>
      <x:c r="F241" s="103" t="str">
        <x:v>500 J/(kg*K), direct SI value.</x:v>
      </x:c>
    </x:row>
    <x:row r="242">
      <x:c r="A242" s="54" t="n">
        <x:v>1102</x:v>
      </x:c>
      <x:c r="B242" s="54" t="n">
        <x:v>13</x:v>
      </x:c>
      <x:c r="C242" s="54" t="n">
        <x:v>15</x:v>
      </x:c>
      <x:c r="D242" s="54" t="n">
        <x:v>3</x:v>
      </x:c>
      <x:c r="E242" s="103" t="str">
        <x:v>Table 7, coefficient of thermal expansion 20-100 C column</x:v>
      </x:c>
      <x:c r="F242" s="103" t="str">
        <x:v>16.0*10^-6/K stored as 16 um/(m*K).</x:v>
      </x:c>
    </x:row>
    <x:row r="243">
      <x:c r="A243" s="54" t="n">
        <x:v>1102</x:v>
      </x:c>
      <x:c r="B243" s="54" t="n">
        <x:v>14</x:v>
      </x:c>
      <x:c r="C243" s="54" t="n">
        <x:v>15</x:v>
      </x:c>
      <x:c r="D243" s="54" t="n">
        <x:v>3</x:v>
      </x:c>
      <x:c r="E243" s="103" t="str">
        <x:v>Table 7, electrical resistivity at 20 C column</x:v>
      </x:c>
      <x:c r="F243" s="103" t="str">
        <x:v>0.73 ohm*mm2/m converted to 7.3*10^-7 ohm*m.</x:v>
      </x:c>
    </x:row>
    <x:row r="244">
      <x:c r="A244" s="54" t="n">
        <x:v>1103</x:v>
      </x:c>
      <x:c r="B244" s="54" t="n">
        <x:v>1</x:v>
      </x:c>
      <x:c r="C244" s="54" t="n">
        <x:v>2</x:v>
      </x:c>
      <x:c r="D244" s="54" t="n">
        <x:v>1</x:v>
      </x:c>
      <x:c r="E244" s="103" t="str">
        <x:v>Material-row source portal</x:v>
      </x:c>
      <x:c r="F244" s="103" t="str">
        <x:v>Source portal is identified, but edition/revision and property record locator remain unresolved.</x:v>
      </x:c>
    </x:row>
    <x:row r="245">
      <x:c r="A245" s="54" t="n">
        <x:v>1103</x:v>
      </x:c>
      <x:c r="B245" s="54" t="n">
        <x:v>2</x:v>
      </x:c>
      <x:c r="C245" s="54" t="n">
        <x:v>2</x:v>
      </x:c>
      <x:c r="D245" s="54" t="n">
        <x:v>1</x:v>
      </x:c>
      <x:c r="E245" s="103" t="str">
        <x:v>Material-row source portal</x:v>
      </x:c>
      <x:c r="F245" s="103" t="str">
        <x:v>Source portal is identified, but edition/revision and property record locator remain unresolved.</x:v>
      </x:c>
    </x:row>
    <x:row r="246">
      <x:c r="A246" s="54" t="n">
        <x:v>1103</x:v>
      </x:c>
      <x:c r="B246" s="54" t="n">
        <x:v>3</x:v>
      </x:c>
      <x:c r="C246" s="54" t="n">
        <x:v>2</x:v>
      </x:c>
      <x:c r="D246" s="54" t="n">
        <x:v>1</x:v>
      </x:c>
      <x:c r="E246" s="103" t="str">
        <x:v>Formula-derived from E and Poisson ratio; input records inherit the material-row source</x:v>
      </x:c>
      <x:c r="F246" s="103" t="str">
        <x:v>Source portal is identified, but edition/revision and property record locator remain unresolved.</x:v>
      </x:c>
    </x:row>
    <x:row r="247">
      <x:c r="A247" s="54" t="n">
        <x:v>1103</x:v>
      </x:c>
      <x:c r="B247" s="54" t="n">
        <x:v>4</x:v>
      </x:c>
      <x:c r="C247" s="54" t="n">
        <x:v>2</x:v>
      </x:c>
      <x:c r="D247" s="54" t="n">
        <x:v>1</x:v>
      </x:c>
      <x:c r="E247" s="103" t="str">
        <x:v>Material-row source portal</x:v>
      </x:c>
      <x:c r="F247" s="103" t="str">
        <x:v>Source portal is identified, but edition/revision and property record locator remain unresolved.</x:v>
      </x:c>
    </x:row>
    <x:row r="248">
      <x:c r="A248" s="54" t="n">
        <x:v>1103</x:v>
      </x:c>
      <x:c r="B248" s="54" t="n">
        <x:v>5</x:v>
      </x:c>
      <x:c r="C248" s="54" t="n">
        <x:v>2</x:v>
      </x:c>
      <x:c r="D248" s="54" t="n">
        <x:v>1</x:v>
      </x:c>
      <x:c r="E248" s="103" t="str">
        <x:v>Material-row source portal</x:v>
      </x:c>
      <x:c r="F248" s="103" t="str">
        <x:v>Source portal is identified, but edition/revision and property record locator remain unresolved.</x:v>
      </x:c>
    </x:row>
    <x:row r="249">
      <x:c r="A249" s="54" t="n">
        <x:v>1103</x:v>
      </x:c>
      <x:c r="B249" s="54" t="n">
        <x:v>6</x:v>
      </x:c>
      <x:c r="C249" s="54" t="n">
        <x:v>2</x:v>
      </x:c>
      <x:c r="D249" s="54" t="n">
        <x:v>1</x:v>
      </x:c>
      <x:c r="E249" s="103" t="str">
        <x:v>Material-row source portal</x:v>
      </x:c>
      <x:c r="F249" s="103" t="str">
        <x:v>Source portal is identified, but edition/revision and property record locator remain unresolved.</x:v>
      </x:c>
    </x:row>
    <x:row r="250">
      <x:c r="A250" s="54" t="n">
        <x:v>1103</x:v>
      </x:c>
      <x:c r="B250" s="54" t="n">
        <x:v>9</x:v>
      </x:c>
      <x:c r="C250" s="54" t="n">
        <x:v>2</x:v>
      </x:c>
      <x:c r="D250" s="54" t="n">
        <x:v>1</x:v>
      </x:c>
      <x:c r="E250" s="103" t="str">
        <x:v>Material-row source portal</x:v>
      </x:c>
      <x:c r="F250" s="103" t="str">
        <x:v>Source portal is identified, but edition/revision and property record locator remain unresolved.</x:v>
      </x:c>
    </x:row>
    <x:row r="251">
      <x:c r="A251" s="54" t="n">
        <x:v>1103</x:v>
      </x:c>
      <x:c r="B251" s="54" t="n">
        <x:v>10</x:v>
      </x:c>
      <x:c r="C251" s="54" t="n">
        <x:v>2</x:v>
      </x:c>
      <x:c r="D251" s="54" t="n">
        <x:v>1</x:v>
      </x:c>
      <x:c r="E251" s="103" t="str">
        <x:v>Material-row source portal</x:v>
      </x:c>
      <x:c r="F251" s="103" t="str">
        <x:v>Source portal is identified, but edition/revision and property record locator remain unresolved.</x:v>
      </x:c>
    </x:row>
    <x:row r="252">
      <x:c r="A252" s="54" t="n">
        <x:v>1103</x:v>
      </x:c>
      <x:c r="B252" s="54" t="n">
        <x:v>11</x:v>
      </x:c>
      <x:c r="C252" s="54" t="n">
        <x:v>2</x:v>
      </x:c>
      <x:c r="D252" s="54" t="n">
        <x:v>1</x:v>
      </x:c>
      <x:c r="E252" s="103" t="str">
        <x:v>Material-row source portal</x:v>
      </x:c>
      <x:c r="F252" s="103" t="str">
        <x:v>Source portal is identified, but edition/revision and property record locator remain unresolved.</x:v>
      </x:c>
    </x:row>
    <x:row r="253">
      <x:c r="A253" s="54" t="n">
        <x:v>1103</x:v>
      </x:c>
      <x:c r="B253" s="54" t="n">
        <x:v>12</x:v>
      </x:c>
      <x:c r="C253" s="54" t="n">
        <x:v>2</x:v>
      </x:c>
      <x:c r="D253" s="54" t="n">
        <x:v>1</x:v>
      </x:c>
      <x:c r="E253" s="103" t="str">
        <x:v>Material-row source portal</x:v>
      </x:c>
      <x:c r="F253" s="103" t="str">
        <x:v>Source portal is identified, but edition/revision and property record locator remain unresolved.</x:v>
      </x:c>
    </x:row>
    <x:row r="254">
      <x:c r="A254" s="54" t="n">
        <x:v>1103</x:v>
      </x:c>
      <x:c r="B254" s="54" t="n">
        <x:v>13</x:v>
      </x:c>
      <x:c r="C254" s="54" t="n">
        <x:v>2</x:v>
      </x:c>
      <x:c r="D254" s="54" t="n">
        <x:v>1</x:v>
      </x:c>
      <x:c r="E254" s="103" t="str">
        <x:v>Material-row source portal</x:v>
      </x:c>
      <x:c r="F254" s="103" t="str">
        <x:v>Source portal is identified, but edition/revision and property record locator remain unresolved.</x:v>
      </x:c>
    </x:row>
    <x:row r="255">
      <x:c r="A255" s="54" t="n">
        <x:v>1103</x:v>
      </x:c>
      <x:c r="B255" s="54" t="n">
        <x:v>14</x:v>
      </x:c>
      <x:c r="C255" s="54" t="n">
        <x:v>2</x:v>
      </x:c>
      <x:c r="D255" s="54" t="n">
        <x:v>1</x:v>
      </x:c>
      <x:c r="E255" s="103" t="str">
        <x:v>Material-row source portal</x:v>
      </x:c>
      <x:c r="F255" s="103" t="str">
        <x:v>Source portal is identified, but edition/revision and property record locator remain unresolved.</x:v>
      </x:c>
    </x:row>
    <x:row r="256">
      <x:c r="A256" s="54" t="n">
        <x:v>1103</x:v>
      </x:c>
      <x:c r="B256" s="54" t="n">
        <x:v>15</x:v>
      </x:c>
      <x:c r="C256" s="54" t="n">
        <x:v>2</x:v>
      </x:c>
      <x:c r="D256" s="54" t="n">
        <x:v>1</x:v>
      </x:c>
      <x:c r="E256" s="103" t="str">
        <x:v>Material-row source portal</x:v>
      </x:c>
      <x:c r="F256" s="103" t="str">
        <x:v>Source portal is identified, but edition/revision and property record locator remain unresolved.</x:v>
      </x:c>
    </x:row>
    <x:row r="257">
      <x:c r="A257" s="54" t="n">
        <x:v>1103</x:v>
      </x:c>
      <x:c r="B257" s="54" t="n">
        <x:v>16</x:v>
      </x:c>
      <x:c r="C257" s="54" t="n">
        <x:v>2</x:v>
      </x:c>
      <x:c r="D257" s="54" t="n">
        <x:v>1</x:v>
      </x:c>
      <x:c r="E257" s="103" t="str">
        <x:v>Material-row source portal</x:v>
      </x:c>
      <x:c r="F257" s="103" t="str">
        <x:v>Source portal is identified, but edition/revision and property record locator remain unresolved.</x:v>
      </x:c>
    </x:row>
    <x:row r="258">
      <x:c r="A258" s="54" t="n">
        <x:v>1103</x:v>
      </x:c>
      <x:c r="B258" s="54" t="n">
        <x:v>17</x:v>
      </x:c>
      <x:c r="C258" s="54" t="n">
        <x:v>2</x:v>
      </x:c>
      <x:c r="D258" s="54" t="n">
        <x:v>1</x:v>
      </x:c>
      <x:c r="E258" s="103" t="str">
        <x:v>Material-row source portal</x:v>
      </x:c>
      <x:c r="F258" s="103" t="str">
        <x:v>Source portal is identified, but edition/revision and property record locator remain unresolved.</x:v>
      </x:c>
    </x:row>
    <x:row r="259">
      <x:c r="A259" s="54" t="n">
        <x:v>1103</x:v>
      </x:c>
      <x:c r="B259" s="54" t="n">
        <x:v>18</x:v>
      </x:c>
      <x:c r="C259" s="54" t="n">
        <x:v>2</x:v>
      </x:c>
      <x:c r="D259" s="54" t="n">
        <x:v>1</x:v>
      </x:c>
      <x:c r="E259" s="103" t="str">
        <x:v>Formula-derived from E and Poisson ratio; input records inherit the material-row source</x:v>
      </x:c>
      <x:c r="F259" s="103" t="str">
        <x:v>Source portal is identified, but edition/revision and property record locator remain unresolved.</x:v>
      </x:c>
    </x:row>
    <x:row r="260">
      <x:c r="A260" s="54" t="n">
        <x:v>1104</x:v>
      </x:c>
      <x:c r="B260" s="54" t="n">
        <x:v>1</x:v>
      </x:c>
      <x:c r="C260" s="54" t="n">
        <x:v>2</x:v>
      </x:c>
      <x:c r="D260" s="54" t="n">
        <x:v>1</x:v>
      </x:c>
      <x:c r="E260" s="103" t="str">
        <x:v>Material-row source portal</x:v>
      </x:c>
      <x:c r="F260" s="103" t="str">
        <x:v>Source portal is identified, but edition/revision and property record locator remain unresolved.</x:v>
      </x:c>
    </x:row>
    <x:row r="261">
      <x:c r="A261" s="54" t="n">
        <x:v>1104</x:v>
      </x:c>
      <x:c r="B261" s="54" t="n">
        <x:v>2</x:v>
      </x:c>
      <x:c r="C261" s="54" t="n">
        <x:v>2</x:v>
      </x:c>
      <x:c r="D261" s="54" t="n">
        <x:v>1</x:v>
      </x:c>
      <x:c r="E261" s="103" t="str">
        <x:v>Material-row source portal</x:v>
      </x:c>
      <x:c r="F261" s="103" t="str">
        <x:v>Source portal is identified, but edition/revision and property record locator remain unresolved.</x:v>
      </x:c>
    </x:row>
    <x:row r="262">
      <x:c r="A262" s="54" t="n">
        <x:v>1104</x:v>
      </x:c>
      <x:c r="B262" s="54" t="n">
        <x:v>3</x:v>
      </x:c>
      <x:c r="C262" s="54" t="n">
        <x:v>2</x:v>
      </x:c>
      <x:c r="D262" s="54" t="n">
        <x:v>1</x:v>
      </x:c>
      <x:c r="E262" s="103" t="str">
        <x:v>Formula-derived from E and Poisson ratio; input records inherit the material-row source</x:v>
      </x:c>
      <x:c r="F262" s="103" t="str">
        <x:v>Source portal is identified, but edition/revision and property record locator remain unresolved.</x:v>
      </x:c>
    </x:row>
    <x:row r="263">
      <x:c r="A263" s="54" t="n">
        <x:v>1104</x:v>
      </x:c>
      <x:c r="B263" s="54" t="n">
        <x:v>4</x:v>
      </x:c>
      <x:c r="C263" s="54" t="n">
        <x:v>2</x:v>
      </x:c>
      <x:c r="D263" s="54" t="n">
        <x:v>1</x:v>
      </x:c>
      <x:c r="E263" s="103" t="str">
        <x:v>Material-row source portal</x:v>
      </x:c>
      <x:c r="F263" s="103" t="str">
        <x:v>Source portal is identified, but edition/revision and property record locator remain unresolved.</x:v>
      </x:c>
    </x:row>
    <x:row r="264">
      <x:c r="A264" s="54" t="n">
        <x:v>1104</x:v>
      </x:c>
      <x:c r="B264" s="54" t="n">
        <x:v>5</x:v>
      </x:c>
      <x:c r="C264" s="54" t="n">
        <x:v>2</x:v>
      </x:c>
      <x:c r="D264" s="54" t="n">
        <x:v>1</x:v>
      </x:c>
      <x:c r="E264" s="103" t="str">
        <x:v>Material-row source portal</x:v>
      </x:c>
      <x:c r="F264" s="103" t="str">
        <x:v>Source portal is identified, but edition/revision and property record locator remain unresolved.</x:v>
      </x:c>
    </x:row>
    <x:row r="265">
      <x:c r="A265" s="54" t="n">
        <x:v>1104</x:v>
      </x:c>
      <x:c r="B265" s="54" t="n">
        <x:v>6</x:v>
      </x:c>
      <x:c r="C265" s="54" t="n">
        <x:v>2</x:v>
      </x:c>
      <x:c r="D265" s="54" t="n">
        <x:v>1</x:v>
      </x:c>
      <x:c r="E265" s="103" t="str">
        <x:v>Material-row source portal</x:v>
      </x:c>
      <x:c r="F265" s="103" t="str">
        <x:v>Source portal is identified, but edition/revision and property record locator remain unresolved.</x:v>
      </x:c>
    </x:row>
    <x:row r="266">
      <x:c r="A266" s="54" t="n">
        <x:v>1104</x:v>
      </x:c>
      <x:c r="B266" s="54" t="n">
        <x:v>9</x:v>
      </x:c>
      <x:c r="C266" s="54" t="n">
        <x:v>2</x:v>
      </x:c>
      <x:c r="D266" s="54" t="n">
        <x:v>1</x:v>
      </x:c>
      <x:c r="E266" s="103" t="str">
        <x:v>Material-row source portal</x:v>
      </x:c>
      <x:c r="F266" s="103" t="str">
        <x:v>Source portal is identified, but edition/revision and property record locator remain unresolved.</x:v>
      </x:c>
    </x:row>
    <x:row r="267">
      <x:c r="A267" s="54" t="n">
        <x:v>1104</x:v>
      </x:c>
      <x:c r="B267" s="54" t="n">
        <x:v>10</x:v>
      </x:c>
      <x:c r="C267" s="54" t="n">
        <x:v>2</x:v>
      </x:c>
      <x:c r="D267" s="54" t="n">
        <x:v>1</x:v>
      </x:c>
      <x:c r="E267" s="103" t="str">
        <x:v>Material-row source portal</x:v>
      </x:c>
      <x:c r="F267" s="103" t="str">
        <x:v>Source portal is identified, but edition/revision and property record locator remain unresolved.</x:v>
      </x:c>
    </x:row>
    <x:row r="268">
      <x:c r="A268" s="54" t="n">
        <x:v>1104</x:v>
      </x:c>
      <x:c r="B268" s="54" t="n">
        <x:v>11</x:v>
      </x:c>
      <x:c r="C268" s="54" t="n">
        <x:v>2</x:v>
      </x:c>
      <x:c r="D268" s="54" t="n">
        <x:v>1</x:v>
      </x:c>
      <x:c r="E268" s="103" t="str">
        <x:v>Material-row source portal</x:v>
      </x:c>
      <x:c r="F268" s="103" t="str">
        <x:v>Source portal is identified, but edition/revision and property record locator remain unresolved.</x:v>
      </x:c>
    </x:row>
    <x:row r="269">
      <x:c r="A269" s="54" t="n">
        <x:v>1104</x:v>
      </x:c>
      <x:c r="B269" s="54" t="n">
        <x:v>12</x:v>
      </x:c>
      <x:c r="C269" s="54" t="n">
        <x:v>2</x:v>
      </x:c>
      <x:c r="D269" s="54" t="n">
        <x:v>1</x:v>
      </x:c>
      <x:c r="E269" s="103" t="str">
        <x:v>Material-row source portal</x:v>
      </x:c>
      <x:c r="F269" s="103" t="str">
        <x:v>Source portal is identified, but edition/revision and property record locator remain unresolved.</x:v>
      </x:c>
    </x:row>
    <x:row r="270">
      <x:c r="A270" s="54" t="n">
        <x:v>1104</x:v>
      </x:c>
      <x:c r="B270" s="54" t="n">
        <x:v>13</x:v>
      </x:c>
      <x:c r="C270" s="54" t="n">
        <x:v>2</x:v>
      </x:c>
      <x:c r="D270" s="54" t="n">
        <x:v>1</x:v>
      </x:c>
      <x:c r="E270" s="103" t="str">
        <x:v>Material-row source portal</x:v>
      </x:c>
      <x:c r="F270" s="103" t="str">
        <x:v>Source portal is identified, but edition/revision and property record locator remain unresolved.</x:v>
      </x:c>
    </x:row>
    <x:row r="271">
      <x:c r="A271" s="54" t="n">
        <x:v>1104</x:v>
      </x:c>
      <x:c r="B271" s="54" t="n">
        <x:v>14</x:v>
      </x:c>
      <x:c r="C271" s="54" t="n">
        <x:v>2</x:v>
      </x:c>
      <x:c r="D271" s="54" t="n">
        <x:v>1</x:v>
      </x:c>
      <x:c r="E271" s="103" t="str">
        <x:v>Material-row source portal</x:v>
      </x:c>
      <x:c r="F271" s="103" t="str">
        <x:v>Source portal is identified, but edition/revision and property record locator remain unresolved.</x:v>
      </x:c>
    </x:row>
    <x:row r="272">
      <x:c r="A272" s="54" t="n">
        <x:v>1104</x:v>
      </x:c>
      <x:c r="B272" s="54" t="n">
        <x:v>15</x:v>
      </x:c>
      <x:c r="C272" s="54" t="n">
        <x:v>2</x:v>
      </x:c>
      <x:c r="D272" s="54" t="n">
        <x:v>1</x:v>
      </x:c>
      <x:c r="E272" s="103" t="str">
        <x:v>Material-row source portal</x:v>
      </x:c>
      <x:c r="F272" s="103" t="str">
        <x:v>Source portal is identified, but edition/revision and property record locator remain unresolved.</x:v>
      </x:c>
    </x:row>
    <x:row r="273">
      <x:c r="A273" s="54" t="n">
        <x:v>1104</x:v>
      </x:c>
      <x:c r="B273" s="54" t="n">
        <x:v>16</x:v>
      </x:c>
      <x:c r="C273" s="54" t="n">
        <x:v>2</x:v>
      </x:c>
      <x:c r="D273" s="54" t="n">
        <x:v>1</x:v>
      </x:c>
      <x:c r="E273" s="103" t="str">
        <x:v>Material-row source portal</x:v>
      </x:c>
      <x:c r="F273" s="103" t="str">
        <x:v>Source portal is identified, but edition/revision and property record locator remain unresolved.</x:v>
      </x:c>
    </x:row>
    <x:row r="274">
      <x:c r="A274" s="54" t="n">
        <x:v>1104</x:v>
      </x:c>
      <x:c r="B274" s="54" t="n">
        <x:v>17</x:v>
      </x:c>
      <x:c r="C274" s="54" t="n">
        <x:v>2</x:v>
      </x:c>
      <x:c r="D274" s="54" t="n">
        <x:v>1</x:v>
      </x:c>
      <x:c r="E274" s="103" t="str">
        <x:v>Material-row source portal</x:v>
      </x:c>
      <x:c r="F274" s="103" t="str">
        <x:v>Source portal is identified, but edition/revision and property record locator remain unresolved.</x:v>
      </x:c>
    </x:row>
    <x:row r="275">
      <x:c r="A275" s="54" t="n">
        <x:v>1104</x:v>
      </x:c>
      <x:c r="B275" s="54" t="n">
        <x:v>18</x:v>
      </x:c>
      <x:c r="C275" s="54" t="n">
        <x:v>2</x:v>
      </x:c>
      <x:c r="D275" s="54" t="n">
        <x:v>1</x:v>
      </x:c>
      <x:c r="E275" s="103" t="str">
        <x:v>Formula-derived from E and Poisson ratio; input records inherit the material-row source</x:v>
      </x:c>
      <x:c r="F275" s="103" t="str">
        <x:v>Source portal is identified, but edition/revision and property record locator remain unresolved.</x:v>
      </x:c>
    </x:row>
    <x:row r="276">
      <x:c r="A276" s="54" t="n">
        <x:v>1105</x:v>
      </x:c>
      <x:c r="B276" s="54" t="n">
        <x:v>1</x:v>
      </x:c>
      <x:c r="C276" s="54" t="n">
        <x:v>2</x:v>
      </x:c>
      <x:c r="D276" s="54" t="n">
        <x:v>1</x:v>
      </x:c>
      <x:c r="E276" s="103" t="str">
        <x:v>Material-row source portal</x:v>
      </x:c>
      <x:c r="F276" s="103" t="str">
        <x:v>Source portal is identified, but edition/revision and property record locator remain unresolved.</x:v>
      </x:c>
    </x:row>
    <x:row r="277">
      <x:c r="A277" s="54" t="n">
        <x:v>1105</x:v>
      </x:c>
      <x:c r="B277" s="54" t="n">
        <x:v>2</x:v>
      </x:c>
      <x:c r="C277" s="54" t="n">
        <x:v>2</x:v>
      </x:c>
      <x:c r="D277" s="54" t="n">
        <x:v>1</x:v>
      </x:c>
      <x:c r="E277" s="103" t="str">
        <x:v>Material-row source portal</x:v>
      </x:c>
      <x:c r="F277" s="103" t="str">
        <x:v>Source portal is identified, but edition/revision and property record locator remain unresolved.</x:v>
      </x:c>
    </x:row>
    <x:row r="278">
      <x:c r="A278" s="54" t="n">
        <x:v>1105</x:v>
      </x:c>
      <x:c r="B278" s="54" t="n">
        <x:v>3</x:v>
      </x:c>
      <x:c r="C278" s="54" t="n">
        <x:v>2</x:v>
      </x:c>
      <x:c r="D278" s="54" t="n">
        <x:v>1</x:v>
      </x:c>
      <x:c r="E278" s="103" t="str">
        <x:v>Formula-derived from E and Poisson ratio; input records inherit the material-row source</x:v>
      </x:c>
      <x:c r="F278" s="103" t="str">
        <x:v>Source portal is identified, but edition/revision and property record locator remain unresolved.</x:v>
      </x:c>
    </x:row>
    <x:row r="279">
      <x:c r="A279" s="54" t="n">
        <x:v>1105</x:v>
      </x:c>
      <x:c r="B279" s="54" t="n">
        <x:v>4</x:v>
      </x:c>
      <x:c r="C279" s="54" t="n">
        <x:v>2</x:v>
      </x:c>
      <x:c r="D279" s="54" t="n">
        <x:v>1</x:v>
      </x:c>
      <x:c r="E279" s="103" t="str">
        <x:v>Material-row source portal</x:v>
      </x:c>
      <x:c r="F279" s="103" t="str">
        <x:v>Source portal is identified, but edition/revision and property record locator remain unresolved.</x:v>
      </x:c>
    </x:row>
    <x:row r="280">
      <x:c r="A280" s="54" t="n">
        <x:v>1105</x:v>
      </x:c>
      <x:c r="B280" s="54" t="n">
        <x:v>5</x:v>
      </x:c>
      <x:c r="C280" s="54" t="n">
        <x:v>2</x:v>
      </x:c>
      <x:c r="D280" s="54" t="n">
        <x:v>1</x:v>
      </x:c>
      <x:c r="E280" s="103" t="str">
        <x:v>Material-row source portal</x:v>
      </x:c>
      <x:c r="F280" s="103" t="str">
        <x:v>Source portal is identified, but edition/revision and property record locator remain unresolved.</x:v>
      </x:c>
    </x:row>
    <x:row r="281">
      <x:c r="A281" s="54" t="n">
        <x:v>1105</x:v>
      </x:c>
      <x:c r="B281" s="54" t="n">
        <x:v>6</x:v>
      </x:c>
      <x:c r="C281" s="54" t="n">
        <x:v>2</x:v>
      </x:c>
      <x:c r="D281" s="54" t="n">
        <x:v>1</x:v>
      </x:c>
      <x:c r="E281" s="103" t="str">
        <x:v>Material-row source portal</x:v>
      </x:c>
      <x:c r="F281" s="103" t="str">
        <x:v>Source portal is identified, but edition/revision and property record locator remain unresolved.</x:v>
      </x:c>
    </x:row>
    <x:row r="282">
      <x:c r="A282" s="54" t="n">
        <x:v>1105</x:v>
      </x:c>
      <x:c r="B282" s="54" t="n">
        <x:v>9</x:v>
      </x:c>
      <x:c r="C282" s="54" t="n">
        <x:v>2</x:v>
      </x:c>
      <x:c r="D282" s="54" t="n">
        <x:v>1</x:v>
      </x:c>
      <x:c r="E282" s="103" t="str">
        <x:v>Material-row source portal</x:v>
      </x:c>
      <x:c r="F282" s="103" t="str">
        <x:v>Source portal is identified, but edition/revision and property record locator remain unresolved.</x:v>
      </x:c>
    </x:row>
    <x:row r="283">
      <x:c r="A283" s="54" t="n">
        <x:v>1105</x:v>
      </x:c>
      <x:c r="B283" s="54" t="n">
        <x:v>10</x:v>
      </x:c>
      <x:c r="C283" s="54" t="n">
        <x:v>2</x:v>
      </x:c>
      <x:c r="D283" s="54" t="n">
        <x:v>1</x:v>
      </x:c>
      <x:c r="E283" s="103" t="str">
        <x:v>Material-row source portal</x:v>
      </x:c>
      <x:c r="F283" s="103" t="str">
        <x:v>Source portal is identified, but edition/revision and property record locator remain unresolved.</x:v>
      </x:c>
    </x:row>
    <x:row r="284">
      <x:c r="A284" s="54" t="n">
        <x:v>1105</x:v>
      </x:c>
      <x:c r="B284" s="54" t="n">
        <x:v>11</x:v>
      </x:c>
      <x:c r="C284" s="54" t="n">
        <x:v>2</x:v>
      </x:c>
      <x:c r="D284" s="54" t="n">
        <x:v>1</x:v>
      </x:c>
      <x:c r="E284" s="103" t="str">
        <x:v>Material-row source portal</x:v>
      </x:c>
      <x:c r="F284" s="103" t="str">
        <x:v>Source portal is identified, but edition/revision and property record locator remain unresolved.</x:v>
      </x:c>
    </x:row>
    <x:row r="285">
      <x:c r="A285" s="54" t="n">
        <x:v>1105</x:v>
      </x:c>
      <x:c r="B285" s="54" t="n">
        <x:v>12</x:v>
      </x:c>
      <x:c r="C285" s="54" t="n">
        <x:v>2</x:v>
      </x:c>
      <x:c r="D285" s="54" t="n">
        <x:v>1</x:v>
      </x:c>
      <x:c r="E285" s="103" t="str">
        <x:v>Material-row source portal</x:v>
      </x:c>
      <x:c r="F285" s="103" t="str">
        <x:v>Source portal is identified, but edition/revision and property record locator remain unresolved.</x:v>
      </x:c>
    </x:row>
    <x:row r="286">
      <x:c r="A286" s="54" t="n">
        <x:v>1105</x:v>
      </x:c>
      <x:c r="B286" s="54" t="n">
        <x:v>13</x:v>
      </x:c>
      <x:c r="C286" s="54" t="n">
        <x:v>2</x:v>
      </x:c>
      <x:c r="D286" s="54" t="n">
        <x:v>1</x:v>
      </x:c>
      <x:c r="E286" s="103" t="str">
        <x:v>Material-row source portal</x:v>
      </x:c>
      <x:c r="F286" s="103" t="str">
        <x:v>Source portal is identified, but edition/revision and property record locator remain unresolved.</x:v>
      </x:c>
    </x:row>
    <x:row r="287">
      <x:c r="A287" s="54" t="n">
        <x:v>1105</x:v>
      </x:c>
      <x:c r="B287" s="54" t="n">
        <x:v>14</x:v>
      </x:c>
      <x:c r="C287" s="54" t="n">
        <x:v>2</x:v>
      </x:c>
      <x:c r="D287" s="54" t="n">
        <x:v>1</x:v>
      </x:c>
      <x:c r="E287" s="103" t="str">
        <x:v>Material-row source portal</x:v>
      </x:c>
      <x:c r="F287" s="103" t="str">
        <x:v>Source portal is identified, but edition/revision and property record locator remain unresolved.</x:v>
      </x:c>
    </x:row>
    <x:row r="288">
      <x:c r="A288" s="54" t="n">
        <x:v>1105</x:v>
      </x:c>
      <x:c r="B288" s="54" t="n">
        <x:v>15</x:v>
      </x:c>
      <x:c r="C288" s="54" t="n">
        <x:v>2</x:v>
      </x:c>
      <x:c r="D288" s="54" t="n">
        <x:v>1</x:v>
      </x:c>
      <x:c r="E288" s="103" t="str">
        <x:v>Material-row source portal</x:v>
      </x:c>
      <x:c r="F288" s="103" t="str">
        <x:v>Source portal is identified, but edition/revision and property record locator remain unresolved.</x:v>
      </x:c>
    </x:row>
    <x:row r="289">
      <x:c r="A289" s="54" t="n">
        <x:v>1105</x:v>
      </x:c>
      <x:c r="B289" s="54" t="n">
        <x:v>16</x:v>
      </x:c>
      <x:c r="C289" s="54" t="n">
        <x:v>2</x:v>
      </x:c>
      <x:c r="D289" s="54" t="n">
        <x:v>1</x:v>
      </x:c>
      <x:c r="E289" s="103" t="str">
        <x:v>Material-row source portal</x:v>
      </x:c>
      <x:c r="F289" s="103" t="str">
        <x:v>Source portal is identified, but edition/revision and property record locator remain unresolved.</x:v>
      </x:c>
    </x:row>
    <x:row r="290">
      <x:c r="A290" s="54" t="n">
        <x:v>1105</x:v>
      </x:c>
      <x:c r="B290" s="54" t="n">
        <x:v>17</x:v>
      </x:c>
      <x:c r="C290" s="54" t="n">
        <x:v>2</x:v>
      </x:c>
      <x:c r="D290" s="54" t="n">
        <x:v>1</x:v>
      </x:c>
      <x:c r="E290" s="103" t="str">
        <x:v>Material-row source portal</x:v>
      </x:c>
      <x:c r="F290" s="103" t="str">
        <x:v>Source portal is identified, but edition/revision and property record locator remain unresolved.</x:v>
      </x:c>
    </x:row>
    <x:row r="291">
      <x:c r="A291" s="54" t="n">
        <x:v>1105</x:v>
      </x:c>
      <x:c r="B291" s="54" t="n">
        <x:v>18</x:v>
      </x:c>
      <x:c r="C291" s="54" t="n">
        <x:v>2</x:v>
      </x:c>
      <x:c r="D291" s="54" t="n">
        <x:v>1</x:v>
      </x:c>
      <x:c r="E291" s="103" t="str">
        <x:v>Formula-derived from E and Poisson ratio; input records inherit the material-row source</x:v>
      </x:c>
      <x:c r="F291" s="103" t="str">
        <x:v>Source portal is identified, but edition/revision and property record locator remain unresolved.</x:v>
      </x:c>
    </x:row>
    <x:row r="292">
      <x:c r="A292" s="54" t="n">
        <x:v>1106</x:v>
      </x:c>
      <x:c r="B292" s="54" t="n">
        <x:v>1</x:v>
      </x:c>
      <x:c r="C292" s="54" t="n">
        <x:v>2</x:v>
      </x:c>
      <x:c r="D292" s="54" t="n">
        <x:v>1</x:v>
      </x:c>
      <x:c r="E292" s="103" t="str">
        <x:v>Material-row source portal</x:v>
      </x:c>
      <x:c r="F292" s="103" t="str">
        <x:v>Source portal is identified, but edition/revision and property record locator remain unresolved.</x:v>
      </x:c>
    </x:row>
    <x:row r="293">
      <x:c r="A293" s="54" t="n">
        <x:v>1106</x:v>
      </x:c>
      <x:c r="B293" s="54" t="n">
        <x:v>2</x:v>
      </x:c>
      <x:c r="C293" s="54" t="n">
        <x:v>2</x:v>
      </x:c>
      <x:c r="D293" s="54" t="n">
        <x:v>1</x:v>
      </x:c>
      <x:c r="E293" s="103" t="str">
        <x:v>Material-row source portal</x:v>
      </x:c>
      <x:c r="F293" s="103" t="str">
        <x:v>Source portal is identified, but edition/revision and property record locator remain unresolved.</x:v>
      </x:c>
    </x:row>
    <x:row r="294">
      <x:c r="A294" s="54" t="n">
        <x:v>1106</x:v>
      </x:c>
      <x:c r="B294" s="54" t="n">
        <x:v>3</x:v>
      </x:c>
      <x:c r="C294" s="54" t="n">
        <x:v>2</x:v>
      </x:c>
      <x:c r="D294" s="54" t="n">
        <x:v>1</x:v>
      </x:c>
      <x:c r="E294" s="103" t="str">
        <x:v>Formula-derived from E and Poisson ratio; input records inherit the material-row source</x:v>
      </x:c>
      <x:c r="F294" s="103" t="str">
        <x:v>Source portal is identified, but edition/revision and property record locator remain unresolved.</x:v>
      </x:c>
    </x:row>
    <x:row r="295">
      <x:c r="A295" s="54" t="n">
        <x:v>1106</x:v>
      </x:c>
      <x:c r="B295" s="54" t="n">
        <x:v>4</x:v>
      </x:c>
      <x:c r="C295" s="54" t="n">
        <x:v>2</x:v>
      </x:c>
      <x:c r="D295" s="54" t="n">
        <x:v>1</x:v>
      </x:c>
      <x:c r="E295" s="103" t="str">
        <x:v>Material-row source portal</x:v>
      </x:c>
      <x:c r="F295" s="103" t="str">
        <x:v>Source portal is identified, but edition/revision and property record locator remain unresolved.</x:v>
      </x:c>
    </x:row>
    <x:row r="296">
      <x:c r="A296" s="54" t="n">
        <x:v>1106</x:v>
      </x:c>
      <x:c r="B296" s="54" t="n">
        <x:v>5</x:v>
      </x:c>
      <x:c r="C296" s="54" t="n">
        <x:v>2</x:v>
      </x:c>
      <x:c r="D296" s="54" t="n">
        <x:v>1</x:v>
      </x:c>
      <x:c r="E296" s="103" t="str">
        <x:v>Material-row source portal</x:v>
      </x:c>
      <x:c r="F296" s="103" t="str">
        <x:v>Source portal is identified, but edition/revision and property record locator remain unresolved.</x:v>
      </x:c>
    </x:row>
    <x:row r="297">
      <x:c r="A297" s="54" t="n">
        <x:v>1106</x:v>
      </x:c>
      <x:c r="B297" s="54" t="n">
        <x:v>6</x:v>
      </x:c>
      <x:c r="C297" s="54" t="n">
        <x:v>2</x:v>
      </x:c>
      <x:c r="D297" s="54" t="n">
        <x:v>1</x:v>
      </x:c>
      <x:c r="E297" s="103" t="str">
        <x:v>Material-row source portal</x:v>
      </x:c>
      <x:c r="F297" s="103" t="str">
        <x:v>Source portal is identified, but edition/revision and property record locator remain unresolved.</x:v>
      </x:c>
    </x:row>
    <x:row r="298">
      <x:c r="A298" s="54" t="n">
        <x:v>1106</x:v>
      </x:c>
      <x:c r="B298" s="54" t="n">
        <x:v>9</x:v>
      </x:c>
      <x:c r="C298" s="54" t="n">
        <x:v>2</x:v>
      </x:c>
      <x:c r="D298" s="54" t="n">
        <x:v>1</x:v>
      </x:c>
      <x:c r="E298" s="103" t="str">
        <x:v>Material-row source portal</x:v>
      </x:c>
      <x:c r="F298" s="103" t="str">
        <x:v>Source portal is identified, but edition/revision and property record locator remain unresolved.</x:v>
      </x:c>
    </x:row>
    <x:row r="299">
      <x:c r="A299" s="54" t="n">
        <x:v>1106</x:v>
      </x:c>
      <x:c r="B299" s="54" t="n">
        <x:v>10</x:v>
      </x:c>
      <x:c r="C299" s="54" t="n">
        <x:v>2</x:v>
      </x:c>
      <x:c r="D299" s="54" t="n">
        <x:v>1</x:v>
      </x:c>
      <x:c r="E299" s="103" t="str">
        <x:v>Material-row source portal</x:v>
      </x:c>
      <x:c r="F299" s="103" t="str">
        <x:v>Source portal is identified, but edition/revision and property record locator remain unresolved.</x:v>
      </x:c>
    </x:row>
    <x:row r="300">
      <x:c r="A300" s="54" t="n">
        <x:v>1106</x:v>
      </x:c>
      <x:c r="B300" s="54" t="n">
        <x:v>11</x:v>
      </x:c>
      <x:c r="C300" s="54" t="n">
        <x:v>2</x:v>
      </x:c>
      <x:c r="D300" s="54" t="n">
        <x:v>1</x:v>
      </x:c>
      <x:c r="E300" s="103" t="str">
        <x:v>Material-row source portal</x:v>
      </x:c>
      <x:c r="F300" s="103" t="str">
        <x:v>Source portal is identified, but edition/revision and property record locator remain unresolved.</x:v>
      </x:c>
    </x:row>
    <x:row r="301">
      <x:c r="A301" s="54" t="n">
        <x:v>1106</x:v>
      </x:c>
      <x:c r="B301" s="54" t="n">
        <x:v>12</x:v>
      </x:c>
      <x:c r="C301" s="54" t="n">
        <x:v>2</x:v>
      </x:c>
      <x:c r="D301" s="54" t="n">
        <x:v>1</x:v>
      </x:c>
      <x:c r="E301" s="103" t="str">
        <x:v>Material-row source portal</x:v>
      </x:c>
      <x:c r="F301" s="103" t="str">
        <x:v>Source portal is identified, but edition/revision and property record locator remain unresolved.</x:v>
      </x:c>
    </x:row>
    <x:row r="302">
      <x:c r="A302" s="54" t="n">
        <x:v>1106</x:v>
      </x:c>
      <x:c r="B302" s="54" t="n">
        <x:v>13</x:v>
      </x:c>
      <x:c r="C302" s="54" t="n">
        <x:v>2</x:v>
      </x:c>
      <x:c r="D302" s="54" t="n">
        <x:v>1</x:v>
      </x:c>
      <x:c r="E302" s="103" t="str">
        <x:v>Material-row source portal</x:v>
      </x:c>
      <x:c r="F302" s="103" t="str">
        <x:v>Source portal is identified, but edition/revision and property record locator remain unresolved.</x:v>
      </x:c>
    </x:row>
    <x:row r="303">
      <x:c r="A303" s="54" t="n">
        <x:v>1106</x:v>
      </x:c>
      <x:c r="B303" s="54" t="n">
        <x:v>14</x:v>
      </x:c>
      <x:c r="C303" s="54" t="n">
        <x:v>2</x:v>
      </x:c>
      <x:c r="D303" s="54" t="n">
        <x:v>1</x:v>
      </x:c>
      <x:c r="E303" s="103" t="str">
        <x:v>Material-row source portal</x:v>
      </x:c>
      <x:c r="F303" s="103" t="str">
        <x:v>Source portal is identified, but edition/revision and property record locator remain unresolved.</x:v>
      </x:c>
    </x:row>
    <x:row r="304">
      <x:c r="A304" s="54" t="n">
        <x:v>1106</x:v>
      </x:c>
      <x:c r="B304" s="54" t="n">
        <x:v>15</x:v>
      </x:c>
      <x:c r="C304" s="54" t="n">
        <x:v>2</x:v>
      </x:c>
      <x:c r="D304" s="54" t="n">
        <x:v>1</x:v>
      </x:c>
      <x:c r="E304" s="103" t="str">
        <x:v>Material-row source portal</x:v>
      </x:c>
      <x:c r="F304" s="103" t="str">
        <x:v>Source portal is identified, but edition/revision and property record locator remain unresolved.</x:v>
      </x:c>
    </x:row>
    <x:row r="305">
      <x:c r="A305" s="54" t="n">
        <x:v>1106</x:v>
      </x:c>
      <x:c r="B305" s="54" t="n">
        <x:v>16</x:v>
      </x:c>
      <x:c r="C305" s="54" t="n">
        <x:v>2</x:v>
      </x:c>
      <x:c r="D305" s="54" t="n">
        <x:v>1</x:v>
      </x:c>
      <x:c r="E305" s="103" t="str">
        <x:v>Material-row source portal</x:v>
      </x:c>
      <x:c r="F305" s="103" t="str">
        <x:v>Source portal is identified, but edition/revision and property record locator remain unresolved.</x:v>
      </x:c>
    </x:row>
    <x:row r="306">
      <x:c r="A306" s="54" t="n">
        <x:v>1106</x:v>
      </x:c>
      <x:c r="B306" s="54" t="n">
        <x:v>17</x:v>
      </x:c>
      <x:c r="C306" s="54" t="n">
        <x:v>2</x:v>
      </x:c>
      <x:c r="D306" s="54" t="n">
        <x:v>1</x:v>
      </x:c>
      <x:c r="E306" s="103" t="str">
        <x:v>Material-row source portal</x:v>
      </x:c>
      <x:c r="F306" s="103" t="str">
        <x:v>Source portal is identified, but edition/revision and property record locator remain unresolved.</x:v>
      </x:c>
    </x:row>
    <x:row r="307">
      <x:c r="A307" s="54" t="n">
        <x:v>1106</x:v>
      </x:c>
      <x:c r="B307" s="54" t="n">
        <x:v>18</x:v>
      </x:c>
      <x:c r="C307" s="54" t="n">
        <x:v>2</x:v>
      </x:c>
      <x:c r="D307" s="54" t="n">
        <x:v>1</x:v>
      </x:c>
      <x:c r="E307" s="103" t="str">
        <x:v>Formula-derived from E and Poisson ratio; input records inherit the material-row source</x:v>
      </x:c>
      <x:c r="F307" s="103" t="str">
        <x:v>Source portal is identified, but edition/revision and property record locator remain unresolved.</x:v>
      </x:c>
    </x:row>
    <x:row r="308">
      <x:c r="A308" s="54" t="n">
        <x:v>1107</x:v>
      </x:c>
      <x:c r="B308" s="54" t="n">
        <x:v>1</x:v>
      </x:c>
      <x:c r="C308" s="54" t="n">
        <x:v>2</x:v>
      </x:c>
      <x:c r="D308" s="54" t="n">
        <x:v>1</x:v>
      </x:c>
      <x:c r="E308" s="103" t="str">
        <x:v>Material-row source portal</x:v>
      </x:c>
      <x:c r="F308" s="103" t="str">
        <x:v>Source portal is identified, but edition/revision and property record locator remain unresolved.</x:v>
      </x:c>
    </x:row>
    <x:row r="309">
      <x:c r="A309" s="54" t="n">
        <x:v>1107</x:v>
      </x:c>
      <x:c r="B309" s="54" t="n">
        <x:v>2</x:v>
      </x:c>
      <x:c r="C309" s="54" t="n">
        <x:v>2</x:v>
      </x:c>
      <x:c r="D309" s="54" t="n">
        <x:v>1</x:v>
      </x:c>
      <x:c r="E309" s="103" t="str">
        <x:v>Material-row source portal</x:v>
      </x:c>
      <x:c r="F309" s="103" t="str">
        <x:v>Source portal is identified, but edition/revision and property record locator remain unresolved.</x:v>
      </x:c>
    </x:row>
    <x:row r="310">
      <x:c r="A310" s="54" t="n">
        <x:v>1107</x:v>
      </x:c>
      <x:c r="B310" s="54" t="n">
        <x:v>3</x:v>
      </x:c>
      <x:c r="C310" s="54" t="n">
        <x:v>2</x:v>
      </x:c>
      <x:c r="D310" s="54" t="n">
        <x:v>1</x:v>
      </x:c>
      <x:c r="E310" s="103" t="str">
        <x:v>Formula-derived from E and Poisson ratio; input records inherit the material-row source</x:v>
      </x:c>
      <x:c r="F310" s="103" t="str">
        <x:v>Source portal is identified, but edition/revision and property record locator remain unresolved.</x:v>
      </x:c>
    </x:row>
    <x:row r="311">
      <x:c r="A311" s="54" t="n">
        <x:v>1107</x:v>
      </x:c>
      <x:c r="B311" s="54" t="n">
        <x:v>4</x:v>
      </x:c>
      <x:c r="C311" s="54" t="n">
        <x:v>2</x:v>
      </x:c>
      <x:c r="D311" s="54" t="n">
        <x:v>1</x:v>
      </x:c>
      <x:c r="E311" s="103" t="str">
        <x:v>Material-row source portal</x:v>
      </x:c>
      <x:c r="F311" s="103" t="str">
        <x:v>Source portal is identified, but edition/revision and property record locator remain unresolved.</x:v>
      </x:c>
    </x:row>
    <x:row r="312">
      <x:c r="A312" s="54" t="n">
        <x:v>1107</x:v>
      </x:c>
      <x:c r="B312" s="54" t="n">
        <x:v>5</x:v>
      </x:c>
      <x:c r="C312" s="54" t="n">
        <x:v>2</x:v>
      </x:c>
      <x:c r="D312" s="54" t="n">
        <x:v>1</x:v>
      </x:c>
      <x:c r="E312" s="103" t="str">
        <x:v>Material-row source portal</x:v>
      </x:c>
      <x:c r="F312" s="103" t="str">
        <x:v>Source portal is identified, but edition/revision and property record locator remain unresolved.</x:v>
      </x:c>
    </x:row>
    <x:row r="313">
      <x:c r="A313" s="54" t="n">
        <x:v>1107</x:v>
      </x:c>
      <x:c r="B313" s="54" t="n">
        <x:v>6</x:v>
      </x:c>
      <x:c r="C313" s="54" t="n">
        <x:v>2</x:v>
      </x:c>
      <x:c r="D313" s="54" t="n">
        <x:v>1</x:v>
      </x:c>
      <x:c r="E313" s="103" t="str">
        <x:v>Material-row source portal</x:v>
      </x:c>
      <x:c r="F313" s="103" t="str">
        <x:v>Source portal is identified, but edition/revision and property record locator remain unresolved.</x:v>
      </x:c>
    </x:row>
    <x:row r="314">
      <x:c r="A314" s="54" t="n">
        <x:v>1107</x:v>
      </x:c>
      <x:c r="B314" s="54" t="n">
        <x:v>9</x:v>
      </x:c>
      <x:c r="C314" s="54" t="n">
        <x:v>2</x:v>
      </x:c>
      <x:c r="D314" s="54" t="n">
        <x:v>1</x:v>
      </x:c>
      <x:c r="E314" s="103" t="str">
        <x:v>Material-row source portal</x:v>
      </x:c>
      <x:c r="F314" s="103" t="str">
        <x:v>Source portal is identified, but edition/revision and property record locator remain unresolved.</x:v>
      </x:c>
    </x:row>
    <x:row r="315">
      <x:c r="A315" s="54" t="n">
        <x:v>1107</x:v>
      </x:c>
      <x:c r="B315" s="54" t="n">
        <x:v>10</x:v>
      </x:c>
      <x:c r="C315" s="54" t="n">
        <x:v>2</x:v>
      </x:c>
      <x:c r="D315" s="54" t="n">
        <x:v>1</x:v>
      </x:c>
      <x:c r="E315" s="103" t="str">
        <x:v>Material-row source portal</x:v>
      </x:c>
      <x:c r="F315" s="103" t="str">
        <x:v>Source portal is identified, but edition/revision and property record locator remain unresolved.</x:v>
      </x:c>
    </x:row>
    <x:row r="316">
      <x:c r="A316" s="54" t="n">
        <x:v>1107</x:v>
      </x:c>
      <x:c r="B316" s="54" t="n">
        <x:v>11</x:v>
      </x:c>
      <x:c r="C316" s="54" t="n">
        <x:v>2</x:v>
      </x:c>
      <x:c r="D316" s="54" t="n">
        <x:v>1</x:v>
      </x:c>
      <x:c r="E316" s="103" t="str">
        <x:v>Material-row source portal</x:v>
      </x:c>
      <x:c r="F316" s="103" t="str">
        <x:v>Source portal is identified, but edition/revision and property record locator remain unresolved.</x:v>
      </x:c>
    </x:row>
    <x:row r="317">
      <x:c r="A317" s="54" t="n">
        <x:v>1107</x:v>
      </x:c>
      <x:c r="B317" s="54" t="n">
        <x:v>12</x:v>
      </x:c>
      <x:c r="C317" s="54" t="n">
        <x:v>2</x:v>
      </x:c>
      <x:c r="D317" s="54" t="n">
        <x:v>1</x:v>
      </x:c>
      <x:c r="E317" s="103" t="str">
        <x:v>Material-row source portal</x:v>
      </x:c>
      <x:c r="F317" s="103" t="str">
        <x:v>Source portal is identified, but edition/revision and property record locator remain unresolved.</x:v>
      </x:c>
    </x:row>
    <x:row r="318">
      <x:c r="A318" s="54" t="n">
        <x:v>1107</x:v>
      </x:c>
      <x:c r="B318" s="54" t="n">
        <x:v>13</x:v>
      </x:c>
      <x:c r="C318" s="54" t="n">
        <x:v>2</x:v>
      </x:c>
      <x:c r="D318" s="54" t="n">
        <x:v>1</x:v>
      </x:c>
      <x:c r="E318" s="103" t="str">
        <x:v>Material-row source portal</x:v>
      </x:c>
      <x:c r="F318" s="103" t="str">
        <x:v>Source portal is identified, but edition/revision and property record locator remain unresolved.</x:v>
      </x:c>
    </x:row>
    <x:row r="319">
      <x:c r="A319" s="54" t="n">
        <x:v>1107</x:v>
      </x:c>
      <x:c r="B319" s="54" t="n">
        <x:v>14</x:v>
      </x:c>
      <x:c r="C319" s="54" t="n">
        <x:v>2</x:v>
      </x:c>
      <x:c r="D319" s="54" t="n">
        <x:v>1</x:v>
      </x:c>
      <x:c r="E319" s="103" t="str">
        <x:v>Material-row source portal</x:v>
      </x:c>
      <x:c r="F319" s="103" t="str">
        <x:v>Source portal is identified, but edition/revision and property record locator remain unresolved.</x:v>
      </x:c>
    </x:row>
    <x:row r="320">
      <x:c r="A320" s="54" t="n">
        <x:v>1107</x:v>
      </x:c>
      <x:c r="B320" s="54" t="n">
        <x:v>15</x:v>
      </x:c>
      <x:c r="C320" s="54" t="n">
        <x:v>2</x:v>
      </x:c>
      <x:c r="D320" s="54" t="n">
        <x:v>1</x:v>
      </x:c>
      <x:c r="E320" s="103" t="str">
        <x:v>Material-row source portal</x:v>
      </x:c>
      <x:c r="F320" s="103" t="str">
        <x:v>Source portal is identified, but edition/revision and property record locator remain unresolved.</x:v>
      </x:c>
    </x:row>
    <x:row r="321">
      <x:c r="A321" s="54" t="n">
        <x:v>1107</x:v>
      </x:c>
      <x:c r="B321" s="54" t="n">
        <x:v>16</x:v>
      </x:c>
      <x:c r="C321" s="54" t="n">
        <x:v>2</x:v>
      </x:c>
      <x:c r="D321" s="54" t="n">
        <x:v>1</x:v>
      </x:c>
      <x:c r="E321" s="103" t="str">
        <x:v>Material-row source portal</x:v>
      </x:c>
      <x:c r="F321" s="103" t="str">
        <x:v>Source portal is identified, but edition/revision and property record locator remain unresolved.</x:v>
      </x:c>
    </x:row>
    <x:row r="322">
      <x:c r="A322" s="54" t="n">
        <x:v>1107</x:v>
      </x:c>
      <x:c r="B322" s="54" t="n">
        <x:v>17</x:v>
      </x:c>
      <x:c r="C322" s="54" t="n">
        <x:v>2</x:v>
      </x:c>
      <x:c r="D322" s="54" t="n">
        <x:v>1</x:v>
      </x:c>
      <x:c r="E322" s="103" t="str">
        <x:v>Material-row source portal</x:v>
      </x:c>
      <x:c r="F322" s="103" t="str">
        <x:v>Source portal is identified, but edition/revision and property record locator remain unresolved.</x:v>
      </x:c>
    </x:row>
    <x:row r="323">
      <x:c r="A323" s="54" t="n">
        <x:v>1107</x:v>
      </x:c>
      <x:c r="B323" s="54" t="n">
        <x:v>18</x:v>
      </x:c>
      <x:c r="C323" s="54" t="n">
        <x:v>2</x:v>
      </x:c>
      <x:c r="D323" s="54" t="n">
        <x:v>1</x:v>
      </x:c>
      <x:c r="E323" s="103" t="str">
        <x:v>Formula-derived from E and Poisson ratio; input records inherit the material-row source</x:v>
      </x:c>
      <x:c r="F323" s="103" t="str">
        <x:v>Source portal is identified, but edition/revision and property record locator remain unresolved.</x:v>
      </x:c>
    </x:row>
    <x:row r="324">
      <x:c r="A324" s="54" t="n">
        <x:v>1108</x:v>
      </x:c>
      <x:c r="B324" s="54" t="n">
        <x:v>1</x:v>
      </x:c>
      <x:c r="C324" s="54" t="n">
        <x:v>2</x:v>
      </x:c>
      <x:c r="D324" s="54" t="n">
        <x:v>1</x:v>
      </x:c>
      <x:c r="E324" s="103" t="str">
        <x:v>Material-row source portal</x:v>
      </x:c>
      <x:c r="F324" s="103" t="str">
        <x:v>Source portal is identified, but edition/revision and property record locator remain unresolved.</x:v>
      </x:c>
    </x:row>
    <x:row r="325">
      <x:c r="A325" s="54" t="n">
        <x:v>1108</x:v>
      </x:c>
      <x:c r="B325" s="54" t="n">
        <x:v>2</x:v>
      </x:c>
      <x:c r="C325" s="54" t="n">
        <x:v>2</x:v>
      </x:c>
      <x:c r="D325" s="54" t="n">
        <x:v>1</x:v>
      </x:c>
      <x:c r="E325" s="103" t="str">
        <x:v>Material-row source portal</x:v>
      </x:c>
      <x:c r="F325" s="103" t="str">
        <x:v>Source portal is identified, but edition/revision and property record locator remain unresolved.</x:v>
      </x:c>
    </x:row>
    <x:row r="326">
      <x:c r="A326" s="54" t="n">
        <x:v>1108</x:v>
      </x:c>
      <x:c r="B326" s="54" t="n">
        <x:v>3</x:v>
      </x:c>
      <x:c r="C326" s="54" t="n">
        <x:v>2</x:v>
      </x:c>
      <x:c r="D326" s="54" t="n">
        <x:v>1</x:v>
      </x:c>
      <x:c r="E326" s="103" t="str">
        <x:v>Formula-derived from E and Poisson ratio; input records inherit the material-row source</x:v>
      </x:c>
      <x:c r="F326" s="103" t="str">
        <x:v>Source portal is identified, but edition/revision and property record locator remain unresolved.</x:v>
      </x:c>
    </x:row>
    <x:row r="327">
      <x:c r="A327" s="54" t="n">
        <x:v>1108</x:v>
      </x:c>
      <x:c r="B327" s="54" t="n">
        <x:v>4</x:v>
      </x:c>
      <x:c r="C327" s="54" t="n">
        <x:v>2</x:v>
      </x:c>
      <x:c r="D327" s="54" t="n">
        <x:v>1</x:v>
      </x:c>
      <x:c r="E327" s="103" t="str">
        <x:v>Material-row source portal</x:v>
      </x:c>
      <x:c r="F327" s="103" t="str">
        <x:v>Source portal is identified, but edition/revision and property record locator remain unresolved.</x:v>
      </x:c>
    </x:row>
    <x:row r="328">
      <x:c r="A328" s="54" t="n">
        <x:v>1108</x:v>
      </x:c>
      <x:c r="B328" s="54" t="n">
        <x:v>5</x:v>
      </x:c>
      <x:c r="C328" s="54" t="n">
        <x:v>2</x:v>
      </x:c>
      <x:c r="D328" s="54" t="n">
        <x:v>1</x:v>
      </x:c>
      <x:c r="E328" s="103" t="str">
        <x:v>Material-row source portal</x:v>
      </x:c>
      <x:c r="F328" s="103" t="str">
        <x:v>Source portal is identified, but edition/revision and property record locator remain unresolved.</x:v>
      </x:c>
    </x:row>
    <x:row r="329">
      <x:c r="A329" s="54" t="n">
        <x:v>1108</x:v>
      </x:c>
      <x:c r="B329" s="54" t="n">
        <x:v>6</x:v>
      </x:c>
      <x:c r="C329" s="54" t="n">
        <x:v>2</x:v>
      </x:c>
      <x:c r="D329" s="54" t="n">
        <x:v>1</x:v>
      </x:c>
      <x:c r="E329" s="103" t="str">
        <x:v>Material-row source portal</x:v>
      </x:c>
      <x:c r="F329" s="103" t="str">
        <x:v>Source portal is identified, but edition/revision and property record locator remain unresolved.</x:v>
      </x:c>
    </x:row>
    <x:row r="330">
      <x:c r="A330" s="54" t="n">
        <x:v>1108</x:v>
      </x:c>
      <x:c r="B330" s="54" t="n">
        <x:v>9</x:v>
      </x:c>
      <x:c r="C330" s="54" t="n">
        <x:v>2</x:v>
      </x:c>
      <x:c r="D330" s="54" t="n">
        <x:v>1</x:v>
      </x:c>
      <x:c r="E330" s="103" t="str">
        <x:v>Material-row source portal</x:v>
      </x:c>
      <x:c r="F330" s="103" t="str">
        <x:v>Source portal is identified, but edition/revision and property record locator remain unresolved.</x:v>
      </x:c>
    </x:row>
    <x:row r="331">
      <x:c r="A331" s="54" t="n">
        <x:v>1108</x:v>
      </x:c>
      <x:c r="B331" s="54" t="n">
        <x:v>10</x:v>
      </x:c>
      <x:c r="C331" s="54" t="n">
        <x:v>2</x:v>
      </x:c>
      <x:c r="D331" s="54" t="n">
        <x:v>1</x:v>
      </x:c>
      <x:c r="E331" s="103" t="str">
        <x:v>Material-row source portal</x:v>
      </x:c>
      <x:c r="F331" s="103" t="str">
        <x:v>Source portal is identified, but edition/revision and property record locator remain unresolved.</x:v>
      </x:c>
    </x:row>
    <x:row r="332">
      <x:c r="A332" s="54" t="n">
        <x:v>1108</x:v>
      </x:c>
      <x:c r="B332" s="54" t="n">
        <x:v>11</x:v>
      </x:c>
      <x:c r="C332" s="54" t="n">
        <x:v>2</x:v>
      </x:c>
      <x:c r="D332" s="54" t="n">
        <x:v>1</x:v>
      </x:c>
      <x:c r="E332" s="103" t="str">
        <x:v>Material-row source portal</x:v>
      </x:c>
      <x:c r="F332" s="103" t="str">
        <x:v>Source portal is identified, but edition/revision and property record locator remain unresolved.</x:v>
      </x:c>
    </x:row>
    <x:row r="333">
      <x:c r="A333" s="54" t="n">
        <x:v>1108</x:v>
      </x:c>
      <x:c r="B333" s="54" t="n">
        <x:v>12</x:v>
      </x:c>
      <x:c r="C333" s="54" t="n">
        <x:v>2</x:v>
      </x:c>
      <x:c r="D333" s="54" t="n">
        <x:v>1</x:v>
      </x:c>
      <x:c r="E333" s="103" t="str">
        <x:v>Material-row source portal</x:v>
      </x:c>
      <x:c r="F333" s="103" t="str">
        <x:v>Source portal is identified, but edition/revision and property record locator remain unresolved.</x:v>
      </x:c>
    </x:row>
    <x:row r="334">
      <x:c r="A334" s="54" t="n">
        <x:v>1108</x:v>
      </x:c>
      <x:c r="B334" s="54" t="n">
        <x:v>13</x:v>
      </x:c>
      <x:c r="C334" s="54" t="n">
        <x:v>2</x:v>
      </x:c>
      <x:c r="D334" s="54" t="n">
        <x:v>1</x:v>
      </x:c>
      <x:c r="E334" s="103" t="str">
        <x:v>Material-row source portal</x:v>
      </x:c>
      <x:c r="F334" s="103" t="str">
        <x:v>Source portal is identified, but edition/revision and property record locator remain unresolved.</x:v>
      </x:c>
    </x:row>
    <x:row r="335">
      <x:c r="A335" s="54" t="n">
        <x:v>1108</x:v>
      </x:c>
      <x:c r="B335" s="54" t="n">
        <x:v>14</x:v>
      </x:c>
      <x:c r="C335" s="54" t="n">
        <x:v>2</x:v>
      </x:c>
      <x:c r="D335" s="54" t="n">
        <x:v>1</x:v>
      </x:c>
      <x:c r="E335" s="103" t="str">
        <x:v>Material-row source portal</x:v>
      </x:c>
      <x:c r="F335" s="103" t="str">
        <x:v>Source portal is identified, but edition/revision and property record locator remain unresolved.</x:v>
      </x:c>
    </x:row>
    <x:row r="336">
      <x:c r="A336" s="54" t="n">
        <x:v>1108</x:v>
      </x:c>
      <x:c r="B336" s="54" t="n">
        <x:v>15</x:v>
      </x:c>
      <x:c r="C336" s="54" t="n">
        <x:v>2</x:v>
      </x:c>
      <x:c r="D336" s="54" t="n">
        <x:v>1</x:v>
      </x:c>
      <x:c r="E336" s="103" t="str">
        <x:v>Material-row source portal</x:v>
      </x:c>
      <x:c r="F336" s="103" t="str">
        <x:v>Source portal is identified, but edition/revision and property record locator remain unresolved.</x:v>
      </x:c>
    </x:row>
    <x:row r="337">
      <x:c r="A337" s="54" t="n">
        <x:v>1108</x:v>
      </x:c>
      <x:c r="B337" s="54" t="n">
        <x:v>16</x:v>
      </x:c>
      <x:c r="C337" s="54" t="n">
        <x:v>2</x:v>
      </x:c>
      <x:c r="D337" s="54" t="n">
        <x:v>1</x:v>
      </x:c>
      <x:c r="E337" s="103" t="str">
        <x:v>Material-row source portal</x:v>
      </x:c>
      <x:c r="F337" s="103" t="str">
        <x:v>Source portal is identified, but edition/revision and property record locator remain unresolved.</x:v>
      </x:c>
    </x:row>
    <x:row r="338">
      <x:c r="A338" s="54" t="n">
        <x:v>1108</x:v>
      </x:c>
      <x:c r="B338" s="54" t="n">
        <x:v>17</x:v>
      </x:c>
      <x:c r="C338" s="54" t="n">
        <x:v>2</x:v>
      </x:c>
      <x:c r="D338" s="54" t="n">
        <x:v>1</x:v>
      </x:c>
      <x:c r="E338" s="103" t="str">
        <x:v>Material-row source portal</x:v>
      </x:c>
      <x:c r="F338" s="103" t="str">
        <x:v>Source portal is identified, but edition/revision and property record locator remain unresolved.</x:v>
      </x:c>
    </x:row>
    <x:row r="339">
      <x:c r="A339" s="54" t="n">
        <x:v>1108</x:v>
      </x:c>
      <x:c r="B339" s="54" t="n">
        <x:v>18</x:v>
      </x:c>
      <x:c r="C339" s="54" t="n">
        <x:v>2</x:v>
      </x:c>
      <x:c r="D339" s="54" t="n">
        <x:v>1</x:v>
      </x:c>
      <x:c r="E339" s="103" t="str">
        <x:v>Formula-derived from E and Poisson ratio; input records inherit the material-row source</x:v>
      </x:c>
      <x:c r="F339" s="103" t="str">
        <x:v>Source portal is identified, but edition/revision and property record locator remain unresolved.</x:v>
      </x:c>
    </x:row>
    <x:row r="340">
      <x:c r="A340" s="54" t="n">
        <x:v>1109</x:v>
      </x:c>
      <x:c r="B340" s="54" t="n">
        <x:v>1</x:v>
      </x:c>
      <x:c r="C340" s="54" t="n">
        <x:v>2</x:v>
      </x:c>
      <x:c r="D340" s="54" t="n">
        <x:v>1</x:v>
      </x:c>
      <x:c r="E340" s="103" t="str">
        <x:v>Material-row source portal</x:v>
      </x:c>
      <x:c r="F340" s="103" t="str">
        <x:v>Source portal is identified, but edition/revision and property record locator remain unresolved.</x:v>
      </x:c>
    </x:row>
    <x:row r="341">
      <x:c r="A341" s="54" t="n">
        <x:v>1109</x:v>
      </x:c>
      <x:c r="B341" s="54" t="n">
        <x:v>2</x:v>
      </x:c>
      <x:c r="C341" s="54" t="n">
        <x:v>2</x:v>
      </x:c>
      <x:c r="D341" s="54" t="n">
        <x:v>1</x:v>
      </x:c>
      <x:c r="E341" s="103" t="str">
        <x:v>Material-row source portal</x:v>
      </x:c>
      <x:c r="F341" s="103" t="str">
        <x:v>Source portal is identified, but edition/revision and property record locator remain unresolved.</x:v>
      </x:c>
    </x:row>
    <x:row r="342">
      <x:c r="A342" s="54" t="n">
        <x:v>1109</x:v>
      </x:c>
      <x:c r="B342" s="54" t="n">
        <x:v>3</x:v>
      </x:c>
      <x:c r="C342" s="54" t="n">
        <x:v>2</x:v>
      </x:c>
      <x:c r="D342" s="54" t="n">
        <x:v>1</x:v>
      </x:c>
      <x:c r="E342" s="103" t="str">
        <x:v>Formula-derived from E and Poisson ratio; input records inherit the material-row source</x:v>
      </x:c>
      <x:c r="F342" s="103" t="str">
        <x:v>Source portal is identified, but edition/revision and property record locator remain unresolved.</x:v>
      </x:c>
    </x:row>
    <x:row r="343">
      <x:c r="A343" s="54" t="n">
        <x:v>1109</x:v>
      </x:c>
      <x:c r="B343" s="54" t="n">
        <x:v>4</x:v>
      </x:c>
      <x:c r="C343" s="54" t="n">
        <x:v>2</x:v>
      </x:c>
      <x:c r="D343" s="54" t="n">
        <x:v>1</x:v>
      </x:c>
      <x:c r="E343" s="103" t="str">
        <x:v>Material-row source portal</x:v>
      </x:c>
      <x:c r="F343" s="103" t="str">
        <x:v>Source portal is identified, but edition/revision and property record locator remain unresolved.</x:v>
      </x:c>
    </x:row>
    <x:row r="344">
      <x:c r="A344" s="54" t="n">
        <x:v>1109</x:v>
      </x:c>
      <x:c r="B344" s="54" t="n">
        <x:v>5</x:v>
      </x:c>
      <x:c r="C344" s="54" t="n">
        <x:v>2</x:v>
      </x:c>
      <x:c r="D344" s="54" t="n">
        <x:v>1</x:v>
      </x:c>
      <x:c r="E344" s="103" t="str">
        <x:v>Material-row source portal</x:v>
      </x:c>
      <x:c r="F344" s="103" t="str">
        <x:v>Source portal is identified, but edition/revision and property record locator remain unresolved.</x:v>
      </x:c>
    </x:row>
    <x:row r="345">
      <x:c r="A345" s="54" t="n">
        <x:v>1109</x:v>
      </x:c>
      <x:c r="B345" s="54" t="n">
        <x:v>6</x:v>
      </x:c>
      <x:c r="C345" s="54" t="n">
        <x:v>2</x:v>
      </x:c>
      <x:c r="D345" s="54" t="n">
        <x:v>1</x:v>
      </x:c>
      <x:c r="E345" s="103" t="str">
        <x:v>Material-row source portal</x:v>
      </x:c>
      <x:c r="F345" s="103" t="str">
        <x:v>Source portal is identified, but edition/revision and property record locator remain unresolved.</x:v>
      </x:c>
    </x:row>
    <x:row r="346">
      <x:c r="A346" s="54" t="n">
        <x:v>1109</x:v>
      </x:c>
      <x:c r="B346" s="54" t="n">
        <x:v>9</x:v>
      </x:c>
      <x:c r="C346" s="54" t="n">
        <x:v>2</x:v>
      </x:c>
      <x:c r="D346" s="54" t="n">
        <x:v>1</x:v>
      </x:c>
      <x:c r="E346" s="103" t="str">
        <x:v>Material-row source portal</x:v>
      </x:c>
      <x:c r="F346" s="103" t="str">
        <x:v>Source portal is identified, but edition/revision and property record locator remain unresolved.</x:v>
      </x:c>
    </x:row>
    <x:row r="347">
      <x:c r="A347" s="54" t="n">
        <x:v>1109</x:v>
      </x:c>
      <x:c r="B347" s="54" t="n">
        <x:v>10</x:v>
      </x:c>
      <x:c r="C347" s="54" t="n">
        <x:v>2</x:v>
      </x:c>
      <x:c r="D347" s="54" t="n">
        <x:v>1</x:v>
      </x:c>
      <x:c r="E347" s="103" t="str">
        <x:v>Material-row source portal</x:v>
      </x:c>
      <x:c r="F347" s="103" t="str">
        <x:v>Source portal is identified, but edition/revision and property record locator remain unresolved.</x:v>
      </x:c>
    </x:row>
    <x:row r="348">
      <x:c r="A348" s="54" t="n">
        <x:v>1109</x:v>
      </x:c>
      <x:c r="B348" s="54" t="n">
        <x:v>11</x:v>
      </x:c>
      <x:c r="C348" s="54" t="n">
        <x:v>2</x:v>
      </x:c>
      <x:c r="D348" s="54" t="n">
        <x:v>1</x:v>
      </x:c>
      <x:c r="E348" s="103" t="str">
        <x:v>Material-row source portal</x:v>
      </x:c>
      <x:c r="F348" s="103" t="str">
        <x:v>Source portal is identified, but edition/revision and property record locator remain unresolved.</x:v>
      </x:c>
    </x:row>
    <x:row r="349">
      <x:c r="A349" s="54" t="n">
        <x:v>1109</x:v>
      </x:c>
      <x:c r="B349" s="54" t="n">
        <x:v>12</x:v>
      </x:c>
      <x:c r="C349" s="54" t="n">
        <x:v>2</x:v>
      </x:c>
      <x:c r="D349" s="54" t="n">
        <x:v>1</x:v>
      </x:c>
      <x:c r="E349" s="103" t="str">
        <x:v>Material-row source portal</x:v>
      </x:c>
      <x:c r="F349" s="103" t="str">
        <x:v>Source portal is identified, but edition/revision and property record locator remain unresolved.</x:v>
      </x:c>
    </x:row>
    <x:row r="350">
      <x:c r="A350" s="54" t="n">
        <x:v>1109</x:v>
      </x:c>
      <x:c r="B350" s="54" t="n">
        <x:v>13</x:v>
      </x:c>
      <x:c r="C350" s="54" t="n">
        <x:v>2</x:v>
      </x:c>
      <x:c r="D350" s="54" t="n">
        <x:v>1</x:v>
      </x:c>
      <x:c r="E350" s="103" t="str">
        <x:v>Material-row source portal</x:v>
      </x:c>
      <x:c r="F350" s="103" t="str">
        <x:v>Source portal is identified, but edition/revision and property record locator remain unresolved.</x:v>
      </x:c>
    </x:row>
    <x:row r="351">
      <x:c r="A351" s="54" t="n">
        <x:v>1109</x:v>
      </x:c>
      <x:c r="B351" s="54" t="n">
        <x:v>14</x:v>
      </x:c>
      <x:c r="C351" s="54" t="n">
        <x:v>2</x:v>
      </x:c>
      <x:c r="D351" s="54" t="n">
        <x:v>1</x:v>
      </x:c>
      <x:c r="E351" s="103" t="str">
        <x:v>Material-row source portal</x:v>
      </x:c>
      <x:c r="F351" s="103" t="str">
        <x:v>Source portal is identified, but edition/revision and property record locator remain unresolved.</x:v>
      </x:c>
    </x:row>
    <x:row r="352">
      <x:c r="A352" s="54" t="n">
        <x:v>1109</x:v>
      </x:c>
      <x:c r="B352" s="54" t="n">
        <x:v>15</x:v>
      </x:c>
      <x:c r="C352" s="54" t="n">
        <x:v>2</x:v>
      </x:c>
      <x:c r="D352" s="54" t="n">
        <x:v>1</x:v>
      </x:c>
      <x:c r="E352" s="103" t="str">
        <x:v>Material-row source portal</x:v>
      </x:c>
      <x:c r="F352" s="103" t="str">
        <x:v>Source portal is identified, but edition/revision and property record locator remain unresolved.</x:v>
      </x:c>
    </x:row>
    <x:row r="353">
      <x:c r="A353" s="54" t="n">
        <x:v>1109</x:v>
      </x:c>
      <x:c r="B353" s="54" t="n">
        <x:v>16</x:v>
      </x:c>
      <x:c r="C353" s="54" t="n">
        <x:v>2</x:v>
      </x:c>
      <x:c r="D353" s="54" t="n">
        <x:v>1</x:v>
      </x:c>
      <x:c r="E353" s="103" t="str">
        <x:v>Material-row source portal</x:v>
      </x:c>
      <x:c r="F353" s="103" t="str">
        <x:v>Source portal is identified, but edition/revision and property record locator remain unresolved.</x:v>
      </x:c>
    </x:row>
    <x:row r="354">
      <x:c r="A354" s="54" t="n">
        <x:v>1109</x:v>
      </x:c>
      <x:c r="B354" s="54" t="n">
        <x:v>17</x:v>
      </x:c>
      <x:c r="C354" s="54" t="n">
        <x:v>2</x:v>
      </x:c>
      <x:c r="D354" s="54" t="n">
        <x:v>1</x:v>
      </x:c>
      <x:c r="E354" s="103" t="str">
        <x:v>Material-row source portal</x:v>
      </x:c>
      <x:c r="F354" s="103" t="str">
        <x:v>Source portal is identified, but edition/revision and property record locator remain unresolved.</x:v>
      </x:c>
    </x:row>
    <x:row r="355">
      <x:c r="A355" s="54" t="n">
        <x:v>1109</x:v>
      </x:c>
      <x:c r="B355" s="54" t="n">
        <x:v>18</x:v>
      </x:c>
      <x:c r="C355" s="54" t="n">
        <x:v>2</x:v>
      </x:c>
      <x:c r="D355" s="54" t="n">
        <x:v>1</x:v>
      </x:c>
      <x:c r="E355" s="103" t="str">
        <x:v>Formula-derived from E and Poisson ratio; input records inherit the material-row source</x:v>
      </x:c>
      <x:c r="F355" s="103" t="str">
        <x:v>Source portal is identified, but edition/revision and property record locator remain unresolved.</x:v>
      </x:c>
    </x:row>
    <x:row r="356">
      <x:c r="A356" s="54" t="n">
        <x:v>1110</x:v>
      </x:c>
      <x:c r="B356" s="54" t="n">
        <x:v>1</x:v>
      </x:c>
      <x:c r="C356" s="54" t="n">
        <x:v>13</x:v>
      </x:c>
      <x:c r="D356" s="54" t="n">
        <x:v>3</x:v>
      </x:c>
      <x:c r="E356" s="103" t="str">
        <x:v>Table 9, density column</x:v>
      </x:c>
      <x:c r="F356" s="103" t="str">
        <x:v>7.8 kg/dm3 converted to 7800 kg/m3.</x:v>
      </x:c>
    </x:row>
    <x:row r="357">
      <x:c r="A357" s="54" t="n">
        <x:v>1110</x:v>
      </x:c>
      <x:c r="B357" s="54" t="n">
        <x:v>2</x:v>
      </x:c>
      <x:c r="C357" s="54" t="n">
        <x:v>13</x:v>
      </x:c>
      <x:c r="D357" s="54" t="n">
        <x:v>3</x:v>
      </x:c>
      <x:c r="E357" s="103" t="str">
        <x:v>Table 9, modulus of elasticity at 20 C column</x:v>
      </x:c>
      <x:c r="F357" s="103" t="str">
        <x:v>200 GPa, direct SI value.</x:v>
      </x:c>
    </x:row>
    <x:row r="358">
      <x:c r="A358" s="54" t="n">
        <x:v>1110</x:v>
      </x:c>
      <x:c r="B358" s="54" t="n">
        <x:v>3</x:v>
      </x:c>
      <x:c r="C358" s="54" t="n">
        <x:v>13</x:v>
      </x:c>
      <x:c r="D358" s="54" t="n">
        <x:v>3</x:v>
      </x:c>
      <x:c r="E358" s="103" t="str">
        <x:v>Derived from cited E and Poisson ratio using G = E/[2*(1+nu)]</x:v>
      </x:c>
      <x:c r="F358" s="103" t="str">
        <x:v>Inputs are property-record qualified in Tables 9 and 11; workbook formula yields 76.9230769231 GPa.</x:v>
      </x:c>
    </x:row>
    <x:row r="359">
      <x:c r="A359" s="54" t="n">
        <x:v>1110</x:v>
      </x:c>
      <x:c r="B359" s="54" t="n">
        <x:v>4</x:v>
      </x:c>
      <x:c r="C359" s="54" t="n">
        <x:v>13</x:v>
      </x:c>
      <x:c r="D359" s="54" t="n">
        <x:v>3</x:v>
      </x:c>
      <x:c r="E359" s="103" t="str">
        <x:v>Table 11, Poisson ratio at 20 C column</x:v>
      </x:c>
      <x:c r="F359" s="103" t="str">
        <x:v>Dimensionless value 0.3.</x:v>
      </x:c>
    </x:row>
    <x:row r="360">
      <x:c r="A360" s="54" t="n">
        <x:v>1110</x:v>
      </x:c>
      <x:c r="B360" s="54" t="n">
        <x:v>5</x:v>
      </x:c>
      <x:c r="C360" s="54" t="n">
        <x:v>12</x:v>
      </x:c>
      <x:c r="D360" s="54" t="n">
        <x:v>3</x:v>
      </x:c>
      <x:c r="E360" s="103" t="str">
        <x:v>Table 6, yield strength Rp0.2 column</x:v>
      </x:c>
      <x:c r="F360" s="103" t="str">
        <x:v>ASTM A240 minimum for Forta DX 2205 plate, sheet, and strip: 450 MPa.</x:v>
      </x:c>
    </x:row>
    <x:row r="361">
      <x:c r="A361" s="54" t="n">
        <x:v>1110</x:v>
      </x:c>
      <x:c r="B361" s="54" t="n">
        <x:v>6</x:v>
      </x:c>
      <x:c r="C361" s="54" t="n">
        <x:v>12</x:v>
      </x:c>
      <x:c r="D361" s="54" t="n">
        <x:v>3</x:v>
      </x:c>
      <x:c r="E361" s="103" t="str">
        <x:v>Table 6, tensile strength Rm column</x:v>
      </x:c>
      <x:c r="F361" s="103" t="str">
        <x:v>ASTM A240 minimum for Forta DX 2205 plate, sheet, and strip: 655 MPa.</x:v>
      </x:c>
    </x:row>
    <x:row r="362">
      <x:c r="A362" s="54" t="n">
        <x:v>1110</x:v>
      </x:c>
      <x:c r="B362" s="54" t="n">
        <x:v>9</x:v>
      </x:c>
      <x:c r="C362" s="54" t="n">
        <x:v>12</x:v>
      </x:c>
      <x:c r="D362" s="54" t="n">
        <x:v>3</x:v>
      </x:c>
      <x:c r="E362" s="103" t="str">
        <x:v>Table 6, elongation A50 column</x:v>
      </x:c>
      <x:c r="F362" s="103" t="str">
        <x:v>ASTM A240 minimum elongation 25%, stored as fraction 0.25.</x:v>
      </x:c>
    </x:row>
    <x:row r="363">
      <x:c r="A363" s="54" t="n">
        <x:v>1110</x:v>
      </x:c>
      <x:c r="B363" s="54" t="n">
        <x:v>11</x:v>
      </x:c>
      <x:c r="C363" s="54" t="n">
        <x:v>13</x:v>
      </x:c>
      <x:c r="D363" s="54" t="n">
        <x:v>3</x:v>
      </x:c>
      <x:c r="E363" s="103" t="str">
        <x:v>Table 9, thermal conductivity at 20 C column</x:v>
      </x:c>
      <x:c r="F363" s="103" t="str">
        <x:v>15 W/(m*K), direct SI value.</x:v>
      </x:c>
    </x:row>
    <x:row r="364">
      <x:c r="A364" s="54" t="n">
        <x:v>1110</x:v>
      </x:c>
      <x:c r="B364" s="54" t="n">
        <x:v>12</x:v>
      </x:c>
      <x:c r="C364" s="54" t="n">
        <x:v>13</x:v>
      </x:c>
      <x:c r="D364" s="54" t="n">
        <x:v>3</x:v>
      </x:c>
      <x:c r="E364" s="103" t="str">
        <x:v>Table 9, thermal capacity at 20 C column</x:v>
      </x:c>
      <x:c r="F364" s="103" t="str">
        <x:v>500 J/(kg*K), direct SI value.</x:v>
      </x:c>
    </x:row>
    <x:row r="365">
      <x:c r="A365" s="54" t="n">
        <x:v>1110</x:v>
      </x:c>
      <x:c r="B365" s="54" t="n">
        <x:v>13</x:v>
      </x:c>
      <x:c r="C365" s="54" t="n">
        <x:v>13</x:v>
      </x:c>
      <x:c r="D365" s="54" t="n">
        <x:v>3</x:v>
      </x:c>
      <x:c r="E365" s="103" t="str">
        <x:v>Table 9, coefficient of thermal expansion 20-100 C column</x:v>
      </x:c>
      <x:c r="F365" s="103" t="str">
        <x:v>13.0*10^-6/K stored as 13 um/(m*K).</x:v>
      </x:c>
    </x:row>
    <x:row r="366">
      <x:c r="A366" s="54" t="n">
        <x:v>1110</x:v>
      </x:c>
      <x:c r="B366" s="54" t="n">
        <x:v>14</x:v>
      </x:c>
      <x:c r="C366" s="54" t="n">
        <x:v>13</x:v>
      </x:c>
      <x:c r="D366" s="54" t="n">
        <x:v>3</x:v>
      </x:c>
      <x:c r="E366" s="103" t="str">
        <x:v>Table 9, electrical resistivity at 20 C column</x:v>
      </x:c>
      <x:c r="F366" s="103" t="str">
        <x:v>0.8 ohm*mm2/m converted to 8.0*10^-7 ohm*m.</x:v>
      </x:c>
    </x:row>
    <x:row r="367">
      <x:c r="A367" s="54" t="n">
        <x:v>1110</x:v>
      </x:c>
      <x:c r="B367" s="54" t="n">
        <x:v>18</x:v>
      </x:c>
      <x:c r="C367" s="54" t="n">
        <x:v>13</x:v>
      </x:c>
      <x:c r="D367" s="54" t="n">
        <x:v>3</x:v>
      </x:c>
      <x:c r="E367" s="103" t="str">
        <x:v>Derived from cited E and Poisson ratio using K = E/[3*(1-2*nu)]</x:v>
      </x:c>
      <x:c r="F367" s="103" t="str">
        <x:v>Inputs are property-record qualified in Tables 9 and 11; workbook formula yields 166.666666667 GPa.</x:v>
      </x:c>
    </x:row>
    <x:row r="368">
      <x:c r="A368" s="54" t="n">
        <x:v>1201</x:v>
      </x:c>
      <x:c r="B368" s="54" t="n">
        <x:v>1</x:v>
      </x:c>
      <x:c r="C368" s="54" t="n">
        <x:v>1</x:v>
      </x:c>
      <x:c r="D368" s="54" t="n">
        <x:v>1</x:v>
      </x:c>
      <x:c r="E368" s="103" t="str">
        <x:v>Material-row source portal</x:v>
      </x:c>
      <x:c r="F368" s="103" t="str">
        <x:v>Source portal is identified, but edition/revision and property record locator remain unresolved.</x:v>
      </x:c>
    </x:row>
    <x:row r="369">
      <x:c r="A369" s="54" t="n">
        <x:v>1201</x:v>
      </x:c>
      <x:c r="B369" s="54" t="n">
        <x:v>2</x:v>
      </x:c>
      <x:c r="C369" s="54" t="n">
        <x:v>1</x:v>
      </x:c>
      <x:c r="D369" s="54" t="n">
        <x:v>1</x:v>
      </x:c>
      <x:c r="E369" s="103" t="str">
        <x:v>Material-row source portal</x:v>
      </x:c>
      <x:c r="F369" s="103" t="str">
        <x:v>Source portal is identified, but edition/revision and property record locator remain unresolved.</x:v>
      </x:c>
    </x:row>
    <x:row r="370">
      <x:c r="A370" s="54" t="n">
        <x:v>1201</x:v>
      </x:c>
      <x:c r="B370" s="54" t="n">
        <x:v>3</x:v>
      </x:c>
      <x:c r="C370" s="54" t="n">
        <x:v>1</x:v>
      </x:c>
      <x:c r="D370" s="54" t="n">
        <x:v>1</x:v>
      </x:c>
      <x:c r="E370" s="103" t="str">
        <x:v>Formula-derived from E and Poisson ratio; input records inherit the material-row source</x:v>
      </x:c>
      <x:c r="F370" s="103" t="str">
        <x:v>Source portal is identified, but edition/revision and property record locator remain unresolved.</x:v>
      </x:c>
    </x:row>
    <x:row r="371">
      <x:c r="A371" s="54" t="n">
        <x:v>1201</x:v>
      </x:c>
      <x:c r="B371" s="54" t="n">
        <x:v>4</x:v>
      </x:c>
      <x:c r="C371" s="54" t="n">
        <x:v>1</x:v>
      </x:c>
      <x:c r="D371" s="54" t="n">
        <x:v>1</x:v>
      </x:c>
      <x:c r="E371" s="103" t="str">
        <x:v>Material-row source portal</x:v>
      </x:c>
      <x:c r="F371" s="103" t="str">
        <x:v>Source portal is identified, but edition/revision and property record locator remain unresolved.</x:v>
      </x:c>
    </x:row>
    <x:row r="372">
      <x:c r="A372" s="54" t="n">
        <x:v>1201</x:v>
      </x:c>
      <x:c r="B372" s="54" t="n">
        <x:v>6</x:v>
      </x:c>
      <x:c r="C372" s="54" t="n">
        <x:v>1</x:v>
      </x:c>
      <x:c r="D372" s="54" t="n">
        <x:v>1</x:v>
      </x:c>
      <x:c r="E372" s="103" t="str">
        <x:v>Material-row source portal</x:v>
      </x:c>
      <x:c r="F372" s="103" t="str">
        <x:v>Source portal is identified, but edition/revision and property record locator remain unresolved.</x:v>
      </x:c>
    </x:row>
    <x:row r="373">
      <x:c r="A373" s="54" t="n">
        <x:v>1201</x:v>
      </x:c>
      <x:c r="B373" s="54" t="n">
        <x:v>7</x:v>
      </x:c>
      <x:c r="C373" s="54" t="n">
        <x:v>1</x:v>
      </x:c>
      <x:c r="D373" s="54" t="n">
        <x:v>1</x:v>
      </x:c>
      <x:c r="E373" s="103" t="str">
        <x:v>Material-row source portal</x:v>
      </x:c>
      <x:c r="F373" s="103" t="str">
        <x:v>Source portal is identified, but edition/revision and property record locator remain unresolved.</x:v>
      </x:c>
    </x:row>
    <x:row r="374">
      <x:c r="A374" s="54" t="n">
        <x:v>1201</x:v>
      </x:c>
      <x:c r="B374" s="54" t="n">
        <x:v>8</x:v>
      </x:c>
      <x:c r="C374" s="54" t="n">
        <x:v>1</x:v>
      </x:c>
      <x:c r="D374" s="54" t="n">
        <x:v>1</x:v>
      </x:c>
      <x:c r="E374" s="103" t="str">
        <x:v>Material-row source portal</x:v>
      </x:c>
      <x:c r="F374" s="103" t="str">
        <x:v>Source portal is identified, but edition/revision and property record locator remain unresolved.</x:v>
      </x:c>
    </x:row>
    <x:row r="375">
      <x:c r="A375" s="54" t="n">
        <x:v>1201</x:v>
      </x:c>
      <x:c r="B375" s="54" t="n">
        <x:v>9</x:v>
      </x:c>
      <x:c r="C375" s="54" t="n">
        <x:v>1</x:v>
      </x:c>
      <x:c r="D375" s="54" t="n">
        <x:v>1</x:v>
      </x:c>
      <x:c r="E375" s="103" t="str">
        <x:v>Material-row source portal</x:v>
      </x:c>
      <x:c r="F375" s="103" t="str">
        <x:v>Source portal is identified, but edition/revision and property record locator remain unresolved.</x:v>
      </x:c>
    </x:row>
    <x:row r="376">
      <x:c r="A376" s="54" t="n">
        <x:v>1201</x:v>
      </x:c>
      <x:c r="B376" s="54" t="n">
        <x:v>10</x:v>
      </x:c>
      <x:c r="C376" s="54" t="n">
        <x:v>1</x:v>
      </x:c>
      <x:c r="D376" s="54" t="n">
        <x:v>1</x:v>
      </x:c>
      <x:c r="E376" s="103" t="str">
        <x:v>Material-row source portal</x:v>
      </x:c>
      <x:c r="F376" s="103" t="str">
        <x:v>Source portal is identified, but edition/revision and property record locator remain unresolved.</x:v>
      </x:c>
    </x:row>
    <x:row r="377">
      <x:c r="A377" s="54" t="n">
        <x:v>1201</x:v>
      </x:c>
      <x:c r="B377" s="54" t="n">
        <x:v>11</x:v>
      </x:c>
      <x:c r="C377" s="54" t="n">
        <x:v>1</x:v>
      </x:c>
      <x:c r="D377" s="54" t="n">
        <x:v>1</x:v>
      </x:c>
      <x:c r="E377" s="103" t="str">
        <x:v>Material-row source portal</x:v>
      </x:c>
      <x:c r="F377" s="103" t="str">
        <x:v>Source portal is identified, but edition/revision and property record locator remain unresolved.</x:v>
      </x:c>
    </x:row>
    <x:row r="378">
      <x:c r="A378" s="54" t="n">
        <x:v>1201</x:v>
      </x:c>
      <x:c r="B378" s="54" t="n">
        <x:v>12</x:v>
      </x:c>
      <x:c r="C378" s="54" t="n">
        <x:v>1</x:v>
      </x:c>
      <x:c r="D378" s="54" t="n">
        <x:v>1</x:v>
      </x:c>
      <x:c r="E378" s="103" t="str">
        <x:v>Material-row source portal</x:v>
      </x:c>
      <x:c r="F378" s="103" t="str">
        <x:v>Source portal is identified, but edition/revision and property record locator remain unresolved.</x:v>
      </x:c>
    </x:row>
    <x:row r="379">
      <x:c r="A379" s="54" t="n">
        <x:v>1201</x:v>
      </x:c>
      <x:c r="B379" s="54" t="n">
        <x:v>13</x:v>
      </x:c>
      <x:c r="C379" s="54" t="n">
        <x:v>1</x:v>
      </x:c>
      <x:c r="D379" s="54" t="n">
        <x:v>1</x:v>
      </x:c>
      <x:c r="E379" s="103" t="str">
        <x:v>Material-row source portal</x:v>
      </x:c>
      <x:c r="F379" s="103" t="str">
        <x:v>Source portal is identified, but edition/revision and property record locator remain unresolved.</x:v>
      </x:c>
    </x:row>
    <x:row r="380">
      <x:c r="A380" s="54" t="n">
        <x:v>1201</x:v>
      </x:c>
      <x:c r="B380" s="54" t="n">
        <x:v>14</x:v>
      </x:c>
      <x:c r="C380" s="54" t="n">
        <x:v>1</x:v>
      </x:c>
      <x:c r="D380" s="54" t="n">
        <x:v>1</x:v>
      </x:c>
      <x:c r="E380" s="103" t="str">
        <x:v>Material-row source portal</x:v>
      </x:c>
      <x:c r="F380" s="103" t="str">
        <x:v>Source portal is identified, but edition/revision and property record locator remain unresolved.</x:v>
      </x:c>
    </x:row>
    <x:row r="381">
      <x:c r="A381" s="54" t="n">
        <x:v>1201</x:v>
      </x:c>
      <x:c r="B381" s="54" t="n">
        <x:v>15</x:v>
      </x:c>
      <x:c r="C381" s="54" t="n">
        <x:v>1</x:v>
      </x:c>
      <x:c r="D381" s="54" t="n">
        <x:v>1</x:v>
      </x:c>
      <x:c r="E381" s="103" t="str">
        <x:v>Material-row source portal</x:v>
      </x:c>
      <x:c r="F381" s="103" t="str">
        <x:v>Source portal is identified, but edition/revision and property record locator remain unresolved.</x:v>
      </x:c>
    </x:row>
    <x:row r="382">
      <x:c r="A382" s="54" t="n">
        <x:v>1201</x:v>
      </x:c>
      <x:c r="B382" s="54" t="n">
        <x:v>16</x:v>
      </x:c>
      <x:c r="C382" s="54" t="n">
        <x:v>1</x:v>
      </x:c>
      <x:c r="D382" s="54" t="n">
        <x:v>1</x:v>
      </x:c>
      <x:c r="E382" s="103" t="str">
        <x:v>Material-row source portal</x:v>
      </x:c>
      <x:c r="F382" s="103" t="str">
        <x:v>Source portal is identified, but edition/revision and property record locator remain unresolved.</x:v>
      </x:c>
    </x:row>
    <x:row r="383">
      <x:c r="A383" s="54" t="n">
        <x:v>1201</x:v>
      </x:c>
      <x:c r="B383" s="54" t="n">
        <x:v>17</x:v>
      </x:c>
      <x:c r="C383" s="54" t="n">
        <x:v>1</x:v>
      </x:c>
      <x:c r="D383" s="54" t="n">
        <x:v>1</x:v>
      </x:c>
      <x:c r="E383" s="103" t="str">
        <x:v>Material-row source portal</x:v>
      </x:c>
      <x:c r="F383" s="103" t="str">
        <x:v>Source portal is identified, but edition/revision and property record locator remain unresolved.</x:v>
      </x:c>
    </x:row>
    <x:row r="384">
      <x:c r="A384" s="54" t="n">
        <x:v>1201</x:v>
      </x:c>
      <x:c r="B384" s="54" t="n">
        <x:v>18</x:v>
      </x:c>
      <x:c r="C384" s="54" t="n">
        <x:v>1</x:v>
      </x:c>
      <x:c r="D384" s="54" t="n">
        <x:v>1</x:v>
      </x:c>
      <x:c r="E384" s="103" t="str">
        <x:v>Formula-derived from E and Poisson ratio; input records inherit the material-row source</x:v>
      </x:c>
      <x:c r="F384" s="103" t="str">
        <x:v>Source portal is identified, but edition/revision and property record locator remain unresolved.</x:v>
      </x:c>
    </x:row>
    <x:row r="385">
      <x:c r="A385" s="54" t="n">
        <x:v>1202</x:v>
      </x:c>
      <x:c r="B385" s="54" t="n">
        <x:v>1</x:v>
      </x:c>
      <x:c r="C385" s="54" t="n">
        <x:v>1</x:v>
      </x:c>
      <x:c r="D385" s="54" t="n">
        <x:v>1</x:v>
      </x:c>
      <x:c r="E385" s="103" t="str">
        <x:v>Material-row source portal</x:v>
      </x:c>
      <x:c r="F385" s="103" t="str">
        <x:v>Source portal is identified, but edition/revision and property record locator remain unresolved.</x:v>
      </x:c>
    </x:row>
    <x:row r="386">
      <x:c r="A386" s="54" t="n">
        <x:v>1202</x:v>
      </x:c>
      <x:c r="B386" s="54" t="n">
        <x:v>2</x:v>
      </x:c>
      <x:c r="C386" s="54" t="n">
        <x:v>1</x:v>
      </x:c>
      <x:c r="D386" s="54" t="n">
        <x:v>1</x:v>
      </x:c>
      <x:c r="E386" s="103" t="str">
        <x:v>Material-row source portal</x:v>
      </x:c>
      <x:c r="F386" s="103" t="str">
        <x:v>Source portal is identified, but edition/revision and property record locator remain unresolved.</x:v>
      </x:c>
    </x:row>
    <x:row r="387">
      <x:c r="A387" s="54" t="n">
        <x:v>1202</x:v>
      </x:c>
      <x:c r="B387" s="54" t="n">
        <x:v>3</x:v>
      </x:c>
      <x:c r="C387" s="54" t="n">
        <x:v>1</x:v>
      </x:c>
      <x:c r="D387" s="54" t="n">
        <x:v>1</x:v>
      </x:c>
      <x:c r="E387" s="103" t="str">
        <x:v>Formula-derived from E and Poisson ratio; input records inherit the material-row source</x:v>
      </x:c>
      <x:c r="F387" s="103" t="str">
        <x:v>Source portal is identified, but edition/revision and property record locator remain unresolved.</x:v>
      </x:c>
    </x:row>
    <x:row r="388">
      <x:c r="A388" s="54" t="n">
        <x:v>1202</x:v>
      </x:c>
      <x:c r="B388" s="54" t="n">
        <x:v>4</x:v>
      </x:c>
      <x:c r="C388" s="54" t="n">
        <x:v>1</x:v>
      </x:c>
      <x:c r="D388" s="54" t="n">
        <x:v>1</x:v>
      </x:c>
      <x:c r="E388" s="103" t="str">
        <x:v>Material-row source portal</x:v>
      </x:c>
      <x:c r="F388" s="103" t="str">
        <x:v>Source portal is identified, but edition/revision and property record locator remain unresolved.</x:v>
      </x:c>
    </x:row>
    <x:row r="389">
      <x:c r="A389" s="54" t="n">
        <x:v>1202</x:v>
      </x:c>
      <x:c r="B389" s="54" t="n">
        <x:v>5</x:v>
      </x:c>
      <x:c r="C389" s="54" t="n">
        <x:v>1</x:v>
      </x:c>
      <x:c r="D389" s="54" t="n">
        <x:v>1</x:v>
      </x:c>
      <x:c r="E389" s="103" t="str">
        <x:v>Material-row source portal</x:v>
      </x:c>
      <x:c r="F389" s="103" t="str">
        <x:v>Source portal is identified, but edition/revision and property record locator remain unresolved.</x:v>
      </x:c>
    </x:row>
    <x:row r="390">
      <x:c r="A390" s="54" t="n">
        <x:v>1202</x:v>
      </x:c>
      <x:c r="B390" s="54" t="n">
        <x:v>6</x:v>
      </x:c>
      <x:c r="C390" s="54" t="n">
        <x:v>1</x:v>
      </x:c>
      <x:c r="D390" s="54" t="n">
        <x:v>1</x:v>
      </x:c>
      <x:c r="E390" s="103" t="str">
        <x:v>Material-row source portal</x:v>
      </x:c>
      <x:c r="F390" s="103" t="str">
        <x:v>Source portal is identified, but edition/revision and property record locator remain unresolved.</x:v>
      </x:c>
    </x:row>
    <x:row r="391">
      <x:c r="A391" s="54" t="n">
        <x:v>1202</x:v>
      </x:c>
      <x:c r="B391" s="54" t="n">
        <x:v>7</x:v>
      </x:c>
      <x:c r="C391" s="54" t="n">
        <x:v>1</x:v>
      </x:c>
      <x:c r="D391" s="54" t="n">
        <x:v>1</x:v>
      </x:c>
      <x:c r="E391" s="103" t="str">
        <x:v>Material-row source portal</x:v>
      </x:c>
      <x:c r="F391" s="103" t="str">
        <x:v>Source portal is identified, but edition/revision and property record locator remain unresolved.</x:v>
      </x:c>
    </x:row>
    <x:row r="392">
      <x:c r="A392" s="54" t="n">
        <x:v>1202</x:v>
      </x:c>
      <x:c r="B392" s="54" t="n">
        <x:v>9</x:v>
      </x:c>
      <x:c r="C392" s="54" t="n">
        <x:v>1</x:v>
      </x:c>
      <x:c r="D392" s="54" t="n">
        <x:v>1</x:v>
      </x:c>
      <x:c r="E392" s="103" t="str">
        <x:v>Material-row source portal</x:v>
      </x:c>
      <x:c r="F392" s="103" t="str">
        <x:v>Source portal is identified, but edition/revision and property record locator remain unresolved.</x:v>
      </x:c>
    </x:row>
    <x:row r="393">
      <x:c r="A393" s="54" t="n">
        <x:v>1202</x:v>
      </x:c>
      <x:c r="B393" s="54" t="n">
        <x:v>10</x:v>
      </x:c>
      <x:c r="C393" s="54" t="n">
        <x:v>1</x:v>
      </x:c>
      <x:c r="D393" s="54" t="n">
        <x:v>1</x:v>
      </x:c>
      <x:c r="E393" s="103" t="str">
        <x:v>Material-row source portal</x:v>
      </x:c>
      <x:c r="F393" s="103" t="str">
        <x:v>Source portal is identified, but edition/revision and property record locator remain unresolved.</x:v>
      </x:c>
    </x:row>
    <x:row r="394">
      <x:c r="A394" s="54" t="n">
        <x:v>1202</x:v>
      </x:c>
      <x:c r="B394" s="54" t="n">
        <x:v>11</x:v>
      </x:c>
      <x:c r="C394" s="54" t="n">
        <x:v>1</x:v>
      </x:c>
      <x:c r="D394" s="54" t="n">
        <x:v>1</x:v>
      </x:c>
      <x:c r="E394" s="103" t="str">
        <x:v>Material-row source portal</x:v>
      </x:c>
      <x:c r="F394" s="103" t="str">
        <x:v>Source portal is identified, but edition/revision and property record locator remain unresolved.</x:v>
      </x:c>
    </x:row>
    <x:row r="395">
      <x:c r="A395" s="54" t="n">
        <x:v>1202</x:v>
      </x:c>
      <x:c r="B395" s="54" t="n">
        <x:v>12</x:v>
      </x:c>
      <x:c r="C395" s="54" t="n">
        <x:v>1</x:v>
      </x:c>
      <x:c r="D395" s="54" t="n">
        <x:v>1</x:v>
      </x:c>
      <x:c r="E395" s="103" t="str">
        <x:v>Material-row source portal</x:v>
      </x:c>
      <x:c r="F395" s="103" t="str">
        <x:v>Source portal is identified, but edition/revision and property record locator remain unresolved.</x:v>
      </x:c>
    </x:row>
    <x:row r="396">
      <x:c r="A396" s="54" t="n">
        <x:v>1202</x:v>
      </x:c>
      <x:c r="B396" s="54" t="n">
        <x:v>13</x:v>
      </x:c>
      <x:c r="C396" s="54" t="n">
        <x:v>1</x:v>
      </x:c>
      <x:c r="D396" s="54" t="n">
        <x:v>1</x:v>
      </x:c>
      <x:c r="E396" s="103" t="str">
        <x:v>Material-row source portal</x:v>
      </x:c>
      <x:c r="F396" s="103" t="str">
        <x:v>Source portal is identified, but edition/revision and property record locator remain unresolved.</x:v>
      </x:c>
    </x:row>
    <x:row r="397">
      <x:c r="A397" s="54" t="n">
        <x:v>1202</x:v>
      </x:c>
      <x:c r="B397" s="54" t="n">
        <x:v>14</x:v>
      </x:c>
      <x:c r="C397" s="54" t="n">
        <x:v>1</x:v>
      </x:c>
      <x:c r="D397" s="54" t="n">
        <x:v>1</x:v>
      </x:c>
      <x:c r="E397" s="103" t="str">
        <x:v>Material-row source portal</x:v>
      </x:c>
      <x:c r="F397" s="103" t="str">
        <x:v>Source portal is identified, but edition/revision and property record locator remain unresolved.</x:v>
      </x:c>
    </x:row>
    <x:row r="398">
      <x:c r="A398" s="54" t="n">
        <x:v>1202</x:v>
      </x:c>
      <x:c r="B398" s="54" t="n">
        <x:v>15</x:v>
      </x:c>
      <x:c r="C398" s="54" t="n">
        <x:v>1</x:v>
      </x:c>
      <x:c r="D398" s="54" t="n">
        <x:v>1</x:v>
      </x:c>
      <x:c r="E398" s="103" t="str">
        <x:v>Material-row source portal</x:v>
      </x:c>
      <x:c r="F398" s="103" t="str">
        <x:v>Source portal is identified, but edition/revision and property record locator remain unresolved.</x:v>
      </x:c>
    </x:row>
    <x:row r="399">
      <x:c r="A399" s="54" t="n">
        <x:v>1202</x:v>
      </x:c>
      <x:c r="B399" s="54" t="n">
        <x:v>16</x:v>
      </x:c>
      <x:c r="C399" s="54" t="n">
        <x:v>1</x:v>
      </x:c>
      <x:c r="D399" s="54" t="n">
        <x:v>1</x:v>
      </x:c>
      <x:c r="E399" s="103" t="str">
        <x:v>Material-row source portal</x:v>
      </x:c>
      <x:c r="F399" s="103" t="str">
        <x:v>Source portal is identified, but edition/revision and property record locator remain unresolved.</x:v>
      </x:c>
    </x:row>
    <x:row r="400">
      <x:c r="A400" s="54" t="n">
        <x:v>1202</x:v>
      </x:c>
      <x:c r="B400" s="54" t="n">
        <x:v>17</x:v>
      </x:c>
      <x:c r="C400" s="54" t="n">
        <x:v>1</x:v>
      </x:c>
      <x:c r="D400" s="54" t="n">
        <x:v>1</x:v>
      </x:c>
      <x:c r="E400" s="103" t="str">
        <x:v>Material-row source portal</x:v>
      </x:c>
      <x:c r="F400" s="103" t="str">
        <x:v>Source portal is identified, but edition/revision and property record locator remain unresolved.</x:v>
      </x:c>
    </x:row>
    <x:row r="401">
      <x:c r="A401" s="54" t="n">
        <x:v>1202</x:v>
      </x:c>
      <x:c r="B401" s="54" t="n">
        <x:v>18</x:v>
      </x:c>
      <x:c r="C401" s="54" t="n">
        <x:v>1</x:v>
      </x:c>
      <x:c r="D401" s="54" t="n">
        <x:v>1</x:v>
      </x:c>
      <x:c r="E401" s="103" t="str">
        <x:v>Formula-derived from E and Poisson ratio; input records inherit the material-row source</x:v>
      </x:c>
      <x:c r="F401" s="103" t="str">
        <x:v>Source portal is identified, but edition/revision and property record locator remain unresolved.</x:v>
      </x:c>
    </x:row>
    <x:row r="402">
      <x:c r="A402" s="54" t="n">
        <x:v>1203</x:v>
      </x:c>
      <x:c r="B402" s="54" t="n">
        <x:v>1</x:v>
      </x:c>
      <x:c r="C402" s="54" t="n">
        <x:v>1</x:v>
      </x:c>
      <x:c r="D402" s="54" t="n">
        <x:v>1</x:v>
      </x:c>
      <x:c r="E402" s="103" t="str">
        <x:v>Material-row source portal</x:v>
      </x:c>
      <x:c r="F402" s="103" t="str">
        <x:v>Source portal is identified, but edition/revision and property record locator remain unresolved.</x:v>
      </x:c>
    </x:row>
    <x:row r="403">
      <x:c r="A403" s="54" t="n">
        <x:v>1203</x:v>
      </x:c>
      <x:c r="B403" s="54" t="n">
        <x:v>2</x:v>
      </x:c>
      <x:c r="C403" s="54" t="n">
        <x:v>1</x:v>
      </x:c>
      <x:c r="D403" s="54" t="n">
        <x:v>1</x:v>
      </x:c>
      <x:c r="E403" s="103" t="str">
        <x:v>Material-row source portal</x:v>
      </x:c>
      <x:c r="F403" s="103" t="str">
        <x:v>Source portal is identified, but edition/revision and property record locator remain unresolved.</x:v>
      </x:c>
    </x:row>
    <x:row r="404">
      <x:c r="A404" s="54" t="n">
        <x:v>1203</x:v>
      </x:c>
      <x:c r="B404" s="54" t="n">
        <x:v>3</x:v>
      </x:c>
      <x:c r="C404" s="54" t="n">
        <x:v>1</x:v>
      </x:c>
      <x:c r="D404" s="54" t="n">
        <x:v>1</x:v>
      </x:c>
      <x:c r="E404" s="103" t="str">
        <x:v>Formula-derived from E and Poisson ratio; input records inherit the material-row source</x:v>
      </x:c>
      <x:c r="F404" s="103" t="str">
        <x:v>Source portal is identified, but edition/revision and property record locator remain unresolved.</x:v>
      </x:c>
    </x:row>
    <x:row r="405">
      <x:c r="A405" s="54" t="n">
        <x:v>1203</x:v>
      </x:c>
      <x:c r="B405" s="54" t="n">
        <x:v>4</x:v>
      </x:c>
      <x:c r="C405" s="54" t="n">
        <x:v>1</x:v>
      </x:c>
      <x:c r="D405" s="54" t="n">
        <x:v>1</x:v>
      </x:c>
      <x:c r="E405" s="103" t="str">
        <x:v>Material-row source portal</x:v>
      </x:c>
      <x:c r="F405" s="103" t="str">
        <x:v>Source portal is identified, but edition/revision and property record locator remain unresolved.</x:v>
      </x:c>
    </x:row>
    <x:row r="406">
      <x:c r="A406" s="54" t="n">
        <x:v>1203</x:v>
      </x:c>
      <x:c r="B406" s="54" t="n">
        <x:v>5</x:v>
      </x:c>
      <x:c r="C406" s="54" t="n">
        <x:v>1</x:v>
      </x:c>
      <x:c r="D406" s="54" t="n">
        <x:v>1</x:v>
      </x:c>
      <x:c r="E406" s="103" t="str">
        <x:v>Material-row source portal</x:v>
      </x:c>
      <x:c r="F406" s="103" t="str">
        <x:v>Source portal is identified, but edition/revision and property record locator remain unresolved.</x:v>
      </x:c>
    </x:row>
    <x:row r="407">
      <x:c r="A407" s="54" t="n">
        <x:v>1203</x:v>
      </x:c>
      <x:c r="B407" s="54" t="n">
        <x:v>6</x:v>
      </x:c>
      <x:c r="C407" s="54" t="n">
        <x:v>1</x:v>
      </x:c>
      <x:c r="D407" s="54" t="n">
        <x:v>1</x:v>
      </x:c>
      <x:c r="E407" s="103" t="str">
        <x:v>Material-row source portal</x:v>
      </x:c>
      <x:c r="F407" s="103" t="str">
        <x:v>Source portal is identified, but edition/revision and property record locator remain unresolved.</x:v>
      </x:c>
    </x:row>
    <x:row r="408">
      <x:c r="A408" s="54" t="n">
        <x:v>1203</x:v>
      </x:c>
      <x:c r="B408" s="54" t="n">
        <x:v>7</x:v>
      </x:c>
      <x:c r="C408" s="54" t="n">
        <x:v>1</x:v>
      </x:c>
      <x:c r="D408" s="54" t="n">
        <x:v>1</x:v>
      </x:c>
      <x:c r="E408" s="103" t="str">
        <x:v>Material-row source portal</x:v>
      </x:c>
      <x:c r="F408" s="103" t="str">
        <x:v>Source portal is identified, but edition/revision and property record locator remain unresolved.</x:v>
      </x:c>
    </x:row>
    <x:row r="409">
      <x:c r="A409" s="54" t="n">
        <x:v>1203</x:v>
      </x:c>
      <x:c r="B409" s="54" t="n">
        <x:v>8</x:v>
      </x:c>
      <x:c r="C409" s="54" t="n">
        <x:v>1</x:v>
      </x:c>
      <x:c r="D409" s="54" t="n">
        <x:v>1</x:v>
      </x:c>
      <x:c r="E409" s="103" t="str">
        <x:v>Material-row source portal</x:v>
      </x:c>
      <x:c r="F409" s="103" t="str">
        <x:v>Source portal is identified, but edition/revision and property record locator remain unresolved.</x:v>
      </x:c>
    </x:row>
    <x:row r="410">
      <x:c r="A410" s="54" t="n">
        <x:v>1203</x:v>
      </x:c>
      <x:c r="B410" s="54" t="n">
        <x:v>9</x:v>
      </x:c>
      <x:c r="C410" s="54" t="n">
        <x:v>1</x:v>
      </x:c>
      <x:c r="D410" s="54" t="n">
        <x:v>1</x:v>
      </x:c>
      <x:c r="E410" s="103" t="str">
        <x:v>Material-row source portal</x:v>
      </x:c>
      <x:c r="F410" s="103" t="str">
        <x:v>Source portal is identified, but edition/revision and property record locator remain unresolved.</x:v>
      </x:c>
    </x:row>
    <x:row r="411">
      <x:c r="A411" s="54" t="n">
        <x:v>1203</x:v>
      </x:c>
      <x:c r="B411" s="54" t="n">
        <x:v>10</x:v>
      </x:c>
      <x:c r="C411" s="54" t="n">
        <x:v>1</x:v>
      </x:c>
      <x:c r="D411" s="54" t="n">
        <x:v>1</x:v>
      </x:c>
      <x:c r="E411" s="103" t="str">
        <x:v>Material-row source portal</x:v>
      </x:c>
      <x:c r="F411" s="103" t="str">
        <x:v>Source portal is identified, but edition/revision and property record locator remain unresolved.</x:v>
      </x:c>
    </x:row>
    <x:row r="412">
      <x:c r="A412" s="54" t="n">
        <x:v>1203</x:v>
      </x:c>
      <x:c r="B412" s="54" t="n">
        <x:v>11</x:v>
      </x:c>
      <x:c r="C412" s="54" t="n">
        <x:v>1</x:v>
      </x:c>
      <x:c r="D412" s="54" t="n">
        <x:v>1</x:v>
      </x:c>
      <x:c r="E412" s="103" t="str">
        <x:v>Material-row source portal</x:v>
      </x:c>
      <x:c r="F412" s="103" t="str">
        <x:v>Source portal is identified, but edition/revision and property record locator remain unresolved.</x:v>
      </x:c>
    </x:row>
    <x:row r="413">
      <x:c r="A413" s="54" t="n">
        <x:v>1203</x:v>
      </x:c>
      <x:c r="B413" s="54" t="n">
        <x:v>12</x:v>
      </x:c>
      <x:c r="C413" s="54" t="n">
        <x:v>1</x:v>
      </x:c>
      <x:c r="D413" s="54" t="n">
        <x:v>1</x:v>
      </x:c>
      <x:c r="E413" s="103" t="str">
        <x:v>Material-row source portal</x:v>
      </x:c>
      <x:c r="F413" s="103" t="str">
        <x:v>Source portal is identified, but edition/revision and property record locator remain unresolved.</x:v>
      </x:c>
    </x:row>
    <x:row r="414">
      <x:c r="A414" s="54" t="n">
        <x:v>1203</x:v>
      </x:c>
      <x:c r="B414" s="54" t="n">
        <x:v>13</x:v>
      </x:c>
      <x:c r="C414" s="54" t="n">
        <x:v>1</x:v>
      </x:c>
      <x:c r="D414" s="54" t="n">
        <x:v>1</x:v>
      </x:c>
      <x:c r="E414" s="103" t="str">
        <x:v>Material-row source portal</x:v>
      </x:c>
      <x:c r="F414" s="103" t="str">
        <x:v>Source portal is identified, but edition/revision and property record locator remain unresolved.</x:v>
      </x:c>
    </x:row>
    <x:row r="415">
      <x:c r="A415" s="54" t="n">
        <x:v>1203</x:v>
      </x:c>
      <x:c r="B415" s="54" t="n">
        <x:v>14</x:v>
      </x:c>
      <x:c r="C415" s="54" t="n">
        <x:v>1</x:v>
      </x:c>
      <x:c r="D415" s="54" t="n">
        <x:v>1</x:v>
      </x:c>
      <x:c r="E415" s="103" t="str">
        <x:v>Material-row source portal</x:v>
      </x:c>
      <x:c r="F415" s="103" t="str">
        <x:v>Source portal is identified, but edition/revision and property record locator remain unresolved.</x:v>
      </x:c>
    </x:row>
    <x:row r="416">
      <x:c r="A416" s="54" t="n">
        <x:v>1203</x:v>
      </x:c>
      <x:c r="B416" s="54" t="n">
        <x:v>15</x:v>
      </x:c>
      <x:c r="C416" s="54" t="n">
        <x:v>1</x:v>
      </x:c>
      <x:c r="D416" s="54" t="n">
        <x:v>1</x:v>
      </x:c>
      <x:c r="E416" s="103" t="str">
        <x:v>Material-row source portal</x:v>
      </x:c>
      <x:c r="F416" s="103" t="str">
        <x:v>Source portal is identified, but edition/revision and property record locator remain unresolved.</x:v>
      </x:c>
    </x:row>
    <x:row r="417">
      <x:c r="A417" s="54" t="n">
        <x:v>1203</x:v>
      </x:c>
      <x:c r="B417" s="54" t="n">
        <x:v>16</x:v>
      </x:c>
      <x:c r="C417" s="54" t="n">
        <x:v>1</x:v>
      </x:c>
      <x:c r="D417" s="54" t="n">
        <x:v>1</x:v>
      </x:c>
      <x:c r="E417" s="103" t="str">
        <x:v>Material-row source portal</x:v>
      </x:c>
      <x:c r="F417" s="103" t="str">
        <x:v>Source portal is identified, but edition/revision and property record locator remain unresolved.</x:v>
      </x:c>
    </x:row>
    <x:row r="418">
      <x:c r="A418" s="54" t="n">
        <x:v>1203</x:v>
      </x:c>
      <x:c r="B418" s="54" t="n">
        <x:v>17</x:v>
      </x:c>
      <x:c r="C418" s="54" t="n">
        <x:v>1</x:v>
      </x:c>
      <x:c r="D418" s="54" t="n">
        <x:v>1</x:v>
      </x:c>
      <x:c r="E418" s="103" t="str">
        <x:v>Material-row source portal</x:v>
      </x:c>
      <x:c r="F418" s="103" t="str">
        <x:v>Source portal is identified, but edition/revision and property record locator remain unresolved.</x:v>
      </x:c>
    </x:row>
    <x:row r="419">
      <x:c r="A419" s="54" t="n">
        <x:v>1203</x:v>
      </x:c>
      <x:c r="B419" s="54" t="n">
        <x:v>18</x:v>
      </x:c>
      <x:c r="C419" s="54" t="n">
        <x:v>1</x:v>
      </x:c>
      <x:c r="D419" s="54" t="n">
        <x:v>1</x:v>
      </x:c>
      <x:c r="E419" s="103" t="str">
        <x:v>Formula-derived from E and Poisson ratio; input records inherit the material-row source</x:v>
      </x:c>
      <x:c r="F419" s="103" t="str">
        <x:v>Source portal is identified, but edition/revision and property record locator remain unresolved.</x:v>
      </x:c>
    </x:row>
    <x:row r="420">
      <x:c r="A420" s="54" t="n">
        <x:v>2001</x:v>
      </x:c>
      <x:c r="B420" s="54" t="n">
        <x:v>1</x:v>
      </x:c>
      <x:c r="C420" s="54" t="n">
        <x:v>10</x:v>
      </x:c>
      <x:c r="D420" s="54" t="n">
        <x:v>1</x:v>
      </x:c>
      <x:c r="E420" s="103" t="str">
        <x:v>Material-row source portal</x:v>
      </x:c>
      <x:c r="F420" s="103" t="str">
        <x:v>Source portal is identified, but edition/revision and property record locator remain unresolved.</x:v>
      </x:c>
    </x:row>
    <x:row r="421">
      <x:c r="A421" s="54" t="n">
        <x:v>2001</x:v>
      </x:c>
      <x:c r="B421" s="54" t="n">
        <x:v>2</x:v>
      </x:c>
      <x:c r="C421" s="54" t="n">
        <x:v>10</x:v>
      </x:c>
      <x:c r="D421" s="54" t="n">
        <x:v>1</x:v>
      </x:c>
      <x:c r="E421" s="103" t="str">
        <x:v>Material-row source portal</x:v>
      </x:c>
      <x:c r="F421" s="103" t="str">
        <x:v>Source portal is identified, but edition/revision and property record locator remain unresolved.</x:v>
      </x:c>
    </x:row>
    <x:row r="422">
      <x:c r="A422" s="54" t="n">
        <x:v>2001</x:v>
      </x:c>
      <x:c r="B422" s="54" t="n">
        <x:v>3</x:v>
      </x:c>
      <x:c r="C422" s="54" t="n">
        <x:v>10</x:v>
      </x:c>
      <x:c r="D422" s="54" t="n">
        <x:v>1</x:v>
      </x:c>
      <x:c r="E422" s="103" t="str">
        <x:v>Formula-derived from E and Poisson ratio; input records inherit the material-row source</x:v>
      </x:c>
      <x:c r="F422" s="103" t="str">
        <x:v>Source portal is identified, but edition/revision and property record locator remain unresolved.</x:v>
      </x:c>
    </x:row>
    <x:row r="423">
      <x:c r="A423" s="54" t="n">
        <x:v>2001</x:v>
      </x:c>
      <x:c r="B423" s="54" t="n">
        <x:v>4</x:v>
      </x:c>
      <x:c r="C423" s="54" t="n">
        <x:v>10</x:v>
      </x:c>
      <x:c r="D423" s="54" t="n">
        <x:v>1</x:v>
      </x:c>
      <x:c r="E423" s="103" t="str">
        <x:v>Material-row source portal</x:v>
      </x:c>
      <x:c r="F423" s="103" t="str">
        <x:v>Source portal is identified, but edition/revision and property record locator remain unresolved.</x:v>
      </x:c>
    </x:row>
    <x:row r="424">
      <x:c r="A424" s="54" t="n">
        <x:v>2001</x:v>
      </x:c>
      <x:c r="B424" s="54" t="n">
        <x:v>5</x:v>
      </x:c>
      <x:c r="C424" s="54" t="n">
        <x:v>10</x:v>
      </x:c>
      <x:c r="D424" s="54" t="n">
        <x:v>1</x:v>
      </x:c>
      <x:c r="E424" s="103" t="str">
        <x:v>Material-row source portal</x:v>
      </x:c>
      <x:c r="F424" s="103" t="str">
        <x:v>Source portal is identified, but edition/revision and property record locator remain unresolved.</x:v>
      </x:c>
    </x:row>
    <x:row r="425">
      <x:c r="A425" s="54" t="n">
        <x:v>2001</x:v>
      </x:c>
      <x:c r="B425" s="54" t="n">
        <x:v>6</x:v>
      </x:c>
      <x:c r="C425" s="54" t="n">
        <x:v>10</x:v>
      </x:c>
      <x:c r="D425" s="54" t="n">
        <x:v>1</x:v>
      </x:c>
      <x:c r="E425" s="103" t="str">
        <x:v>Material-row source portal</x:v>
      </x:c>
      <x:c r="F425" s="103" t="str">
        <x:v>Source portal is identified, but edition/revision and property record locator remain unresolved.</x:v>
      </x:c>
    </x:row>
    <x:row r="426">
      <x:c r="A426" s="54" t="n">
        <x:v>2001</x:v>
      </x:c>
      <x:c r="B426" s="54" t="n">
        <x:v>9</x:v>
      </x:c>
      <x:c r="C426" s="54" t="n">
        <x:v>10</x:v>
      </x:c>
      <x:c r="D426" s="54" t="n">
        <x:v>1</x:v>
      </x:c>
      <x:c r="E426" s="103" t="str">
        <x:v>Material-row source portal</x:v>
      </x:c>
      <x:c r="F426" s="103" t="str">
        <x:v>Source portal is identified, but edition/revision and property record locator remain unresolved.</x:v>
      </x:c>
    </x:row>
    <x:row r="427">
      <x:c r="A427" s="54" t="n">
        <x:v>2001</x:v>
      </x:c>
      <x:c r="B427" s="54" t="n">
        <x:v>10</x:v>
      </x:c>
      <x:c r="C427" s="54" t="n">
        <x:v>10</x:v>
      </x:c>
      <x:c r="D427" s="54" t="n">
        <x:v>1</x:v>
      </x:c>
      <x:c r="E427" s="103" t="str">
        <x:v>Material-row source portal</x:v>
      </x:c>
      <x:c r="F427" s="103" t="str">
        <x:v>Source portal is identified, but edition/revision and property record locator remain unresolved.</x:v>
      </x:c>
    </x:row>
    <x:row r="428">
      <x:c r="A428" s="54" t="n">
        <x:v>2001</x:v>
      </x:c>
      <x:c r="B428" s="54" t="n">
        <x:v>11</x:v>
      </x:c>
      <x:c r="C428" s="54" t="n">
        <x:v>10</x:v>
      </x:c>
      <x:c r="D428" s="54" t="n">
        <x:v>1</x:v>
      </x:c>
      <x:c r="E428" s="103" t="str">
        <x:v>Material-row source portal</x:v>
      </x:c>
      <x:c r="F428" s="103" t="str">
        <x:v>Source portal is identified, but edition/revision and property record locator remain unresolved.</x:v>
      </x:c>
    </x:row>
    <x:row r="429">
      <x:c r="A429" s="54" t="n">
        <x:v>2001</x:v>
      </x:c>
      <x:c r="B429" s="54" t="n">
        <x:v>12</x:v>
      </x:c>
      <x:c r="C429" s="54" t="n">
        <x:v>10</x:v>
      </x:c>
      <x:c r="D429" s="54" t="n">
        <x:v>1</x:v>
      </x:c>
      <x:c r="E429" s="103" t="str">
        <x:v>Material-row source portal</x:v>
      </x:c>
      <x:c r="F429" s="103" t="str">
        <x:v>Source portal is identified, but edition/revision and property record locator remain unresolved.</x:v>
      </x:c>
    </x:row>
    <x:row r="430">
      <x:c r="A430" s="54" t="n">
        <x:v>2001</x:v>
      </x:c>
      <x:c r="B430" s="54" t="n">
        <x:v>13</x:v>
      </x:c>
      <x:c r="C430" s="54" t="n">
        <x:v>10</x:v>
      </x:c>
      <x:c r="D430" s="54" t="n">
        <x:v>1</x:v>
      </x:c>
      <x:c r="E430" s="103" t="str">
        <x:v>Material-row source portal</x:v>
      </x:c>
      <x:c r="F430" s="103" t="str">
        <x:v>Source portal is identified, but edition/revision and property record locator remain unresolved.</x:v>
      </x:c>
    </x:row>
    <x:row r="431">
      <x:c r="A431" s="54" t="n">
        <x:v>2001</x:v>
      </x:c>
      <x:c r="B431" s="54" t="n">
        <x:v>14</x:v>
      </x:c>
      <x:c r="C431" s="54" t="n">
        <x:v>10</x:v>
      </x:c>
      <x:c r="D431" s="54" t="n">
        <x:v>1</x:v>
      </x:c>
      <x:c r="E431" s="103" t="str">
        <x:v>Material-row source portal</x:v>
      </x:c>
      <x:c r="F431" s="103" t="str">
        <x:v>Source portal is identified, but edition/revision and property record locator remain unresolved.</x:v>
      </x:c>
    </x:row>
    <x:row r="432">
      <x:c r="A432" s="54" t="n">
        <x:v>2001</x:v>
      </x:c>
      <x:c r="B432" s="54" t="n">
        <x:v>15</x:v>
      </x:c>
      <x:c r="C432" s="54" t="n">
        <x:v>10</x:v>
      </x:c>
      <x:c r="D432" s="54" t="n">
        <x:v>1</x:v>
      </x:c>
      <x:c r="E432" s="103" t="str">
        <x:v>Material-row source portal</x:v>
      </x:c>
      <x:c r="F432" s="103" t="str">
        <x:v>Source portal is identified, but edition/revision and property record locator remain unresolved.</x:v>
      </x:c>
    </x:row>
    <x:row r="433">
      <x:c r="A433" s="54" t="n">
        <x:v>2001</x:v>
      </x:c>
      <x:c r="B433" s="54" t="n">
        <x:v>16</x:v>
      </x:c>
      <x:c r="C433" s="54" t="n">
        <x:v>10</x:v>
      </x:c>
      <x:c r="D433" s="54" t="n">
        <x:v>1</x:v>
      </x:c>
      <x:c r="E433" s="103" t="str">
        <x:v>Material-row source portal</x:v>
      </x:c>
      <x:c r="F433" s="103" t="str">
        <x:v>Source portal is identified, but edition/revision and property record locator remain unresolved.</x:v>
      </x:c>
    </x:row>
    <x:row r="434">
      <x:c r="A434" s="54" t="n">
        <x:v>2001</x:v>
      </x:c>
      <x:c r="B434" s="54" t="n">
        <x:v>17</x:v>
      </x:c>
      <x:c r="C434" s="54" t="n">
        <x:v>10</x:v>
      </x:c>
      <x:c r="D434" s="54" t="n">
        <x:v>1</x:v>
      </x:c>
      <x:c r="E434" s="103" t="str">
        <x:v>Material-row source portal</x:v>
      </x:c>
      <x:c r="F434" s="103" t="str">
        <x:v>Source portal is identified, but edition/revision and property record locator remain unresolved.</x:v>
      </x:c>
    </x:row>
    <x:row r="435">
      <x:c r="A435" s="54" t="n">
        <x:v>2001</x:v>
      </x:c>
      <x:c r="B435" s="54" t="n">
        <x:v>18</x:v>
      </x:c>
      <x:c r="C435" s="54" t="n">
        <x:v>10</x:v>
      </x:c>
      <x:c r="D435" s="54" t="n">
        <x:v>1</x:v>
      </x:c>
      <x:c r="E435" s="103" t="str">
        <x:v>Formula-derived from E and Poisson ratio; input records inherit the material-row source</x:v>
      </x:c>
      <x:c r="F435" s="103" t="str">
        <x:v>Source portal is identified, but edition/revision and property record locator remain unresolved.</x:v>
      </x:c>
    </x:row>
    <x:row r="436">
      <x:c r="A436" s="54" t="n">
        <x:v>2002</x:v>
      </x:c>
      <x:c r="B436" s="54" t="n">
        <x:v>1</x:v>
      </x:c>
      <x:c r="C436" s="54" t="n">
        <x:v>10</x:v>
      </x:c>
      <x:c r="D436" s="54" t="n">
        <x:v>1</x:v>
      </x:c>
      <x:c r="E436" s="103" t="str">
        <x:v>Material-row source portal</x:v>
      </x:c>
      <x:c r="F436" s="103" t="str">
        <x:v>Source portal is identified, but edition/revision and property record locator remain unresolved.</x:v>
      </x:c>
    </x:row>
    <x:row r="437">
      <x:c r="A437" s="54" t="n">
        <x:v>2002</x:v>
      </x:c>
      <x:c r="B437" s="54" t="n">
        <x:v>2</x:v>
      </x:c>
      <x:c r="C437" s="54" t="n">
        <x:v>10</x:v>
      </x:c>
      <x:c r="D437" s="54" t="n">
        <x:v>1</x:v>
      </x:c>
      <x:c r="E437" s="103" t="str">
        <x:v>Material-row source portal</x:v>
      </x:c>
      <x:c r="F437" s="103" t="str">
        <x:v>Source portal is identified, but edition/revision and property record locator remain unresolved.</x:v>
      </x:c>
    </x:row>
    <x:row r="438">
      <x:c r="A438" s="54" t="n">
        <x:v>2002</x:v>
      </x:c>
      <x:c r="B438" s="54" t="n">
        <x:v>3</x:v>
      </x:c>
      <x:c r="C438" s="54" t="n">
        <x:v>10</x:v>
      </x:c>
      <x:c r="D438" s="54" t="n">
        <x:v>1</x:v>
      </x:c>
      <x:c r="E438" s="103" t="str">
        <x:v>Formula-derived from E and Poisson ratio; input records inherit the material-row source</x:v>
      </x:c>
      <x:c r="F438" s="103" t="str">
        <x:v>Source portal is identified, but edition/revision and property record locator remain unresolved.</x:v>
      </x:c>
    </x:row>
    <x:row r="439">
      <x:c r="A439" s="54" t="n">
        <x:v>2002</x:v>
      </x:c>
      <x:c r="B439" s="54" t="n">
        <x:v>4</x:v>
      </x:c>
      <x:c r="C439" s="54" t="n">
        <x:v>10</x:v>
      </x:c>
      <x:c r="D439" s="54" t="n">
        <x:v>1</x:v>
      </x:c>
      <x:c r="E439" s="103" t="str">
        <x:v>Material-row source portal</x:v>
      </x:c>
      <x:c r="F439" s="103" t="str">
        <x:v>Source portal is identified, but edition/revision and property record locator remain unresolved.</x:v>
      </x:c>
    </x:row>
    <x:row r="440">
      <x:c r="A440" s="54" t="n">
        <x:v>2002</x:v>
      </x:c>
      <x:c r="B440" s="54" t="n">
        <x:v>5</x:v>
      </x:c>
      <x:c r="C440" s="54" t="n">
        <x:v>10</x:v>
      </x:c>
      <x:c r="D440" s="54" t="n">
        <x:v>1</x:v>
      </x:c>
      <x:c r="E440" s="103" t="str">
        <x:v>Material-row source portal</x:v>
      </x:c>
      <x:c r="F440" s="103" t="str">
        <x:v>Source portal is identified, but edition/revision and property record locator remain unresolved.</x:v>
      </x:c>
    </x:row>
    <x:row r="441">
      <x:c r="A441" s="54" t="n">
        <x:v>2002</x:v>
      </x:c>
      <x:c r="B441" s="54" t="n">
        <x:v>6</x:v>
      </x:c>
      <x:c r="C441" s="54" t="n">
        <x:v>10</x:v>
      </x:c>
      <x:c r="D441" s="54" t="n">
        <x:v>1</x:v>
      </x:c>
      <x:c r="E441" s="103" t="str">
        <x:v>Material-row source portal</x:v>
      </x:c>
      <x:c r="F441" s="103" t="str">
        <x:v>Source portal is identified, but edition/revision and property record locator remain unresolved.</x:v>
      </x:c>
    </x:row>
    <x:row r="442">
      <x:c r="A442" s="54" t="n">
        <x:v>2002</x:v>
      </x:c>
      <x:c r="B442" s="54" t="n">
        <x:v>9</x:v>
      </x:c>
      <x:c r="C442" s="54" t="n">
        <x:v>10</x:v>
      </x:c>
      <x:c r="D442" s="54" t="n">
        <x:v>1</x:v>
      </x:c>
      <x:c r="E442" s="103" t="str">
        <x:v>Material-row source portal</x:v>
      </x:c>
      <x:c r="F442" s="103" t="str">
        <x:v>Source portal is identified, but edition/revision and property record locator remain unresolved.</x:v>
      </x:c>
    </x:row>
    <x:row r="443">
      <x:c r="A443" s="54" t="n">
        <x:v>2002</x:v>
      </x:c>
      <x:c r="B443" s="54" t="n">
        <x:v>10</x:v>
      </x:c>
      <x:c r="C443" s="54" t="n">
        <x:v>10</x:v>
      </x:c>
      <x:c r="D443" s="54" t="n">
        <x:v>1</x:v>
      </x:c>
      <x:c r="E443" s="103" t="str">
        <x:v>Material-row source portal</x:v>
      </x:c>
      <x:c r="F443" s="103" t="str">
        <x:v>Source portal is identified, but edition/revision and property record locator remain unresolved.</x:v>
      </x:c>
    </x:row>
    <x:row r="444">
      <x:c r="A444" s="54" t="n">
        <x:v>2002</x:v>
      </x:c>
      <x:c r="B444" s="54" t="n">
        <x:v>11</x:v>
      </x:c>
      <x:c r="C444" s="54" t="n">
        <x:v>10</x:v>
      </x:c>
      <x:c r="D444" s="54" t="n">
        <x:v>1</x:v>
      </x:c>
      <x:c r="E444" s="103" t="str">
        <x:v>Material-row source portal</x:v>
      </x:c>
      <x:c r="F444" s="103" t="str">
        <x:v>Source portal is identified, but edition/revision and property record locator remain unresolved.</x:v>
      </x:c>
    </x:row>
    <x:row r="445">
      <x:c r="A445" s="54" t="n">
        <x:v>2002</x:v>
      </x:c>
      <x:c r="B445" s="54" t="n">
        <x:v>12</x:v>
      </x:c>
      <x:c r="C445" s="54" t="n">
        <x:v>10</x:v>
      </x:c>
      <x:c r="D445" s="54" t="n">
        <x:v>1</x:v>
      </x:c>
      <x:c r="E445" s="103" t="str">
        <x:v>Material-row source portal</x:v>
      </x:c>
      <x:c r="F445" s="103" t="str">
        <x:v>Source portal is identified, but edition/revision and property record locator remain unresolved.</x:v>
      </x:c>
    </x:row>
    <x:row r="446">
      <x:c r="A446" s="54" t="n">
        <x:v>2002</x:v>
      </x:c>
      <x:c r="B446" s="54" t="n">
        <x:v>13</x:v>
      </x:c>
      <x:c r="C446" s="54" t="n">
        <x:v>10</x:v>
      </x:c>
      <x:c r="D446" s="54" t="n">
        <x:v>1</x:v>
      </x:c>
      <x:c r="E446" s="103" t="str">
        <x:v>Material-row source portal</x:v>
      </x:c>
      <x:c r="F446" s="103" t="str">
        <x:v>Source portal is identified, but edition/revision and property record locator remain unresolved.</x:v>
      </x:c>
    </x:row>
    <x:row r="447">
      <x:c r="A447" s="54" t="n">
        <x:v>2002</x:v>
      </x:c>
      <x:c r="B447" s="54" t="n">
        <x:v>14</x:v>
      </x:c>
      <x:c r="C447" s="54" t="n">
        <x:v>10</x:v>
      </x:c>
      <x:c r="D447" s="54" t="n">
        <x:v>1</x:v>
      </x:c>
      <x:c r="E447" s="103" t="str">
        <x:v>Material-row source portal</x:v>
      </x:c>
      <x:c r="F447" s="103" t="str">
        <x:v>Source portal is identified, but edition/revision and property record locator remain unresolved.</x:v>
      </x:c>
    </x:row>
    <x:row r="448">
      <x:c r="A448" s="54" t="n">
        <x:v>2002</x:v>
      </x:c>
      <x:c r="B448" s="54" t="n">
        <x:v>15</x:v>
      </x:c>
      <x:c r="C448" s="54" t="n">
        <x:v>10</x:v>
      </x:c>
      <x:c r="D448" s="54" t="n">
        <x:v>1</x:v>
      </x:c>
      <x:c r="E448" s="103" t="str">
        <x:v>Material-row source portal</x:v>
      </x:c>
      <x:c r="F448" s="103" t="str">
        <x:v>Source portal is identified, but edition/revision and property record locator remain unresolved.</x:v>
      </x:c>
    </x:row>
    <x:row r="449">
      <x:c r="A449" s="54" t="n">
        <x:v>2002</x:v>
      </x:c>
      <x:c r="B449" s="54" t="n">
        <x:v>16</x:v>
      </x:c>
      <x:c r="C449" s="54" t="n">
        <x:v>10</x:v>
      </x:c>
      <x:c r="D449" s="54" t="n">
        <x:v>1</x:v>
      </x:c>
      <x:c r="E449" s="103" t="str">
        <x:v>Material-row source portal</x:v>
      </x:c>
      <x:c r="F449" s="103" t="str">
        <x:v>Source portal is identified, but edition/revision and property record locator remain unresolved.</x:v>
      </x:c>
    </x:row>
    <x:row r="450">
      <x:c r="A450" s="54" t="n">
        <x:v>2002</x:v>
      </x:c>
      <x:c r="B450" s="54" t="n">
        <x:v>17</x:v>
      </x:c>
      <x:c r="C450" s="54" t="n">
        <x:v>10</x:v>
      </x:c>
      <x:c r="D450" s="54" t="n">
        <x:v>1</x:v>
      </x:c>
      <x:c r="E450" s="103" t="str">
        <x:v>Material-row source portal</x:v>
      </x:c>
      <x:c r="F450" s="103" t="str">
        <x:v>Source portal is identified, but edition/revision and property record locator remain unresolved.</x:v>
      </x:c>
    </x:row>
    <x:row r="451">
      <x:c r="A451" s="54" t="n">
        <x:v>2002</x:v>
      </x:c>
      <x:c r="B451" s="54" t="n">
        <x:v>18</x:v>
      </x:c>
      <x:c r="C451" s="54" t="n">
        <x:v>10</x:v>
      </x:c>
      <x:c r="D451" s="54" t="n">
        <x:v>1</x:v>
      </x:c>
      <x:c r="E451" s="103" t="str">
        <x:v>Formula-derived from E and Poisson ratio; input records inherit the material-row source</x:v>
      </x:c>
      <x:c r="F451" s="103" t="str">
        <x:v>Source portal is identified, but edition/revision and property record locator remain unresolved.</x:v>
      </x:c>
    </x:row>
    <x:row r="452">
      <x:c r="A452" s="54" t="n">
        <x:v>2003</x:v>
      </x:c>
      <x:c r="B452" s="54" t="n">
        <x:v>1</x:v>
      </x:c>
      <x:c r="C452" s="54" t="n">
        <x:v>10</x:v>
      </x:c>
      <x:c r="D452" s="54" t="n">
        <x:v>1</x:v>
      </x:c>
      <x:c r="E452" s="103" t="str">
        <x:v>Material-row source portal</x:v>
      </x:c>
      <x:c r="F452" s="103" t="str">
        <x:v>Source portal is identified, but edition/revision and property record locator remain unresolved.</x:v>
      </x:c>
    </x:row>
    <x:row r="453">
      <x:c r="A453" s="54" t="n">
        <x:v>2003</x:v>
      </x:c>
      <x:c r="B453" s="54" t="n">
        <x:v>2</x:v>
      </x:c>
      <x:c r="C453" s="54" t="n">
        <x:v>10</x:v>
      </x:c>
      <x:c r="D453" s="54" t="n">
        <x:v>1</x:v>
      </x:c>
      <x:c r="E453" s="103" t="str">
        <x:v>Material-row source portal</x:v>
      </x:c>
      <x:c r="F453" s="103" t="str">
        <x:v>Source portal is identified, but edition/revision and property record locator remain unresolved.</x:v>
      </x:c>
    </x:row>
    <x:row r="454">
      <x:c r="A454" s="54" t="n">
        <x:v>2003</x:v>
      </x:c>
      <x:c r="B454" s="54" t="n">
        <x:v>3</x:v>
      </x:c>
      <x:c r="C454" s="54" t="n">
        <x:v>10</x:v>
      </x:c>
      <x:c r="D454" s="54" t="n">
        <x:v>1</x:v>
      </x:c>
      <x:c r="E454" s="103" t="str">
        <x:v>Formula-derived from E and Poisson ratio; input records inherit the material-row source</x:v>
      </x:c>
      <x:c r="F454" s="103" t="str">
        <x:v>Source portal is identified, but edition/revision and property record locator remain unresolved.</x:v>
      </x:c>
    </x:row>
    <x:row r="455">
      <x:c r="A455" s="54" t="n">
        <x:v>2003</x:v>
      </x:c>
      <x:c r="B455" s="54" t="n">
        <x:v>4</x:v>
      </x:c>
      <x:c r="C455" s="54" t="n">
        <x:v>10</x:v>
      </x:c>
      <x:c r="D455" s="54" t="n">
        <x:v>1</x:v>
      </x:c>
      <x:c r="E455" s="103" t="str">
        <x:v>Material-row source portal</x:v>
      </x:c>
      <x:c r="F455" s="103" t="str">
        <x:v>Source portal is identified, but edition/revision and property record locator remain unresolved.</x:v>
      </x:c>
    </x:row>
    <x:row r="456">
      <x:c r="A456" s="54" t="n">
        <x:v>2003</x:v>
      </x:c>
      <x:c r="B456" s="54" t="n">
        <x:v>5</x:v>
      </x:c>
      <x:c r="C456" s="54" t="n">
        <x:v>10</x:v>
      </x:c>
      <x:c r="D456" s="54" t="n">
        <x:v>1</x:v>
      </x:c>
      <x:c r="E456" s="103" t="str">
        <x:v>Material-row source portal</x:v>
      </x:c>
      <x:c r="F456" s="103" t="str">
        <x:v>Source portal is identified, but edition/revision and property record locator remain unresolved.</x:v>
      </x:c>
    </x:row>
    <x:row r="457">
      <x:c r="A457" s="54" t="n">
        <x:v>2003</x:v>
      </x:c>
      <x:c r="B457" s="54" t="n">
        <x:v>6</x:v>
      </x:c>
      <x:c r="C457" s="54" t="n">
        <x:v>10</x:v>
      </x:c>
      <x:c r="D457" s="54" t="n">
        <x:v>1</x:v>
      </x:c>
      <x:c r="E457" s="103" t="str">
        <x:v>Material-row source portal</x:v>
      </x:c>
      <x:c r="F457" s="103" t="str">
        <x:v>Source portal is identified, but edition/revision and property record locator remain unresolved.</x:v>
      </x:c>
    </x:row>
    <x:row r="458">
      <x:c r="A458" s="54" t="n">
        <x:v>2003</x:v>
      </x:c>
      <x:c r="B458" s="54" t="n">
        <x:v>9</x:v>
      </x:c>
      <x:c r="C458" s="54" t="n">
        <x:v>10</x:v>
      </x:c>
      <x:c r="D458" s="54" t="n">
        <x:v>1</x:v>
      </x:c>
      <x:c r="E458" s="103" t="str">
        <x:v>Material-row source portal</x:v>
      </x:c>
      <x:c r="F458" s="103" t="str">
        <x:v>Source portal is identified, but edition/revision and property record locator remain unresolved.</x:v>
      </x:c>
    </x:row>
    <x:row r="459">
      <x:c r="A459" s="54" t="n">
        <x:v>2003</x:v>
      </x:c>
      <x:c r="B459" s="54" t="n">
        <x:v>10</x:v>
      </x:c>
      <x:c r="C459" s="54" t="n">
        <x:v>10</x:v>
      </x:c>
      <x:c r="D459" s="54" t="n">
        <x:v>1</x:v>
      </x:c>
      <x:c r="E459" s="103" t="str">
        <x:v>Material-row source portal</x:v>
      </x:c>
      <x:c r="F459" s="103" t="str">
        <x:v>Source portal is identified, but edition/revision and property record locator remain unresolved.</x:v>
      </x:c>
    </x:row>
    <x:row r="460">
      <x:c r="A460" s="54" t="n">
        <x:v>2003</x:v>
      </x:c>
      <x:c r="B460" s="54" t="n">
        <x:v>11</x:v>
      </x:c>
      <x:c r="C460" s="54" t="n">
        <x:v>10</x:v>
      </x:c>
      <x:c r="D460" s="54" t="n">
        <x:v>1</x:v>
      </x:c>
      <x:c r="E460" s="103" t="str">
        <x:v>Material-row source portal</x:v>
      </x:c>
      <x:c r="F460" s="103" t="str">
        <x:v>Source portal is identified, but edition/revision and property record locator remain unresolved.</x:v>
      </x:c>
    </x:row>
    <x:row r="461">
      <x:c r="A461" s="54" t="n">
        <x:v>2003</x:v>
      </x:c>
      <x:c r="B461" s="54" t="n">
        <x:v>12</x:v>
      </x:c>
      <x:c r="C461" s="54" t="n">
        <x:v>10</x:v>
      </x:c>
      <x:c r="D461" s="54" t="n">
        <x:v>1</x:v>
      </x:c>
      <x:c r="E461" s="103" t="str">
        <x:v>Material-row source portal</x:v>
      </x:c>
      <x:c r="F461" s="103" t="str">
        <x:v>Source portal is identified, but edition/revision and property record locator remain unresolved.</x:v>
      </x:c>
    </x:row>
    <x:row r="462">
      <x:c r="A462" s="54" t="n">
        <x:v>2003</x:v>
      </x:c>
      <x:c r="B462" s="54" t="n">
        <x:v>13</x:v>
      </x:c>
      <x:c r="C462" s="54" t="n">
        <x:v>10</x:v>
      </x:c>
      <x:c r="D462" s="54" t="n">
        <x:v>1</x:v>
      </x:c>
      <x:c r="E462" s="103" t="str">
        <x:v>Material-row source portal</x:v>
      </x:c>
      <x:c r="F462" s="103" t="str">
        <x:v>Source portal is identified, but edition/revision and property record locator remain unresolved.</x:v>
      </x:c>
    </x:row>
    <x:row r="463">
      <x:c r="A463" s="54" t="n">
        <x:v>2003</x:v>
      </x:c>
      <x:c r="B463" s="54" t="n">
        <x:v>14</x:v>
      </x:c>
      <x:c r="C463" s="54" t="n">
        <x:v>10</x:v>
      </x:c>
      <x:c r="D463" s="54" t="n">
        <x:v>1</x:v>
      </x:c>
      <x:c r="E463" s="103" t="str">
        <x:v>Material-row source portal</x:v>
      </x:c>
      <x:c r="F463" s="103" t="str">
        <x:v>Source portal is identified, but edition/revision and property record locator remain unresolved.</x:v>
      </x:c>
    </x:row>
    <x:row r="464">
      <x:c r="A464" s="54" t="n">
        <x:v>2003</x:v>
      </x:c>
      <x:c r="B464" s="54" t="n">
        <x:v>15</x:v>
      </x:c>
      <x:c r="C464" s="54" t="n">
        <x:v>10</x:v>
      </x:c>
      <x:c r="D464" s="54" t="n">
        <x:v>1</x:v>
      </x:c>
      <x:c r="E464" s="103" t="str">
        <x:v>Material-row source portal</x:v>
      </x:c>
      <x:c r="F464" s="103" t="str">
        <x:v>Source portal is identified, but edition/revision and property record locator remain unresolved.</x:v>
      </x:c>
    </x:row>
    <x:row r="465">
      <x:c r="A465" s="54" t="n">
        <x:v>2003</x:v>
      </x:c>
      <x:c r="B465" s="54" t="n">
        <x:v>16</x:v>
      </x:c>
      <x:c r="C465" s="54" t="n">
        <x:v>10</x:v>
      </x:c>
      <x:c r="D465" s="54" t="n">
        <x:v>1</x:v>
      </x:c>
      <x:c r="E465" s="103" t="str">
        <x:v>Material-row source portal</x:v>
      </x:c>
      <x:c r="F465" s="103" t="str">
        <x:v>Source portal is identified, but edition/revision and property record locator remain unresolved.</x:v>
      </x:c>
    </x:row>
    <x:row r="466">
      <x:c r="A466" s="54" t="n">
        <x:v>2003</x:v>
      </x:c>
      <x:c r="B466" s="54" t="n">
        <x:v>17</x:v>
      </x:c>
      <x:c r="C466" s="54" t="n">
        <x:v>10</x:v>
      </x:c>
      <x:c r="D466" s="54" t="n">
        <x:v>1</x:v>
      </x:c>
      <x:c r="E466" s="103" t="str">
        <x:v>Material-row source portal</x:v>
      </x:c>
      <x:c r="F466" s="103" t="str">
        <x:v>Source portal is identified, but edition/revision and property record locator remain unresolved.</x:v>
      </x:c>
    </x:row>
    <x:row r="467">
      <x:c r="A467" s="54" t="n">
        <x:v>2003</x:v>
      </x:c>
      <x:c r="B467" s="54" t="n">
        <x:v>18</x:v>
      </x:c>
      <x:c r="C467" s="54" t="n">
        <x:v>10</x:v>
      </x:c>
      <x:c r="D467" s="54" t="n">
        <x:v>1</x:v>
      </x:c>
      <x:c r="E467" s="103" t="str">
        <x:v>Formula-derived from E and Poisson ratio; input records inherit the material-row source</x:v>
      </x:c>
      <x:c r="F467" s="103" t="str">
        <x:v>Source portal is identified, but edition/revision and property record locator remain unresolved.</x:v>
      </x:c>
    </x:row>
    <x:row r="468">
      <x:c r="A468" s="54" t="n">
        <x:v>2004</x:v>
      </x:c>
      <x:c r="B468" s="54" t="n">
        <x:v>1</x:v>
      </x:c>
      <x:c r="C468" s="54" t="n">
        <x:v>10</x:v>
      </x:c>
      <x:c r="D468" s="54" t="n">
        <x:v>1</x:v>
      </x:c>
      <x:c r="E468" s="103" t="str">
        <x:v>Material-row source portal</x:v>
      </x:c>
      <x:c r="F468" s="103" t="str">
        <x:v>Source portal is identified, but edition/revision and property record locator remain unresolved.</x:v>
      </x:c>
    </x:row>
    <x:row r="469">
      <x:c r="A469" s="54" t="n">
        <x:v>2004</x:v>
      </x:c>
      <x:c r="B469" s="54" t="n">
        <x:v>2</x:v>
      </x:c>
      <x:c r="C469" s="54" t="n">
        <x:v>10</x:v>
      </x:c>
      <x:c r="D469" s="54" t="n">
        <x:v>1</x:v>
      </x:c>
      <x:c r="E469" s="103" t="str">
        <x:v>Material-row source portal</x:v>
      </x:c>
      <x:c r="F469" s="103" t="str">
        <x:v>Source portal is identified, but edition/revision and property record locator remain unresolved.</x:v>
      </x:c>
    </x:row>
    <x:row r="470">
      <x:c r="A470" s="54" t="n">
        <x:v>2004</x:v>
      </x:c>
      <x:c r="B470" s="54" t="n">
        <x:v>3</x:v>
      </x:c>
      <x:c r="C470" s="54" t="n">
        <x:v>10</x:v>
      </x:c>
      <x:c r="D470" s="54" t="n">
        <x:v>1</x:v>
      </x:c>
      <x:c r="E470" s="103" t="str">
        <x:v>Formula-derived from E and Poisson ratio; input records inherit the material-row source</x:v>
      </x:c>
      <x:c r="F470" s="103" t="str">
        <x:v>Source portal is identified, but edition/revision and property record locator remain unresolved.</x:v>
      </x:c>
    </x:row>
    <x:row r="471">
      <x:c r="A471" s="54" t="n">
        <x:v>2004</x:v>
      </x:c>
      <x:c r="B471" s="54" t="n">
        <x:v>4</x:v>
      </x:c>
      <x:c r="C471" s="54" t="n">
        <x:v>10</x:v>
      </x:c>
      <x:c r="D471" s="54" t="n">
        <x:v>1</x:v>
      </x:c>
      <x:c r="E471" s="103" t="str">
        <x:v>Material-row source portal</x:v>
      </x:c>
      <x:c r="F471" s="103" t="str">
        <x:v>Source portal is identified, but edition/revision and property record locator remain unresolved.</x:v>
      </x:c>
    </x:row>
    <x:row r="472">
      <x:c r="A472" s="54" t="n">
        <x:v>2004</x:v>
      </x:c>
      <x:c r="B472" s="54" t="n">
        <x:v>5</x:v>
      </x:c>
      <x:c r="C472" s="54" t="n">
        <x:v>10</x:v>
      </x:c>
      <x:c r="D472" s="54" t="n">
        <x:v>1</x:v>
      </x:c>
      <x:c r="E472" s="103" t="str">
        <x:v>Material-row source portal</x:v>
      </x:c>
      <x:c r="F472" s="103" t="str">
        <x:v>Source portal is identified, but edition/revision and property record locator remain unresolved.</x:v>
      </x:c>
    </x:row>
    <x:row r="473">
      <x:c r="A473" s="54" t="n">
        <x:v>2004</x:v>
      </x:c>
      <x:c r="B473" s="54" t="n">
        <x:v>6</x:v>
      </x:c>
      <x:c r="C473" s="54" t="n">
        <x:v>10</x:v>
      </x:c>
      <x:c r="D473" s="54" t="n">
        <x:v>1</x:v>
      </x:c>
      <x:c r="E473" s="103" t="str">
        <x:v>Material-row source portal</x:v>
      </x:c>
      <x:c r="F473" s="103" t="str">
        <x:v>Source portal is identified, but edition/revision and property record locator remain unresolved.</x:v>
      </x:c>
    </x:row>
    <x:row r="474">
      <x:c r="A474" s="54" t="n">
        <x:v>2004</x:v>
      </x:c>
      <x:c r="B474" s="54" t="n">
        <x:v>9</x:v>
      </x:c>
      <x:c r="C474" s="54" t="n">
        <x:v>10</x:v>
      </x:c>
      <x:c r="D474" s="54" t="n">
        <x:v>1</x:v>
      </x:c>
      <x:c r="E474" s="103" t="str">
        <x:v>Material-row source portal</x:v>
      </x:c>
      <x:c r="F474" s="103" t="str">
        <x:v>Source portal is identified, but edition/revision and property record locator remain unresolved.</x:v>
      </x:c>
    </x:row>
    <x:row r="475">
      <x:c r="A475" s="54" t="n">
        <x:v>2004</x:v>
      </x:c>
      <x:c r="B475" s="54" t="n">
        <x:v>10</x:v>
      </x:c>
      <x:c r="C475" s="54" t="n">
        <x:v>10</x:v>
      </x:c>
      <x:c r="D475" s="54" t="n">
        <x:v>1</x:v>
      </x:c>
      <x:c r="E475" s="103" t="str">
        <x:v>Material-row source portal</x:v>
      </x:c>
      <x:c r="F475" s="103" t="str">
        <x:v>Source portal is identified, but edition/revision and property record locator remain unresolved.</x:v>
      </x:c>
    </x:row>
    <x:row r="476">
      <x:c r="A476" s="54" t="n">
        <x:v>2004</x:v>
      </x:c>
      <x:c r="B476" s="54" t="n">
        <x:v>11</x:v>
      </x:c>
      <x:c r="C476" s="54" t="n">
        <x:v>10</x:v>
      </x:c>
      <x:c r="D476" s="54" t="n">
        <x:v>1</x:v>
      </x:c>
      <x:c r="E476" s="103" t="str">
        <x:v>Material-row source portal</x:v>
      </x:c>
      <x:c r="F476" s="103" t="str">
        <x:v>Source portal is identified, but edition/revision and property record locator remain unresolved.</x:v>
      </x:c>
    </x:row>
    <x:row r="477">
      <x:c r="A477" s="54" t="n">
        <x:v>2004</x:v>
      </x:c>
      <x:c r="B477" s="54" t="n">
        <x:v>12</x:v>
      </x:c>
      <x:c r="C477" s="54" t="n">
        <x:v>10</x:v>
      </x:c>
      <x:c r="D477" s="54" t="n">
        <x:v>1</x:v>
      </x:c>
      <x:c r="E477" s="103" t="str">
        <x:v>Material-row source portal</x:v>
      </x:c>
      <x:c r="F477" s="103" t="str">
        <x:v>Source portal is identified, but edition/revision and property record locator remain unresolved.</x:v>
      </x:c>
    </x:row>
    <x:row r="478">
      <x:c r="A478" s="54" t="n">
        <x:v>2004</x:v>
      </x:c>
      <x:c r="B478" s="54" t="n">
        <x:v>13</x:v>
      </x:c>
      <x:c r="C478" s="54" t="n">
        <x:v>10</x:v>
      </x:c>
      <x:c r="D478" s="54" t="n">
        <x:v>1</x:v>
      </x:c>
      <x:c r="E478" s="103" t="str">
        <x:v>Material-row source portal</x:v>
      </x:c>
      <x:c r="F478" s="103" t="str">
        <x:v>Source portal is identified, but edition/revision and property record locator remain unresolved.</x:v>
      </x:c>
    </x:row>
    <x:row r="479">
      <x:c r="A479" s="54" t="n">
        <x:v>2004</x:v>
      </x:c>
      <x:c r="B479" s="54" t="n">
        <x:v>14</x:v>
      </x:c>
      <x:c r="C479" s="54" t="n">
        <x:v>10</x:v>
      </x:c>
      <x:c r="D479" s="54" t="n">
        <x:v>1</x:v>
      </x:c>
      <x:c r="E479" s="103" t="str">
        <x:v>Material-row source portal</x:v>
      </x:c>
      <x:c r="F479" s="103" t="str">
        <x:v>Source portal is identified, but edition/revision and property record locator remain unresolved.</x:v>
      </x:c>
    </x:row>
    <x:row r="480">
      <x:c r="A480" s="54" t="n">
        <x:v>2004</x:v>
      </x:c>
      <x:c r="B480" s="54" t="n">
        <x:v>15</x:v>
      </x:c>
      <x:c r="C480" s="54" t="n">
        <x:v>10</x:v>
      </x:c>
      <x:c r="D480" s="54" t="n">
        <x:v>1</x:v>
      </x:c>
      <x:c r="E480" s="103" t="str">
        <x:v>Material-row source portal</x:v>
      </x:c>
      <x:c r="F480" s="103" t="str">
        <x:v>Source portal is identified, but edition/revision and property record locator remain unresolved.</x:v>
      </x:c>
    </x:row>
    <x:row r="481">
      <x:c r="A481" s="54" t="n">
        <x:v>2004</x:v>
      </x:c>
      <x:c r="B481" s="54" t="n">
        <x:v>16</x:v>
      </x:c>
      <x:c r="C481" s="54" t="n">
        <x:v>10</x:v>
      </x:c>
      <x:c r="D481" s="54" t="n">
        <x:v>1</x:v>
      </x:c>
      <x:c r="E481" s="103" t="str">
        <x:v>Material-row source portal</x:v>
      </x:c>
      <x:c r="F481" s="103" t="str">
        <x:v>Source portal is identified, but edition/revision and property record locator remain unresolved.</x:v>
      </x:c>
    </x:row>
    <x:row r="482">
      <x:c r="A482" s="54" t="n">
        <x:v>2004</x:v>
      </x:c>
      <x:c r="B482" s="54" t="n">
        <x:v>17</x:v>
      </x:c>
      <x:c r="C482" s="54" t="n">
        <x:v>10</x:v>
      </x:c>
      <x:c r="D482" s="54" t="n">
        <x:v>1</x:v>
      </x:c>
      <x:c r="E482" s="103" t="str">
        <x:v>Material-row source portal</x:v>
      </x:c>
      <x:c r="F482" s="103" t="str">
        <x:v>Source portal is identified, but edition/revision and property record locator remain unresolved.</x:v>
      </x:c>
    </x:row>
    <x:row r="483">
      <x:c r="A483" s="54" t="n">
        <x:v>2004</x:v>
      </x:c>
      <x:c r="B483" s="54" t="n">
        <x:v>18</x:v>
      </x:c>
      <x:c r="C483" s="54" t="n">
        <x:v>10</x:v>
      </x:c>
      <x:c r="D483" s="54" t="n">
        <x:v>1</x:v>
      </x:c>
      <x:c r="E483" s="103" t="str">
        <x:v>Formula-derived from E and Poisson ratio; input records inherit the material-row source</x:v>
      </x:c>
      <x:c r="F483" s="103" t="str">
        <x:v>Source portal is identified, but edition/revision and property record locator remain unresolved.</x:v>
      </x:c>
    </x:row>
    <x:row r="484">
      <x:c r="A484" s="54" t="n">
        <x:v>2005</x:v>
      </x:c>
      <x:c r="B484" s="54" t="n">
        <x:v>1</x:v>
      </x:c>
      <x:c r="C484" s="54" t="n">
        <x:v>10</x:v>
      </x:c>
      <x:c r="D484" s="54" t="n">
        <x:v>1</x:v>
      </x:c>
      <x:c r="E484" s="103" t="str">
        <x:v>Material-row source portal</x:v>
      </x:c>
      <x:c r="F484" s="103" t="str">
        <x:v>Source portal is identified, but edition/revision and property record locator remain unresolved.</x:v>
      </x:c>
    </x:row>
    <x:row r="485">
      <x:c r="A485" s="54" t="n">
        <x:v>2005</x:v>
      </x:c>
      <x:c r="B485" s="54" t="n">
        <x:v>2</x:v>
      </x:c>
      <x:c r="C485" s="54" t="n">
        <x:v>10</x:v>
      </x:c>
      <x:c r="D485" s="54" t="n">
        <x:v>1</x:v>
      </x:c>
      <x:c r="E485" s="103" t="str">
        <x:v>Material-row source portal</x:v>
      </x:c>
      <x:c r="F485" s="103" t="str">
        <x:v>Source portal is identified, but edition/revision and property record locator remain unresolved.</x:v>
      </x:c>
    </x:row>
    <x:row r="486">
      <x:c r="A486" s="54" t="n">
        <x:v>2005</x:v>
      </x:c>
      <x:c r="B486" s="54" t="n">
        <x:v>3</x:v>
      </x:c>
      <x:c r="C486" s="54" t="n">
        <x:v>10</x:v>
      </x:c>
      <x:c r="D486" s="54" t="n">
        <x:v>1</x:v>
      </x:c>
      <x:c r="E486" s="103" t="str">
        <x:v>Formula-derived from E and Poisson ratio; input records inherit the material-row source</x:v>
      </x:c>
      <x:c r="F486" s="103" t="str">
        <x:v>Source portal is identified, but edition/revision and property record locator remain unresolved.</x:v>
      </x:c>
    </x:row>
    <x:row r="487">
      <x:c r="A487" s="54" t="n">
        <x:v>2005</x:v>
      </x:c>
      <x:c r="B487" s="54" t="n">
        <x:v>4</x:v>
      </x:c>
      <x:c r="C487" s="54" t="n">
        <x:v>10</x:v>
      </x:c>
      <x:c r="D487" s="54" t="n">
        <x:v>1</x:v>
      </x:c>
      <x:c r="E487" s="103" t="str">
        <x:v>Material-row source portal</x:v>
      </x:c>
      <x:c r="F487" s="103" t="str">
        <x:v>Source portal is identified, but edition/revision and property record locator remain unresolved.</x:v>
      </x:c>
    </x:row>
    <x:row r="488">
      <x:c r="A488" s="54" t="n">
        <x:v>2005</x:v>
      </x:c>
      <x:c r="B488" s="54" t="n">
        <x:v>5</x:v>
      </x:c>
      <x:c r="C488" s="54" t="n">
        <x:v>10</x:v>
      </x:c>
      <x:c r="D488" s="54" t="n">
        <x:v>1</x:v>
      </x:c>
      <x:c r="E488" s="103" t="str">
        <x:v>Material-row source portal</x:v>
      </x:c>
      <x:c r="F488" s="103" t="str">
        <x:v>Source portal is identified, but edition/revision and property record locator remain unresolved.</x:v>
      </x:c>
    </x:row>
    <x:row r="489">
      <x:c r="A489" s="54" t="n">
        <x:v>2005</x:v>
      </x:c>
      <x:c r="B489" s="54" t="n">
        <x:v>6</x:v>
      </x:c>
      <x:c r="C489" s="54" t="n">
        <x:v>10</x:v>
      </x:c>
      <x:c r="D489" s="54" t="n">
        <x:v>1</x:v>
      </x:c>
      <x:c r="E489" s="103" t="str">
        <x:v>Material-row source portal</x:v>
      </x:c>
      <x:c r="F489" s="103" t="str">
        <x:v>Source portal is identified, but edition/revision and property record locator remain unresolved.</x:v>
      </x:c>
    </x:row>
    <x:row r="490">
      <x:c r="A490" s="54" t="n">
        <x:v>2005</x:v>
      </x:c>
      <x:c r="B490" s="54" t="n">
        <x:v>9</x:v>
      </x:c>
      <x:c r="C490" s="54" t="n">
        <x:v>10</x:v>
      </x:c>
      <x:c r="D490" s="54" t="n">
        <x:v>1</x:v>
      </x:c>
      <x:c r="E490" s="103" t="str">
        <x:v>Material-row source portal</x:v>
      </x:c>
      <x:c r="F490" s="103" t="str">
        <x:v>Source portal is identified, but edition/revision and property record locator remain unresolved.</x:v>
      </x:c>
    </x:row>
    <x:row r="491">
      <x:c r="A491" s="54" t="n">
        <x:v>2005</x:v>
      </x:c>
      <x:c r="B491" s="54" t="n">
        <x:v>10</x:v>
      </x:c>
      <x:c r="C491" s="54" t="n">
        <x:v>10</x:v>
      </x:c>
      <x:c r="D491" s="54" t="n">
        <x:v>1</x:v>
      </x:c>
      <x:c r="E491" s="103" t="str">
        <x:v>Material-row source portal</x:v>
      </x:c>
      <x:c r="F491" s="103" t="str">
        <x:v>Source portal is identified, but edition/revision and property record locator remain unresolved.</x:v>
      </x:c>
    </x:row>
    <x:row r="492">
      <x:c r="A492" s="54" t="n">
        <x:v>2005</x:v>
      </x:c>
      <x:c r="B492" s="54" t="n">
        <x:v>11</x:v>
      </x:c>
      <x:c r="C492" s="54" t="n">
        <x:v>10</x:v>
      </x:c>
      <x:c r="D492" s="54" t="n">
        <x:v>1</x:v>
      </x:c>
      <x:c r="E492" s="103" t="str">
        <x:v>Material-row source portal</x:v>
      </x:c>
      <x:c r="F492" s="103" t="str">
        <x:v>Source portal is identified, but edition/revision and property record locator remain unresolved.</x:v>
      </x:c>
    </x:row>
    <x:row r="493">
      <x:c r="A493" s="54" t="n">
        <x:v>2005</x:v>
      </x:c>
      <x:c r="B493" s="54" t="n">
        <x:v>12</x:v>
      </x:c>
      <x:c r="C493" s="54" t="n">
        <x:v>10</x:v>
      </x:c>
      <x:c r="D493" s="54" t="n">
        <x:v>1</x:v>
      </x:c>
      <x:c r="E493" s="103" t="str">
        <x:v>Material-row source portal</x:v>
      </x:c>
      <x:c r="F493" s="103" t="str">
        <x:v>Source portal is identified, but edition/revision and property record locator remain unresolved.</x:v>
      </x:c>
    </x:row>
    <x:row r="494">
      <x:c r="A494" s="54" t="n">
        <x:v>2005</x:v>
      </x:c>
      <x:c r="B494" s="54" t="n">
        <x:v>13</x:v>
      </x:c>
      <x:c r="C494" s="54" t="n">
        <x:v>10</x:v>
      </x:c>
      <x:c r="D494" s="54" t="n">
        <x:v>1</x:v>
      </x:c>
      <x:c r="E494" s="103" t="str">
        <x:v>Material-row source portal</x:v>
      </x:c>
      <x:c r="F494" s="103" t="str">
        <x:v>Source portal is identified, but edition/revision and property record locator remain unresolved.</x:v>
      </x:c>
    </x:row>
    <x:row r="495">
      <x:c r="A495" s="54" t="n">
        <x:v>2005</x:v>
      </x:c>
      <x:c r="B495" s="54" t="n">
        <x:v>14</x:v>
      </x:c>
      <x:c r="C495" s="54" t="n">
        <x:v>10</x:v>
      </x:c>
      <x:c r="D495" s="54" t="n">
        <x:v>1</x:v>
      </x:c>
      <x:c r="E495" s="103" t="str">
        <x:v>Material-row source portal</x:v>
      </x:c>
      <x:c r="F495" s="103" t="str">
        <x:v>Source portal is identified, but edition/revision and property record locator remain unresolved.</x:v>
      </x:c>
    </x:row>
    <x:row r="496">
      <x:c r="A496" s="54" t="n">
        <x:v>2005</x:v>
      </x:c>
      <x:c r="B496" s="54" t="n">
        <x:v>15</x:v>
      </x:c>
      <x:c r="C496" s="54" t="n">
        <x:v>10</x:v>
      </x:c>
      <x:c r="D496" s="54" t="n">
        <x:v>1</x:v>
      </x:c>
      <x:c r="E496" s="103" t="str">
        <x:v>Material-row source portal</x:v>
      </x:c>
      <x:c r="F496" s="103" t="str">
        <x:v>Source portal is identified, but edition/revision and property record locator remain unresolved.</x:v>
      </x:c>
    </x:row>
    <x:row r="497">
      <x:c r="A497" s="54" t="n">
        <x:v>2005</x:v>
      </x:c>
      <x:c r="B497" s="54" t="n">
        <x:v>16</x:v>
      </x:c>
      <x:c r="C497" s="54" t="n">
        <x:v>10</x:v>
      </x:c>
      <x:c r="D497" s="54" t="n">
        <x:v>1</x:v>
      </x:c>
      <x:c r="E497" s="103" t="str">
        <x:v>Material-row source portal</x:v>
      </x:c>
      <x:c r="F497" s="103" t="str">
        <x:v>Source portal is identified, but edition/revision and property record locator remain unresolved.</x:v>
      </x:c>
    </x:row>
    <x:row r="498">
      <x:c r="A498" s="54" t="n">
        <x:v>2005</x:v>
      </x:c>
      <x:c r="B498" s="54" t="n">
        <x:v>17</x:v>
      </x:c>
      <x:c r="C498" s="54" t="n">
        <x:v>10</x:v>
      </x:c>
      <x:c r="D498" s="54" t="n">
        <x:v>1</x:v>
      </x:c>
      <x:c r="E498" s="103" t="str">
        <x:v>Material-row source portal</x:v>
      </x:c>
      <x:c r="F498" s="103" t="str">
        <x:v>Source portal is identified, but edition/revision and property record locator remain unresolved.</x:v>
      </x:c>
    </x:row>
    <x:row r="499">
      <x:c r="A499" s="54" t="n">
        <x:v>2005</x:v>
      </x:c>
      <x:c r="B499" s="54" t="n">
        <x:v>18</x:v>
      </x:c>
      <x:c r="C499" s="54" t="n">
        <x:v>10</x:v>
      </x:c>
      <x:c r="D499" s="54" t="n">
        <x:v>1</x:v>
      </x:c>
      <x:c r="E499" s="103" t="str">
        <x:v>Formula-derived from E and Poisson ratio; input records inherit the material-row source</x:v>
      </x:c>
      <x:c r="F499" s="103" t="str">
        <x:v>Source portal is identified, but edition/revision and property record locator remain unresolved.</x:v>
      </x:c>
    </x:row>
    <x:row r="500">
      <x:c r="A500" s="54" t="n">
        <x:v>2006</x:v>
      </x:c>
      <x:c r="B500" s="54" t="n">
        <x:v>1</x:v>
      </x:c>
      <x:c r="C500" s="54" t="n">
        <x:v>10</x:v>
      </x:c>
      <x:c r="D500" s="54" t="n">
        <x:v>1</x:v>
      </x:c>
      <x:c r="E500" s="103" t="str">
        <x:v>Material-row source portal</x:v>
      </x:c>
      <x:c r="F500" s="103" t="str">
        <x:v>Source portal is identified, but edition/revision and property record locator remain unresolved.</x:v>
      </x:c>
    </x:row>
    <x:row r="501">
      <x:c r="A501" s="54" t="n">
        <x:v>2006</x:v>
      </x:c>
      <x:c r="B501" s="54" t="n">
        <x:v>2</x:v>
      </x:c>
      <x:c r="C501" s="54" t="n">
        <x:v>10</x:v>
      </x:c>
      <x:c r="D501" s="54" t="n">
        <x:v>1</x:v>
      </x:c>
      <x:c r="E501" s="103" t="str">
        <x:v>Material-row source portal</x:v>
      </x:c>
      <x:c r="F501" s="103" t="str">
        <x:v>Source portal is identified, but edition/revision and property record locator remain unresolved.</x:v>
      </x:c>
    </x:row>
    <x:row r="502">
      <x:c r="A502" s="54" t="n">
        <x:v>2006</x:v>
      </x:c>
      <x:c r="B502" s="54" t="n">
        <x:v>3</x:v>
      </x:c>
      <x:c r="C502" s="54" t="n">
        <x:v>10</x:v>
      </x:c>
      <x:c r="D502" s="54" t="n">
        <x:v>1</x:v>
      </x:c>
      <x:c r="E502" s="103" t="str">
        <x:v>Formula-derived from E and Poisson ratio; input records inherit the material-row source</x:v>
      </x:c>
      <x:c r="F502" s="103" t="str">
        <x:v>Source portal is identified, but edition/revision and property record locator remain unresolved.</x:v>
      </x:c>
    </x:row>
    <x:row r="503">
      <x:c r="A503" s="54" t="n">
        <x:v>2006</x:v>
      </x:c>
      <x:c r="B503" s="54" t="n">
        <x:v>4</x:v>
      </x:c>
      <x:c r="C503" s="54" t="n">
        <x:v>10</x:v>
      </x:c>
      <x:c r="D503" s="54" t="n">
        <x:v>1</x:v>
      </x:c>
      <x:c r="E503" s="103" t="str">
        <x:v>Material-row source portal</x:v>
      </x:c>
      <x:c r="F503" s="103" t="str">
        <x:v>Source portal is identified, but edition/revision and property record locator remain unresolved.</x:v>
      </x:c>
    </x:row>
    <x:row r="504">
      <x:c r="A504" s="54" t="n">
        <x:v>2006</x:v>
      </x:c>
      <x:c r="B504" s="54" t="n">
        <x:v>5</x:v>
      </x:c>
      <x:c r="C504" s="54" t="n">
        <x:v>10</x:v>
      </x:c>
      <x:c r="D504" s="54" t="n">
        <x:v>1</x:v>
      </x:c>
      <x:c r="E504" s="103" t="str">
        <x:v>Material-row source portal</x:v>
      </x:c>
      <x:c r="F504" s="103" t="str">
        <x:v>Source portal is identified, but edition/revision and property record locator remain unresolved.</x:v>
      </x:c>
    </x:row>
    <x:row r="505">
      <x:c r="A505" s="54" t="n">
        <x:v>2006</x:v>
      </x:c>
      <x:c r="B505" s="54" t="n">
        <x:v>6</x:v>
      </x:c>
      <x:c r="C505" s="54" t="n">
        <x:v>10</x:v>
      </x:c>
      <x:c r="D505" s="54" t="n">
        <x:v>1</x:v>
      </x:c>
      <x:c r="E505" s="103" t="str">
        <x:v>Material-row source portal</x:v>
      </x:c>
      <x:c r="F505" s="103" t="str">
        <x:v>Source portal is identified, but edition/revision and property record locator remain unresolved.</x:v>
      </x:c>
    </x:row>
    <x:row r="506">
      <x:c r="A506" s="54" t="n">
        <x:v>2006</x:v>
      </x:c>
      <x:c r="B506" s="54" t="n">
        <x:v>9</x:v>
      </x:c>
      <x:c r="C506" s="54" t="n">
        <x:v>10</x:v>
      </x:c>
      <x:c r="D506" s="54" t="n">
        <x:v>1</x:v>
      </x:c>
      <x:c r="E506" s="103" t="str">
        <x:v>Material-row source portal</x:v>
      </x:c>
      <x:c r="F506" s="103" t="str">
        <x:v>Source portal is identified, but edition/revision and property record locator remain unresolved.</x:v>
      </x:c>
    </x:row>
    <x:row r="507">
      <x:c r="A507" s="54" t="n">
        <x:v>2006</x:v>
      </x:c>
      <x:c r="B507" s="54" t="n">
        <x:v>10</x:v>
      </x:c>
      <x:c r="C507" s="54" t="n">
        <x:v>10</x:v>
      </x:c>
      <x:c r="D507" s="54" t="n">
        <x:v>1</x:v>
      </x:c>
      <x:c r="E507" s="103" t="str">
        <x:v>Material-row source portal</x:v>
      </x:c>
      <x:c r="F507" s="103" t="str">
        <x:v>Source portal is identified, but edition/revision and property record locator remain unresolved.</x:v>
      </x:c>
    </x:row>
    <x:row r="508">
      <x:c r="A508" s="54" t="n">
        <x:v>2006</x:v>
      </x:c>
      <x:c r="B508" s="54" t="n">
        <x:v>11</x:v>
      </x:c>
      <x:c r="C508" s="54" t="n">
        <x:v>10</x:v>
      </x:c>
      <x:c r="D508" s="54" t="n">
        <x:v>1</x:v>
      </x:c>
      <x:c r="E508" s="103" t="str">
        <x:v>Material-row source portal</x:v>
      </x:c>
      <x:c r="F508" s="103" t="str">
        <x:v>Source portal is identified, but edition/revision and property record locator remain unresolved.</x:v>
      </x:c>
    </x:row>
    <x:row r="509">
      <x:c r="A509" s="54" t="n">
        <x:v>2006</x:v>
      </x:c>
      <x:c r="B509" s="54" t="n">
        <x:v>12</x:v>
      </x:c>
      <x:c r="C509" s="54" t="n">
        <x:v>10</x:v>
      </x:c>
      <x:c r="D509" s="54" t="n">
        <x:v>1</x:v>
      </x:c>
      <x:c r="E509" s="103" t="str">
        <x:v>Material-row source portal</x:v>
      </x:c>
      <x:c r="F509" s="103" t="str">
        <x:v>Source portal is identified, but edition/revision and property record locator remain unresolved.</x:v>
      </x:c>
    </x:row>
    <x:row r="510">
      <x:c r="A510" s="54" t="n">
        <x:v>2006</x:v>
      </x:c>
      <x:c r="B510" s="54" t="n">
        <x:v>13</x:v>
      </x:c>
      <x:c r="C510" s="54" t="n">
        <x:v>10</x:v>
      </x:c>
      <x:c r="D510" s="54" t="n">
        <x:v>1</x:v>
      </x:c>
      <x:c r="E510" s="103" t="str">
        <x:v>Material-row source portal</x:v>
      </x:c>
      <x:c r="F510" s="103" t="str">
        <x:v>Source portal is identified, but edition/revision and property record locator remain unresolved.</x:v>
      </x:c>
    </x:row>
    <x:row r="511">
      <x:c r="A511" s="54" t="n">
        <x:v>2006</x:v>
      </x:c>
      <x:c r="B511" s="54" t="n">
        <x:v>14</x:v>
      </x:c>
      <x:c r="C511" s="54" t="n">
        <x:v>10</x:v>
      </x:c>
      <x:c r="D511" s="54" t="n">
        <x:v>1</x:v>
      </x:c>
      <x:c r="E511" s="103" t="str">
        <x:v>Material-row source portal</x:v>
      </x:c>
      <x:c r="F511" s="103" t="str">
        <x:v>Source portal is identified, but edition/revision and property record locator remain unresolved.</x:v>
      </x:c>
    </x:row>
    <x:row r="512">
      <x:c r="A512" s="54" t="n">
        <x:v>2006</x:v>
      </x:c>
      <x:c r="B512" s="54" t="n">
        <x:v>15</x:v>
      </x:c>
      <x:c r="C512" s="54" t="n">
        <x:v>10</x:v>
      </x:c>
      <x:c r="D512" s="54" t="n">
        <x:v>1</x:v>
      </x:c>
      <x:c r="E512" s="103" t="str">
        <x:v>Material-row source portal</x:v>
      </x:c>
      <x:c r="F512" s="103" t="str">
        <x:v>Source portal is identified, but edition/revision and property record locator remain unresolved.</x:v>
      </x:c>
    </x:row>
    <x:row r="513">
      <x:c r="A513" s="54" t="n">
        <x:v>2006</x:v>
      </x:c>
      <x:c r="B513" s="54" t="n">
        <x:v>16</x:v>
      </x:c>
      <x:c r="C513" s="54" t="n">
        <x:v>10</x:v>
      </x:c>
      <x:c r="D513" s="54" t="n">
        <x:v>1</x:v>
      </x:c>
      <x:c r="E513" s="103" t="str">
        <x:v>Material-row source portal</x:v>
      </x:c>
      <x:c r="F513" s="103" t="str">
        <x:v>Source portal is identified, but edition/revision and property record locator remain unresolved.</x:v>
      </x:c>
    </x:row>
    <x:row r="514">
      <x:c r="A514" s="54" t="n">
        <x:v>2006</x:v>
      </x:c>
      <x:c r="B514" s="54" t="n">
        <x:v>17</x:v>
      </x:c>
      <x:c r="C514" s="54" t="n">
        <x:v>10</x:v>
      </x:c>
      <x:c r="D514" s="54" t="n">
        <x:v>1</x:v>
      </x:c>
      <x:c r="E514" s="103" t="str">
        <x:v>Material-row source portal</x:v>
      </x:c>
      <x:c r="F514" s="103" t="str">
        <x:v>Source portal is identified, but edition/revision and property record locator remain unresolved.</x:v>
      </x:c>
    </x:row>
    <x:row r="515">
      <x:c r="A515" s="54" t="n">
        <x:v>2006</x:v>
      </x:c>
      <x:c r="B515" s="54" t="n">
        <x:v>18</x:v>
      </x:c>
      <x:c r="C515" s="54" t="n">
        <x:v>10</x:v>
      </x:c>
      <x:c r="D515" s="54" t="n">
        <x:v>1</x:v>
      </x:c>
      <x:c r="E515" s="103" t="str">
        <x:v>Formula-derived from E and Poisson ratio; input records inherit the material-row source</x:v>
      </x:c>
      <x:c r="F515" s="103" t="str">
        <x:v>Source portal is identified, but edition/revision and property record locator remain unresolved.</x:v>
      </x:c>
    </x:row>
    <x:row r="516">
      <x:c r="A516" s="54" t="n">
        <x:v>2007</x:v>
      </x:c>
      <x:c r="B516" s="54" t="n">
        <x:v>1</x:v>
      </x:c>
      <x:c r="C516" s="54" t="n">
        <x:v>10</x:v>
      </x:c>
      <x:c r="D516" s="54" t="n">
        <x:v>1</x:v>
      </x:c>
      <x:c r="E516" s="103" t="str">
        <x:v>Material-row source portal</x:v>
      </x:c>
      <x:c r="F516" s="103" t="str">
        <x:v>Source portal is identified, but edition/revision and property record locator remain unresolved.</x:v>
      </x:c>
    </x:row>
    <x:row r="517">
      <x:c r="A517" s="54" t="n">
        <x:v>2007</x:v>
      </x:c>
      <x:c r="B517" s="54" t="n">
        <x:v>2</x:v>
      </x:c>
      <x:c r="C517" s="54" t="n">
        <x:v>10</x:v>
      </x:c>
      <x:c r="D517" s="54" t="n">
        <x:v>1</x:v>
      </x:c>
      <x:c r="E517" s="103" t="str">
        <x:v>Material-row source portal</x:v>
      </x:c>
      <x:c r="F517" s="103" t="str">
        <x:v>Source portal is identified, but edition/revision and property record locator remain unresolved.</x:v>
      </x:c>
    </x:row>
    <x:row r="518">
      <x:c r="A518" s="54" t="n">
        <x:v>2007</x:v>
      </x:c>
      <x:c r="B518" s="54" t="n">
        <x:v>3</x:v>
      </x:c>
      <x:c r="C518" s="54" t="n">
        <x:v>10</x:v>
      </x:c>
      <x:c r="D518" s="54" t="n">
        <x:v>1</x:v>
      </x:c>
      <x:c r="E518" s="103" t="str">
        <x:v>Formula-derived from E and Poisson ratio; input records inherit the material-row source</x:v>
      </x:c>
      <x:c r="F518" s="103" t="str">
        <x:v>Source portal is identified, but edition/revision and property record locator remain unresolved.</x:v>
      </x:c>
    </x:row>
    <x:row r="519">
      <x:c r="A519" s="54" t="n">
        <x:v>2007</x:v>
      </x:c>
      <x:c r="B519" s="54" t="n">
        <x:v>4</x:v>
      </x:c>
      <x:c r="C519" s="54" t="n">
        <x:v>10</x:v>
      </x:c>
      <x:c r="D519" s="54" t="n">
        <x:v>1</x:v>
      </x:c>
      <x:c r="E519" s="103" t="str">
        <x:v>Material-row source portal</x:v>
      </x:c>
      <x:c r="F519" s="103" t="str">
        <x:v>Source portal is identified, but edition/revision and property record locator remain unresolved.</x:v>
      </x:c>
    </x:row>
    <x:row r="520">
      <x:c r="A520" s="54" t="n">
        <x:v>2007</x:v>
      </x:c>
      <x:c r="B520" s="54" t="n">
        <x:v>5</x:v>
      </x:c>
      <x:c r="C520" s="54" t="n">
        <x:v>10</x:v>
      </x:c>
      <x:c r="D520" s="54" t="n">
        <x:v>1</x:v>
      </x:c>
      <x:c r="E520" s="103" t="str">
        <x:v>Material-row source portal</x:v>
      </x:c>
      <x:c r="F520" s="103" t="str">
        <x:v>Source portal is identified, but edition/revision and property record locator remain unresolved.</x:v>
      </x:c>
    </x:row>
    <x:row r="521">
      <x:c r="A521" s="54" t="n">
        <x:v>2007</x:v>
      </x:c>
      <x:c r="B521" s="54" t="n">
        <x:v>6</x:v>
      </x:c>
      <x:c r="C521" s="54" t="n">
        <x:v>10</x:v>
      </x:c>
      <x:c r="D521" s="54" t="n">
        <x:v>1</x:v>
      </x:c>
      <x:c r="E521" s="103" t="str">
        <x:v>Material-row source portal</x:v>
      </x:c>
      <x:c r="F521" s="103" t="str">
        <x:v>Source portal is identified, but edition/revision and property record locator remain unresolved.</x:v>
      </x:c>
    </x:row>
    <x:row r="522">
      <x:c r="A522" s="54" t="n">
        <x:v>2007</x:v>
      </x:c>
      <x:c r="B522" s="54" t="n">
        <x:v>9</x:v>
      </x:c>
      <x:c r="C522" s="54" t="n">
        <x:v>10</x:v>
      </x:c>
      <x:c r="D522" s="54" t="n">
        <x:v>1</x:v>
      </x:c>
      <x:c r="E522" s="103" t="str">
        <x:v>Material-row source portal</x:v>
      </x:c>
      <x:c r="F522" s="103" t="str">
        <x:v>Source portal is identified, but edition/revision and property record locator remain unresolved.</x:v>
      </x:c>
    </x:row>
    <x:row r="523">
      <x:c r="A523" s="54" t="n">
        <x:v>2007</x:v>
      </x:c>
      <x:c r="B523" s="54" t="n">
        <x:v>10</x:v>
      </x:c>
      <x:c r="C523" s="54" t="n">
        <x:v>10</x:v>
      </x:c>
      <x:c r="D523" s="54" t="n">
        <x:v>1</x:v>
      </x:c>
      <x:c r="E523" s="103" t="str">
        <x:v>Material-row source portal</x:v>
      </x:c>
      <x:c r="F523" s="103" t="str">
        <x:v>Source portal is identified, but edition/revision and property record locator remain unresolved.</x:v>
      </x:c>
    </x:row>
    <x:row r="524">
      <x:c r="A524" s="54" t="n">
        <x:v>2007</x:v>
      </x:c>
      <x:c r="B524" s="54" t="n">
        <x:v>11</x:v>
      </x:c>
      <x:c r="C524" s="54" t="n">
        <x:v>10</x:v>
      </x:c>
      <x:c r="D524" s="54" t="n">
        <x:v>1</x:v>
      </x:c>
      <x:c r="E524" s="103" t="str">
        <x:v>Material-row source portal</x:v>
      </x:c>
      <x:c r="F524" s="103" t="str">
        <x:v>Source portal is identified, but edition/revision and property record locator remain unresolved.</x:v>
      </x:c>
    </x:row>
    <x:row r="525">
      <x:c r="A525" s="54" t="n">
        <x:v>2007</x:v>
      </x:c>
      <x:c r="B525" s="54" t="n">
        <x:v>12</x:v>
      </x:c>
      <x:c r="C525" s="54" t="n">
        <x:v>10</x:v>
      </x:c>
      <x:c r="D525" s="54" t="n">
        <x:v>1</x:v>
      </x:c>
      <x:c r="E525" s="103" t="str">
        <x:v>Material-row source portal</x:v>
      </x:c>
      <x:c r="F525" s="103" t="str">
        <x:v>Source portal is identified, but edition/revision and property record locator remain unresolved.</x:v>
      </x:c>
    </x:row>
    <x:row r="526">
      <x:c r="A526" s="54" t="n">
        <x:v>2007</x:v>
      </x:c>
      <x:c r="B526" s="54" t="n">
        <x:v>13</x:v>
      </x:c>
      <x:c r="C526" s="54" t="n">
        <x:v>10</x:v>
      </x:c>
      <x:c r="D526" s="54" t="n">
        <x:v>1</x:v>
      </x:c>
      <x:c r="E526" s="103" t="str">
        <x:v>Material-row source portal</x:v>
      </x:c>
      <x:c r="F526" s="103" t="str">
        <x:v>Source portal is identified, but edition/revision and property record locator remain unresolved.</x:v>
      </x:c>
    </x:row>
    <x:row r="527">
      <x:c r="A527" s="54" t="n">
        <x:v>2007</x:v>
      </x:c>
      <x:c r="B527" s="54" t="n">
        <x:v>14</x:v>
      </x:c>
      <x:c r="C527" s="54" t="n">
        <x:v>10</x:v>
      </x:c>
      <x:c r="D527" s="54" t="n">
        <x:v>1</x:v>
      </x:c>
      <x:c r="E527" s="103" t="str">
        <x:v>Material-row source portal</x:v>
      </x:c>
      <x:c r="F527" s="103" t="str">
        <x:v>Source portal is identified, but edition/revision and property record locator remain unresolved.</x:v>
      </x:c>
    </x:row>
    <x:row r="528">
      <x:c r="A528" s="54" t="n">
        <x:v>2007</x:v>
      </x:c>
      <x:c r="B528" s="54" t="n">
        <x:v>15</x:v>
      </x:c>
      <x:c r="C528" s="54" t="n">
        <x:v>10</x:v>
      </x:c>
      <x:c r="D528" s="54" t="n">
        <x:v>1</x:v>
      </x:c>
      <x:c r="E528" s="103" t="str">
        <x:v>Material-row source portal</x:v>
      </x:c>
      <x:c r="F528" s="103" t="str">
        <x:v>Source portal is identified, but edition/revision and property record locator remain unresolved.</x:v>
      </x:c>
    </x:row>
    <x:row r="529">
      <x:c r="A529" s="54" t="n">
        <x:v>2007</x:v>
      </x:c>
      <x:c r="B529" s="54" t="n">
        <x:v>16</x:v>
      </x:c>
      <x:c r="C529" s="54" t="n">
        <x:v>10</x:v>
      </x:c>
      <x:c r="D529" s="54" t="n">
        <x:v>1</x:v>
      </x:c>
      <x:c r="E529" s="103" t="str">
        <x:v>Material-row source portal</x:v>
      </x:c>
      <x:c r="F529" s="103" t="str">
        <x:v>Source portal is identified, but edition/revision and property record locator remain unresolved.</x:v>
      </x:c>
    </x:row>
    <x:row r="530">
      <x:c r="A530" s="54" t="n">
        <x:v>2007</x:v>
      </x:c>
      <x:c r="B530" s="54" t="n">
        <x:v>17</x:v>
      </x:c>
      <x:c r="C530" s="54" t="n">
        <x:v>10</x:v>
      </x:c>
      <x:c r="D530" s="54" t="n">
        <x:v>1</x:v>
      </x:c>
      <x:c r="E530" s="103" t="str">
        <x:v>Material-row source portal</x:v>
      </x:c>
      <x:c r="F530" s="103" t="str">
        <x:v>Source portal is identified, but edition/revision and property record locator remain unresolved.</x:v>
      </x:c>
    </x:row>
    <x:row r="531">
      <x:c r="A531" s="54" t="n">
        <x:v>2007</x:v>
      </x:c>
      <x:c r="B531" s="54" t="n">
        <x:v>18</x:v>
      </x:c>
      <x:c r="C531" s="54" t="n">
        <x:v>10</x:v>
      </x:c>
      <x:c r="D531" s="54" t="n">
        <x:v>1</x:v>
      </x:c>
      <x:c r="E531" s="103" t="str">
        <x:v>Formula-derived from E and Poisson ratio; input records inherit the material-row source</x:v>
      </x:c>
      <x:c r="F531" s="103" t="str">
        <x:v>Source portal is identified, but edition/revision and property record locator remain unresolved.</x:v>
      </x:c>
    </x:row>
    <x:row r="532">
      <x:c r="A532" s="54" t="n">
        <x:v>2008</x:v>
      </x:c>
      <x:c r="B532" s="54" t="n">
        <x:v>1</x:v>
      </x:c>
      <x:c r="C532" s="54" t="n">
        <x:v>10</x:v>
      </x:c>
      <x:c r="D532" s="54" t="n">
        <x:v>1</x:v>
      </x:c>
      <x:c r="E532" s="103" t="str">
        <x:v>Material-row source portal</x:v>
      </x:c>
      <x:c r="F532" s="103" t="str">
        <x:v>Source portal is identified, but edition/revision and property record locator remain unresolved.</x:v>
      </x:c>
    </x:row>
    <x:row r="533">
      <x:c r="A533" s="54" t="n">
        <x:v>2008</x:v>
      </x:c>
      <x:c r="B533" s="54" t="n">
        <x:v>2</x:v>
      </x:c>
      <x:c r="C533" s="54" t="n">
        <x:v>10</x:v>
      </x:c>
      <x:c r="D533" s="54" t="n">
        <x:v>1</x:v>
      </x:c>
      <x:c r="E533" s="103" t="str">
        <x:v>Material-row source portal</x:v>
      </x:c>
      <x:c r="F533" s="103" t="str">
        <x:v>Source portal is identified, but edition/revision and property record locator remain unresolved.</x:v>
      </x:c>
    </x:row>
    <x:row r="534">
      <x:c r="A534" s="54" t="n">
        <x:v>2008</x:v>
      </x:c>
      <x:c r="B534" s="54" t="n">
        <x:v>3</x:v>
      </x:c>
      <x:c r="C534" s="54" t="n">
        <x:v>10</x:v>
      </x:c>
      <x:c r="D534" s="54" t="n">
        <x:v>1</x:v>
      </x:c>
      <x:c r="E534" s="103" t="str">
        <x:v>Formula-derived from E and Poisson ratio; input records inherit the material-row source</x:v>
      </x:c>
      <x:c r="F534" s="103" t="str">
        <x:v>Source portal is identified, but edition/revision and property record locator remain unresolved.</x:v>
      </x:c>
    </x:row>
    <x:row r="535">
      <x:c r="A535" s="54" t="n">
        <x:v>2008</x:v>
      </x:c>
      <x:c r="B535" s="54" t="n">
        <x:v>4</x:v>
      </x:c>
      <x:c r="C535" s="54" t="n">
        <x:v>10</x:v>
      </x:c>
      <x:c r="D535" s="54" t="n">
        <x:v>1</x:v>
      </x:c>
      <x:c r="E535" s="103" t="str">
        <x:v>Material-row source portal</x:v>
      </x:c>
      <x:c r="F535" s="103" t="str">
        <x:v>Source portal is identified, but edition/revision and property record locator remain unresolved.</x:v>
      </x:c>
    </x:row>
    <x:row r="536">
      <x:c r="A536" s="54" t="n">
        <x:v>2008</x:v>
      </x:c>
      <x:c r="B536" s="54" t="n">
        <x:v>5</x:v>
      </x:c>
      <x:c r="C536" s="54" t="n">
        <x:v>10</x:v>
      </x:c>
      <x:c r="D536" s="54" t="n">
        <x:v>1</x:v>
      </x:c>
      <x:c r="E536" s="103" t="str">
        <x:v>Material-row source portal</x:v>
      </x:c>
      <x:c r="F536" s="103" t="str">
        <x:v>Source portal is identified, but edition/revision and property record locator remain unresolved.</x:v>
      </x:c>
    </x:row>
    <x:row r="537">
      <x:c r="A537" s="54" t="n">
        <x:v>2008</x:v>
      </x:c>
      <x:c r="B537" s="54" t="n">
        <x:v>6</x:v>
      </x:c>
      <x:c r="C537" s="54" t="n">
        <x:v>10</x:v>
      </x:c>
      <x:c r="D537" s="54" t="n">
        <x:v>1</x:v>
      </x:c>
      <x:c r="E537" s="103" t="str">
        <x:v>Material-row source portal</x:v>
      </x:c>
      <x:c r="F537" s="103" t="str">
        <x:v>Source portal is identified, but edition/revision and property record locator remain unresolved.</x:v>
      </x:c>
    </x:row>
    <x:row r="538">
      <x:c r="A538" s="54" t="n">
        <x:v>2008</x:v>
      </x:c>
      <x:c r="B538" s="54" t="n">
        <x:v>9</x:v>
      </x:c>
      <x:c r="C538" s="54" t="n">
        <x:v>10</x:v>
      </x:c>
      <x:c r="D538" s="54" t="n">
        <x:v>1</x:v>
      </x:c>
      <x:c r="E538" s="103" t="str">
        <x:v>Material-row source portal</x:v>
      </x:c>
      <x:c r="F538" s="103" t="str">
        <x:v>Source portal is identified, but edition/revision and property record locator remain unresolved.</x:v>
      </x:c>
    </x:row>
    <x:row r="539">
      <x:c r="A539" s="54" t="n">
        <x:v>2008</x:v>
      </x:c>
      <x:c r="B539" s="54" t="n">
        <x:v>10</x:v>
      </x:c>
      <x:c r="C539" s="54" t="n">
        <x:v>10</x:v>
      </x:c>
      <x:c r="D539" s="54" t="n">
        <x:v>1</x:v>
      </x:c>
      <x:c r="E539" s="103" t="str">
        <x:v>Material-row source portal</x:v>
      </x:c>
      <x:c r="F539" s="103" t="str">
        <x:v>Source portal is identified, but edition/revision and property record locator remain unresolved.</x:v>
      </x:c>
    </x:row>
    <x:row r="540">
      <x:c r="A540" s="54" t="n">
        <x:v>2008</x:v>
      </x:c>
      <x:c r="B540" s="54" t="n">
        <x:v>11</x:v>
      </x:c>
      <x:c r="C540" s="54" t="n">
        <x:v>10</x:v>
      </x:c>
      <x:c r="D540" s="54" t="n">
        <x:v>1</x:v>
      </x:c>
      <x:c r="E540" s="103" t="str">
        <x:v>Material-row source portal</x:v>
      </x:c>
      <x:c r="F540" s="103" t="str">
        <x:v>Source portal is identified, but edition/revision and property record locator remain unresolved.</x:v>
      </x:c>
    </x:row>
    <x:row r="541">
      <x:c r="A541" s="54" t="n">
        <x:v>2008</x:v>
      </x:c>
      <x:c r="B541" s="54" t="n">
        <x:v>12</x:v>
      </x:c>
      <x:c r="C541" s="54" t="n">
        <x:v>10</x:v>
      </x:c>
      <x:c r="D541" s="54" t="n">
        <x:v>1</x:v>
      </x:c>
      <x:c r="E541" s="103" t="str">
        <x:v>Material-row source portal</x:v>
      </x:c>
      <x:c r="F541" s="103" t="str">
        <x:v>Source portal is identified, but edition/revision and property record locator remain unresolved.</x:v>
      </x:c>
    </x:row>
    <x:row r="542">
      <x:c r="A542" s="54" t="n">
        <x:v>2008</x:v>
      </x:c>
      <x:c r="B542" s="54" t="n">
        <x:v>13</x:v>
      </x:c>
      <x:c r="C542" s="54" t="n">
        <x:v>10</x:v>
      </x:c>
      <x:c r="D542" s="54" t="n">
        <x:v>1</x:v>
      </x:c>
      <x:c r="E542" s="103" t="str">
        <x:v>Material-row source portal</x:v>
      </x:c>
      <x:c r="F542" s="103" t="str">
        <x:v>Source portal is identified, but edition/revision and property record locator remain unresolved.</x:v>
      </x:c>
    </x:row>
    <x:row r="543">
      <x:c r="A543" s="54" t="n">
        <x:v>2008</x:v>
      </x:c>
      <x:c r="B543" s="54" t="n">
        <x:v>14</x:v>
      </x:c>
      <x:c r="C543" s="54" t="n">
        <x:v>10</x:v>
      </x:c>
      <x:c r="D543" s="54" t="n">
        <x:v>1</x:v>
      </x:c>
      <x:c r="E543" s="103" t="str">
        <x:v>Material-row source portal</x:v>
      </x:c>
      <x:c r="F543" s="103" t="str">
        <x:v>Source portal is identified, but edition/revision and property record locator remain unresolved.</x:v>
      </x:c>
    </x:row>
    <x:row r="544">
      <x:c r="A544" s="54" t="n">
        <x:v>2008</x:v>
      </x:c>
      <x:c r="B544" s="54" t="n">
        <x:v>15</x:v>
      </x:c>
      <x:c r="C544" s="54" t="n">
        <x:v>10</x:v>
      </x:c>
      <x:c r="D544" s="54" t="n">
        <x:v>1</x:v>
      </x:c>
      <x:c r="E544" s="103" t="str">
        <x:v>Material-row source portal</x:v>
      </x:c>
      <x:c r="F544" s="103" t="str">
        <x:v>Source portal is identified, but edition/revision and property record locator remain unresolved.</x:v>
      </x:c>
    </x:row>
    <x:row r="545">
      <x:c r="A545" s="54" t="n">
        <x:v>2008</x:v>
      </x:c>
      <x:c r="B545" s="54" t="n">
        <x:v>16</x:v>
      </x:c>
      <x:c r="C545" s="54" t="n">
        <x:v>10</x:v>
      </x:c>
      <x:c r="D545" s="54" t="n">
        <x:v>1</x:v>
      </x:c>
      <x:c r="E545" s="103" t="str">
        <x:v>Material-row source portal</x:v>
      </x:c>
      <x:c r="F545" s="103" t="str">
        <x:v>Source portal is identified, but edition/revision and property record locator remain unresolved.</x:v>
      </x:c>
    </x:row>
    <x:row r="546">
      <x:c r="A546" s="54" t="n">
        <x:v>2008</x:v>
      </x:c>
      <x:c r="B546" s="54" t="n">
        <x:v>17</x:v>
      </x:c>
      <x:c r="C546" s="54" t="n">
        <x:v>10</x:v>
      </x:c>
      <x:c r="D546" s="54" t="n">
        <x:v>1</x:v>
      </x:c>
      <x:c r="E546" s="103" t="str">
        <x:v>Material-row source portal</x:v>
      </x:c>
      <x:c r="F546" s="103" t="str">
        <x:v>Source portal is identified, but edition/revision and property record locator remain unresolved.</x:v>
      </x:c>
    </x:row>
    <x:row r="547">
      <x:c r="A547" s="54" t="n">
        <x:v>2008</x:v>
      </x:c>
      <x:c r="B547" s="54" t="n">
        <x:v>18</x:v>
      </x:c>
      <x:c r="C547" s="54" t="n">
        <x:v>10</x:v>
      </x:c>
      <x:c r="D547" s="54" t="n">
        <x:v>1</x:v>
      </x:c>
      <x:c r="E547" s="103" t="str">
        <x:v>Formula-derived from E and Poisson ratio; input records inherit the material-row source</x:v>
      </x:c>
      <x:c r="F547" s="103" t="str">
        <x:v>Source portal is identified, but edition/revision and property record locator remain unresolved.</x:v>
      </x:c>
    </x:row>
    <x:row r="548">
      <x:c r="A548" s="54" t="n">
        <x:v>2009</x:v>
      </x:c>
      <x:c r="B548" s="54" t="n">
        <x:v>1</x:v>
      </x:c>
      <x:c r="C548" s="54" t="n">
        <x:v>10</x:v>
      </x:c>
      <x:c r="D548" s="54" t="n">
        <x:v>1</x:v>
      </x:c>
      <x:c r="E548" s="103" t="str">
        <x:v>Material-row source portal</x:v>
      </x:c>
      <x:c r="F548" s="103" t="str">
        <x:v>Source portal is identified, but edition/revision and property record locator remain unresolved.</x:v>
      </x:c>
    </x:row>
    <x:row r="549">
      <x:c r="A549" s="54" t="n">
        <x:v>2009</x:v>
      </x:c>
      <x:c r="B549" s="54" t="n">
        <x:v>2</x:v>
      </x:c>
      <x:c r="C549" s="54" t="n">
        <x:v>10</x:v>
      </x:c>
      <x:c r="D549" s="54" t="n">
        <x:v>1</x:v>
      </x:c>
      <x:c r="E549" s="103" t="str">
        <x:v>Material-row source portal</x:v>
      </x:c>
      <x:c r="F549" s="103" t="str">
        <x:v>Source portal is identified, but edition/revision and property record locator remain unresolved.</x:v>
      </x:c>
    </x:row>
    <x:row r="550">
      <x:c r="A550" s="54" t="n">
        <x:v>2009</x:v>
      </x:c>
      <x:c r="B550" s="54" t="n">
        <x:v>3</x:v>
      </x:c>
      <x:c r="C550" s="54" t="n">
        <x:v>10</x:v>
      </x:c>
      <x:c r="D550" s="54" t="n">
        <x:v>1</x:v>
      </x:c>
      <x:c r="E550" s="103" t="str">
        <x:v>Formula-derived from E and Poisson ratio; input records inherit the material-row source</x:v>
      </x:c>
      <x:c r="F550" s="103" t="str">
        <x:v>Source portal is identified, but edition/revision and property record locator remain unresolved.</x:v>
      </x:c>
    </x:row>
    <x:row r="551">
      <x:c r="A551" s="54" t="n">
        <x:v>2009</x:v>
      </x:c>
      <x:c r="B551" s="54" t="n">
        <x:v>4</x:v>
      </x:c>
      <x:c r="C551" s="54" t="n">
        <x:v>10</x:v>
      </x:c>
      <x:c r="D551" s="54" t="n">
        <x:v>1</x:v>
      </x:c>
      <x:c r="E551" s="103" t="str">
        <x:v>Material-row source portal</x:v>
      </x:c>
      <x:c r="F551" s="103" t="str">
        <x:v>Source portal is identified, but edition/revision and property record locator remain unresolved.</x:v>
      </x:c>
    </x:row>
    <x:row r="552">
      <x:c r="A552" s="54" t="n">
        <x:v>2009</x:v>
      </x:c>
      <x:c r="B552" s="54" t="n">
        <x:v>5</x:v>
      </x:c>
      <x:c r="C552" s="54" t="n">
        <x:v>10</x:v>
      </x:c>
      <x:c r="D552" s="54" t="n">
        <x:v>1</x:v>
      </x:c>
      <x:c r="E552" s="103" t="str">
        <x:v>Material-row source portal</x:v>
      </x:c>
      <x:c r="F552" s="103" t="str">
        <x:v>Source portal is identified, but edition/revision and property record locator remain unresolved.</x:v>
      </x:c>
    </x:row>
    <x:row r="553">
      <x:c r="A553" s="54" t="n">
        <x:v>2009</x:v>
      </x:c>
      <x:c r="B553" s="54" t="n">
        <x:v>6</x:v>
      </x:c>
      <x:c r="C553" s="54" t="n">
        <x:v>10</x:v>
      </x:c>
      <x:c r="D553" s="54" t="n">
        <x:v>1</x:v>
      </x:c>
      <x:c r="E553" s="103" t="str">
        <x:v>Material-row source portal</x:v>
      </x:c>
      <x:c r="F553" s="103" t="str">
        <x:v>Source portal is identified, but edition/revision and property record locator remain unresolved.</x:v>
      </x:c>
    </x:row>
    <x:row r="554">
      <x:c r="A554" s="54" t="n">
        <x:v>2009</x:v>
      </x:c>
      <x:c r="B554" s="54" t="n">
        <x:v>9</x:v>
      </x:c>
      <x:c r="C554" s="54" t="n">
        <x:v>10</x:v>
      </x:c>
      <x:c r="D554" s="54" t="n">
        <x:v>1</x:v>
      </x:c>
      <x:c r="E554" s="103" t="str">
        <x:v>Material-row source portal</x:v>
      </x:c>
      <x:c r="F554" s="103" t="str">
        <x:v>Source portal is identified, but edition/revision and property record locator remain unresolved.</x:v>
      </x:c>
    </x:row>
    <x:row r="555">
      <x:c r="A555" s="54" t="n">
        <x:v>2009</x:v>
      </x:c>
      <x:c r="B555" s="54" t="n">
        <x:v>10</x:v>
      </x:c>
      <x:c r="C555" s="54" t="n">
        <x:v>10</x:v>
      </x:c>
      <x:c r="D555" s="54" t="n">
        <x:v>1</x:v>
      </x:c>
      <x:c r="E555" s="103" t="str">
        <x:v>Material-row source portal</x:v>
      </x:c>
      <x:c r="F555" s="103" t="str">
        <x:v>Source portal is identified, but edition/revision and property record locator remain unresolved.</x:v>
      </x:c>
    </x:row>
    <x:row r="556">
      <x:c r="A556" s="54" t="n">
        <x:v>2009</x:v>
      </x:c>
      <x:c r="B556" s="54" t="n">
        <x:v>11</x:v>
      </x:c>
      <x:c r="C556" s="54" t="n">
        <x:v>10</x:v>
      </x:c>
      <x:c r="D556" s="54" t="n">
        <x:v>1</x:v>
      </x:c>
      <x:c r="E556" s="103" t="str">
        <x:v>Material-row source portal</x:v>
      </x:c>
      <x:c r="F556" s="103" t="str">
        <x:v>Source portal is identified, but edition/revision and property record locator remain unresolved.</x:v>
      </x:c>
    </x:row>
    <x:row r="557">
      <x:c r="A557" s="54" t="n">
        <x:v>2009</x:v>
      </x:c>
      <x:c r="B557" s="54" t="n">
        <x:v>12</x:v>
      </x:c>
      <x:c r="C557" s="54" t="n">
        <x:v>10</x:v>
      </x:c>
      <x:c r="D557" s="54" t="n">
        <x:v>1</x:v>
      </x:c>
      <x:c r="E557" s="103" t="str">
        <x:v>Material-row source portal</x:v>
      </x:c>
      <x:c r="F557" s="103" t="str">
        <x:v>Source portal is identified, but edition/revision and property record locator remain unresolved.</x:v>
      </x:c>
    </x:row>
    <x:row r="558">
      <x:c r="A558" s="54" t="n">
        <x:v>2009</x:v>
      </x:c>
      <x:c r="B558" s="54" t="n">
        <x:v>13</x:v>
      </x:c>
      <x:c r="C558" s="54" t="n">
        <x:v>10</x:v>
      </x:c>
      <x:c r="D558" s="54" t="n">
        <x:v>1</x:v>
      </x:c>
      <x:c r="E558" s="103" t="str">
        <x:v>Material-row source portal</x:v>
      </x:c>
      <x:c r="F558" s="103" t="str">
        <x:v>Source portal is identified, but edition/revision and property record locator remain unresolved.</x:v>
      </x:c>
    </x:row>
    <x:row r="559">
      <x:c r="A559" s="54" t="n">
        <x:v>2009</x:v>
      </x:c>
      <x:c r="B559" s="54" t="n">
        <x:v>14</x:v>
      </x:c>
      <x:c r="C559" s="54" t="n">
        <x:v>10</x:v>
      </x:c>
      <x:c r="D559" s="54" t="n">
        <x:v>1</x:v>
      </x:c>
      <x:c r="E559" s="103" t="str">
        <x:v>Material-row source portal</x:v>
      </x:c>
      <x:c r="F559" s="103" t="str">
        <x:v>Source portal is identified, but edition/revision and property record locator remain unresolved.</x:v>
      </x:c>
    </x:row>
    <x:row r="560">
      <x:c r="A560" s="54" t="n">
        <x:v>2009</x:v>
      </x:c>
      <x:c r="B560" s="54" t="n">
        <x:v>15</x:v>
      </x:c>
      <x:c r="C560" s="54" t="n">
        <x:v>10</x:v>
      </x:c>
      <x:c r="D560" s="54" t="n">
        <x:v>1</x:v>
      </x:c>
      <x:c r="E560" s="103" t="str">
        <x:v>Material-row source portal</x:v>
      </x:c>
      <x:c r="F560" s="103" t="str">
        <x:v>Source portal is identified, but edition/revision and property record locator remain unresolved.</x:v>
      </x:c>
    </x:row>
    <x:row r="561">
      <x:c r="A561" s="54" t="n">
        <x:v>2009</x:v>
      </x:c>
      <x:c r="B561" s="54" t="n">
        <x:v>16</x:v>
      </x:c>
      <x:c r="C561" s="54" t="n">
        <x:v>10</x:v>
      </x:c>
      <x:c r="D561" s="54" t="n">
        <x:v>1</x:v>
      </x:c>
      <x:c r="E561" s="103" t="str">
        <x:v>Material-row source portal</x:v>
      </x:c>
      <x:c r="F561" s="103" t="str">
        <x:v>Source portal is identified, but edition/revision and property record locator remain unresolved.</x:v>
      </x:c>
    </x:row>
    <x:row r="562">
      <x:c r="A562" s="54" t="n">
        <x:v>2009</x:v>
      </x:c>
      <x:c r="B562" s="54" t="n">
        <x:v>17</x:v>
      </x:c>
      <x:c r="C562" s="54" t="n">
        <x:v>10</x:v>
      </x:c>
      <x:c r="D562" s="54" t="n">
        <x:v>1</x:v>
      </x:c>
      <x:c r="E562" s="103" t="str">
        <x:v>Material-row source portal</x:v>
      </x:c>
      <x:c r="F562" s="103" t="str">
        <x:v>Source portal is identified, but edition/revision and property record locator remain unresolved.</x:v>
      </x:c>
    </x:row>
    <x:row r="563">
      <x:c r="A563" s="54" t="n">
        <x:v>2009</x:v>
      </x:c>
      <x:c r="B563" s="54" t="n">
        <x:v>18</x:v>
      </x:c>
      <x:c r="C563" s="54" t="n">
        <x:v>10</x:v>
      </x:c>
      <x:c r="D563" s="54" t="n">
        <x:v>1</x:v>
      </x:c>
      <x:c r="E563" s="103" t="str">
        <x:v>Formula-derived from E and Poisson ratio; input records inherit the material-row source</x:v>
      </x:c>
      <x:c r="F563" s="103" t="str">
        <x:v>Source portal is identified, but edition/revision and property record locator remain unresolved.</x:v>
      </x:c>
    </x:row>
    <x:row r="564">
      <x:c r="A564" s="54" t="n">
        <x:v>2101</x:v>
      </x:c>
      <x:c r="B564" s="54" t="n">
        <x:v>1</x:v>
      </x:c>
      <x:c r="C564" s="54" t="n">
        <x:v>3</x:v>
      </x:c>
      <x:c r="D564" s="54" t="n">
        <x:v>1</x:v>
      </x:c>
      <x:c r="E564" s="103" t="str">
        <x:v>Material-row source portal</x:v>
      </x:c>
      <x:c r="F564" s="103" t="str">
        <x:v>Source portal is identified, but edition/revision and property record locator remain unresolved.</x:v>
      </x:c>
    </x:row>
    <x:row r="565">
      <x:c r="A565" s="54" t="n">
        <x:v>2101</x:v>
      </x:c>
      <x:c r="B565" s="54" t="n">
        <x:v>2</x:v>
      </x:c>
      <x:c r="C565" s="54" t="n">
        <x:v>3</x:v>
      </x:c>
      <x:c r="D565" s="54" t="n">
        <x:v>1</x:v>
      </x:c>
      <x:c r="E565" s="103" t="str">
        <x:v>Material-row source portal</x:v>
      </x:c>
      <x:c r="F565" s="103" t="str">
        <x:v>Source portal is identified, but edition/revision and property record locator remain unresolved.</x:v>
      </x:c>
    </x:row>
    <x:row r="566">
      <x:c r="A566" s="54" t="n">
        <x:v>2101</x:v>
      </x:c>
      <x:c r="B566" s="54" t="n">
        <x:v>3</x:v>
      </x:c>
      <x:c r="C566" s="54" t="n">
        <x:v>3</x:v>
      </x:c>
      <x:c r="D566" s="54" t="n">
        <x:v>1</x:v>
      </x:c>
      <x:c r="E566" s="103" t="str">
        <x:v>Formula-derived from E and Poisson ratio; input records inherit the material-row source</x:v>
      </x:c>
      <x:c r="F566" s="103" t="str">
        <x:v>Source portal is identified, but edition/revision and property record locator remain unresolved.</x:v>
      </x:c>
    </x:row>
    <x:row r="567">
      <x:c r="A567" s="54" t="n">
        <x:v>2101</x:v>
      </x:c>
      <x:c r="B567" s="54" t="n">
        <x:v>4</x:v>
      </x:c>
      <x:c r="C567" s="54" t="n">
        <x:v>3</x:v>
      </x:c>
      <x:c r="D567" s="54" t="n">
        <x:v>1</x:v>
      </x:c>
      <x:c r="E567" s="103" t="str">
        <x:v>Material-row source portal</x:v>
      </x:c>
      <x:c r="F567" s="103" t="str">
        <x:v>Source portal is identified, but edition/revision and property record locator remain unresolved.</x:v>
      </x:c>
    </x:row>
    <x:row r="568">
      <x:c r="A568" s="54" t="n">
        <x:v>2101</x:v>
      </x:c>
      <x:c r="B568" s="54" t="n">
        <x:v>5</x:v>
      </x:c>
      <x:c r="C568" s="54" t="n">
        <x:v>3</x:v>
      </x:c>
      <x:c r="D568" s="54" t="n">
        <x:v>1</x:v>
      </x:c>
      <x:c r="E568" s="103" t="str">
        <x:v>Material-row source portal</x:v>
      </x:c>
      <x:c r="F568" s="103" t="str">
        <x:v>Source portal is identified, but edition/revision and property record locator remain unresolved.</x:v>
      </x:c>
    </x:row>
    <x:row r="569">
      <x:c r="A569" s="54" t="n">
        <x:v>2101</x:v>
      </x:c>
      <x:c r="B569" s="54" t="n">
        <x:v>6</x:v>
      </x:c>
      <x:c r="C569" s="54" t="n">
        <x:v>3</x:v>
      </x:c>
      <x:c r="D569" s="54" t="n">
        <x:v>1</x:v>
      </x:c>
      <x:c r="E569" s="103" t="str">
        <x:v>Material-row source portal</x:v>
      </x:c>
      <x:c r="F569" s="103" t="str">
        <x:v>Source portal is identified, but edition/revision and property record locator remain unresolved.</x:v>
      </x:c>
    </x:row>
    <x:row r="570">
      <x:c r="A570" s="54" t="n">
        <x:v>2101</x:v>
      </x:c>
      <x:c r="B570" s="54" t="n">
        <x:v>9</x:v>
      </x:c>
      <x:c r="C570" s="54" t="n">
        <x:v>3</x:v>
      </x:c>
      <x:c r="D570" s="54" t="n">
        <x:v>1</x:v>
      </x:c>
      <x:c r="E570" s="103" t="str">
        <x:v>Material-row source portal</x:v>
      </x:c>
      <x:c r="F570" s="103" t="str">
        <x:v>Source portal is identified, but edition/revision and property record locator remain unresolved.</x:v>
      </x:c>
    </x:row>
    <x:row r="571">
      <x:c r="A571" s="54" t="n">
        <x:v>2101</x:v>
      </x:c>
      <x:c r="B571" s="54" t="n">
        <x:v>10</x:v>
      </x:c>
      <x:c r="C571" s="54" t="n">
        <x:v>3</x:v>
      </x:c>
      <x:c r="D571" s="54" t="n">
        <x:v>1</x:v>
      </x:c>
      <x:c r="E571" s="103" t="str">
        <x:v>Material-row source portal</x:v>
      </x:c>
      <x:c r="F571" s="103" t="str">
        <x:v>Source portal is identified, but edition/revision and property record locator remain unresolved.</x:v>
      </x:c>
    </x:row>
    <x:row r="572">
      <x:c r="A572" s="54" t="n">
        <x:v>2101</x:v>
      </x:c>
      <x:c r="B572" s="54" t="n">
        <x:v>11</x:v>
      </x:c>
      <x:c r="C572" s="54" t="n">
        <x:v>3</x:v>
      </x:c>
      <x:c r="D572" s="54" t="n">
        <x:v>1</x:v>
      </x:c>
      <x:c r="E572" s="103" t="str">
        <x:v>Material-row source portal</x:v>
      </x:c>
      <x:c r="F572" s="103" t="str">
        <x:v>Source portal is identified, but edition/revision and property record locator remain unresolved.</x:v>
      </x:c>
    </x:row>
    <x:row r="573">
      <x:c r="A573" s="54" t="n">
        <x:v>2101</x:v>
      </x:c>
      <x:c r="B573" s="54" t="n">
        <x:v>12</x:v>
      </x:c>
      <x:c r="C573" s="54" t="n">
        <x:v>3</x:v>
      </x:c>
      <x:c r="D573" s="54" t="n">
        <x:v>1</x:v>
      </x:c>
      <x:c r="E573" s="103" t="str">
        <x:v>Material-row source portal</x:v>
      </x:c>
      <x:c r="F573" s="103" t="str">
        <x:v>Source portal is identified, but edition/revision and property record locator remain unresolved.</x:v>
      </x:c>
    </x:row>
    <x:row r="574">
      <x:c r="A574" s="54" t="n">
        <x:v>2101</x:v>
      </x:c>
      <x:c r="B574" s="54" t="n">
        <x:v>13</x:v>
      </x:c>
      <x:c r="C574" s="54" t="n">
        <x:v>3</x:v>
      </x:c>
      <x:c r="D574" s="54" t="n">
        <x:v>1</x:v>
      </x:c>
      <x:c r="E574" s="103" t="str">
        <x:v>Material-row source portal</x:v>
      </x:c>
      <x:c r="F574" s="103" t="str">
        <x:v>Source portal is identified, but edition/revision and property record locator remain unresolved.</x:v>
      </x:c>
    </x:row>
    <x:row r="575">
      <x:c r="A575" s="54" t="n">
        <x:v>2101</x:v>
      </x:c>
      <x:c r="B575" s="54" t="n">
        <x:v>14</x:v>
      </x:c>
      <x:c r="C575" s="54" t="n">
        <x:v>3</x:v>
      </x:c>
      <x:c r="D575" s="54" t="n">
        <x:v>1</x:v>
      </x:c>
      <x:c r="E575" s="103" t="str">
        <x:v>Material-row source portal</x:v>
      </x:c>
      <x:c r="F575" s="103" t="str">
        <x:v>Source portal is identified, but edition/revision and property record locator remain unresolved.</x:v>
      </x:c>
    </x:row>
    <x:row r="576">
      <x:c r="A576" s="54" t="n">
        <x:v>2101</x:v>
      </x:c>
      <x:c r="B576" s="54" t="n">
        <x:v>15</x:v>
      </x:c>
      <x:c r="C576" s="54" t="n">
        <x:v>3</x:v>
      </x:c>
      <x:c r="D576" s="54" t="n">
        <x:v>1</x:v>
      </x:c>
      <x:c r="E576" s="103" t="str">
        <x:v>Material-row source portal</x:v>
      </x:c>
      <x:c r="F576" s="103" t="str">
        <x:v>Source portal is identified, but edition/revision and property record locator remain unresolved.</x:v>
      </x:c>
    </x:row>
    <x:row r="577">
      <x:c r="A577" s="54" t="n">
        <x:v>2101</x:v>
      </x:c>
      <x:c r="B577" s="54" t="n">
        <x:v>16</x:v>
      </x:c>
      <x:c r="C577" s="54" t="n">
        <x:v>3</x:v>
      </x:c>
      <x:c r="D577" s="54" t="n">
        <x:v>1</x:v>
      </x:c>
      <x:c r="E577" s="103" t="str">
        <x:v>Material-row source portal</x:v>
      </x:c>
      <x:c r="F577" s="103" t="str">
        <x:v>Source portal is identified, but edition/revision and property record locator remain unresolved.</x:v>
      </x:c>
    </x:row>
    <x:row r="578">
      <x:c r="A578" s="54" t="n">
        <x:v>2101</x:v>
      </x:c>
      <x:c r="B578" s="54" t="n">
        <x:v>17</x:v>
      </x:c>
      <x:c r="C578" s="54" t="n">
        <x:v>3</x:v>
      </x:c>
      <x:c r="D578" s="54" t="n">
        <x:v>1</x:v>
      </x:c>
      <x:c r="E578" s="103" t="str">
        <x:v>Material-row source portal</x:v>
      </x:c>
      <x:c r="F578" s="103" t="str">
        <x:v>Source portal is identified, but edition/revision and property record locator remain unresolved.</x:v>
      </x:c>
    </x:row>
    <x:row r="579">
      <x:c r="A579" s="54" t="n">
        <x:v>2101</x:v>
      </x:c>
      <x:c r="B579" s="54" t="n">
        <x:v>18</x:v>
      </x:c>
      <x:c r="C579" s="54" t="n">
        <x:v>3</x:v>
      </x:c>
      <x:c r="D579" s="54" t="n">
        <x:v>1</x:v>
      </x:c>
      <x:c r="E579" s="103" t="str">
        <x:v>Formula-derived from E and Poisson ratio; input records inherit the material-row source</x:v>
      </x:c>
      <x:c r="F579" s="103" t="str">
        <x:v>Source portal is identified, but edition/revision and property record locator remain unresolved.</x:v>
      </x:c>
    </x:row>
    <x:row r="580">
      <x:c r="A580" s="54" t="n">
        <x:v>2102</x:v>
      </x:c>
      <x:c r="B580" s="54" t="n">
        <x:v>1</x:v>
      </x:c>
      <x:c r="C580" s="54" t="n">
        <x:v>3</x:v>
      </x:c>
      <x:c r="D580" s="54" t="n">
        <x:v>1</x:v>
      </x:c>
      <x:c r="E580" s="103" t="str">
        <x:v>Material-row source portal</x:v>
      </x:c>
      <x:c r="F580" s="103" t="str">
        <x:v>Source portal is identified, but edition/revision and property record locator remain unresolved.</x:v>
      </x:c>
    </x:row>
    <x:row r="581">
      <x:c r="A581" s="54" t="n">
        <x:v>2102</x:v>
      </x:c>
      <x:c r="B581" s="54" t="n">
        <x:v>2</x:v>
      </x:c>
      <x:c r="C581" s="54" t="n">
        <x:v>3</x:v>
      </x:c>
      <x:c r="D581" s="54" t="n">
        <x:v>1</x:v>
      </x:c>
      <x:c r="E581" s="103" t="str">
        <x:v>Material-row source portal</x:v>
      </x:c>
      <x:c r="F581" s="103" t="str">
        <x:v>Source portal is identified, but edition/revision and property record locator remain unresolved.</x:v>
      </x:c>
    </x:row>
    <x:row r="582">
      <x:c r="A582" s="54" t="n">
        <x:v>2102</x:v>
      </x:c>
      <x:c r="B582" s="54" t="n">
        <x:v>3</x:v>
      </x:c>
      <x:c r="C582" s="54" t="n">
        <x:v>3</x:v>
      </x:c>
      <x:c r="D582" s="54" t="n">
        <x:v>1</x:v>
      </x:c>
      <x:c r="E582" s="103" t="str">
        <x:v>Formula-derived from E and Poisson ratio; input records inherit the material-row source</x:v>
      </x:c>
      <x:c r="F582" s="103" t="str">
        <x:v>Source portal is identified, but edition/revision and property record locator remain unresolved.</x:v>
      </x:c>
    </x:row>
    <x:row r="583">
      <x:c r="A583" s="54" t="n">
        <x:v>2102</x:v>
      </x:c>
      <x:c r="B583" s="54" t="n">
        <x:v>4</x:v>
      </x:c>
      <x:c r="C583" s="54" t="n">
        <x:v>3</x:v>
      </x:c>
      <x:c r="D583" s="54" t="n">
        <x:v>1</x:v>
      </x:c>
      <x:c r="E583" s="103" t="str">
        <x:v>Material-row source portal</x:v>
      </x:c>
      <x:c r="F583" s="103" t="str">
        <x:v>Source portal is identified, but edition/revision and property record locator remain unresolved.</x:v>
      </x:c>
    </x:row>
    <x:row r="584">
      <x:c r="A584" s="54" t="n">
        <x:v>2102</x:v>
      </x:c>
      <x:c r="B584" s="54" t="n">
        <x:v>5</x:v>
      </x:c>
      <x:c r="C584" s="54" t="n">
        <x:v>3</x:v>
      </x:c>
      <x:c r="D584" s="54" t="n">
        <x:v>1</x:v>
      </x:c>
      <x:c r="E584" s="103" t="str">
        <x:v>Material-row source portal</x:v>
      </x:c>
      <x:c r="F584" s="103" t="str">
        <x:v>Source portal is identified, but edition/revision and property record locator remain unresolved.</x:v>
      </x:c>
    </x:row>
    <x:row r="585">
      <x:c r="A585" s="54" t="n">
        <x:v>2102</x:v>
      </x:c>
      <x:c r="B585" s="54" t="n">
        <x:v>6</x:v>
      </x:c>
      <x:c r="C585" s="54" t="n">
        <x:v>3</x:v>
      </x:c>
      <x:c r="D585" s="54" t="n">
        <x:v>1</x:v>
      </x:c>
      <x:c r="E585" s="103" t="str">
        <x:v>Material-row source portal</x:v>
      </x:c>
      <x:c r="F585" s="103" t="str">
        <x:v>Source portal is identified, but edition/revision and property record locator remain unresolved.</x:v>
      </x:c>
    </x:row>
    <x:row r="586">
      <x:c r="A586" s="54" t="n">
        <x:v>2102</x:v>
      </x:c>
      <x:c r="B586" s="54" t="n">
        <x:v>9</x:v>
      </x:c>
      <x:c r="C586" s="54" t="n">
        <x:v>3</x:v>
      </x:c>
      <x:c r="D586" s="54" t="n">
        <x:v>1</x:v>
      </x:c>
      <x:c r="E586" s="103" t="str">
        <x:v>Material-row source portal</x:v>
      </x:c>
      <x:c r="F586" s="103" t="str">
        <x:v>Source portal is identified, but edition/revision and property record locator remain unresolved.</x:v>
      </x:c>
    </x:row>
    <x:row r="587">
      <x:c r="A587" s="54" t="n">
        <x:v>2102</x:v>
      </x:c>
      <x:c r="B587" s="54" t="n">
        <x:v>10</x:v>
      </x:c>
      <x:c r="C587" s="54" t="n">
        <x:v>3</x:v>
      </x:c>
      <x:c r="D587" s="54" t="n">
        <x:v>1</x:v>
      </x:c>
      <x:c r="E587" s="103" t="str">
        <x:v>Material-row source portal</x:v>
      </x:c>
      <x:c r="F587" s="103" t="str">
        <x:v>Source portal is identified, but edition/revision and property record locator remain unresolved.</x:v>
      </x:c>
    </x:row>
    <x:row r="588">
      <x:c r="A588" s="54" t="n">
        <x:v>2102</x:v>
      </x:c>
      <x:c r="B588" s="54" t="n">
        <x:v>11</x:v>
      </x:c>
      <x:c r="C588" s="54" t="n">
        <x:v>3</x:v>
      </x:c>
      <x:c r="D588" s="54" t="n">
        <x:v>1</x:v>
      </x:c>
      <x:c r="E588" s="103" t="str">
        <x:v>Material-row source portal</x:v>
      </x:c>
      <x:c r="F588" s="103" t="str">
        <x:v>Source portal is identified, but edition/revision and property record locator remain unresolved.</x:v>
      </x:c>
    </x:row>
    <x:row r="589">
      <x:c r="A589" s="54" t="n">
        <x:v>2102</x:v>
      </x:c>
      <x:c r="B589" s="54" t="n">
        <x:v>12</x:v>
      </x:c>
      <x:c r="C589" s="54" t="n">
        <x:v>3</x:v>
      </x:c>
      <x:c r="D589" s="54" t="n">
        <x:v>1</x:v>
      </x:c>
      <x:c r="E589" s="103" t="str">
        <x:v>Material-row source portal</x:v>
      </x:c>
      <x:c r="F589" s="103" t="str">
        <x:v>Source portal is identified, but edition/revision and property record locator remain unresolved.</x:v>
      </x:c>
    </x:row>
    <x:row r="590">
      <x:c r="A590" s="54" t="n">
        <x:v>2102</x:v>
      </x:c>
      <x:c r="B590" s="54" t="n">
        <x:v>13</x:v>
      </x:c>
      <x:c r="C590" s="54" t="n">
        <x:v>3</x:v>
      </x:c>
      <x:c r="D590" s="54" t="n">
        <x:v>1</x:v>
      </x:c>
      <x:c r="E590" s="103" t="str">
        <x:v>Material-row source portal</x:v>
      </x:c>
      <x:c r="F590" s="103" t="str">
        <x:v>Source portal is identified, but edition/revision and property record locator remain unresolved.</x:v>
      </x:c>
    </x:row>
    <x:row r="591">
      <x:c r="A591" s="54" t="n">
        <x:v>2102</x:v>
      </x:c>
      <x:c r="B591" s="54" t="n">
        <x:v>14</x:v>
      </x:c>
      <x:c r="C591" s="54" t="n">
        <x:v>3</x:v>
      </x:c>
      <x:c r="D591" s="54" t="n">
        <x:v>1</x:v>
      </x:c>
      <x:c r="E591" s="103" t="str">
        <x:v>Material-row source portal</x:v>
      </x:c>
      <x:c r="F591" s="103" t="str">
        <x:v>Source portal is identified, but edition/revision and property record locator remain unresolved.</x:v>
      </x:c>
    </x:row>
    <x:row r="592">
      <x:c r="A592" s="54" t="n">
        <x:v>2102</x:v>
      </x:c>
      <x:c r="B592" s="54" t="n">
        <x:v>15</x:v>
      </x:c>
      <x:c r="C592" s="54" t="n">
        <x:v>3</x:v>
      </x:c>
      <x:c r="D592" s="54" t="n">
        <x:v>1</x:v>
      </x:c>
      <x:c r="E592" s="103" t="str">
        <x:v>Material-row source portal</x:v>
      </x:c>
      <x:c r="F592" s="103" t="str">
        <x:v>Source portal is identified, but edition/revision and property record locator remain unresolved.</x:v>
      </x:c>
    </x:row>
    <x:row r="593">
      <x:c r="A593" s="54" t="n">
        <x:v>2102</x:v>
      </x:c>
      <x:c r="B593" s="54" t="n">
        <x:v>16</x:v>
      </x:c>
      <x:c r="C593" s="54" t="n">
        <x:v>3</x:v>
      </x:c>
      <x:c r="D593" s="54" t="n">
        <x:v>1</x:v>
      </x:c>
      <x:c r="E593" s="103" t="str">
        <x:v>Material-row source portal</x:v>
      </x:c>
      <x:c r="F593" s="103" t="str">
        <x:v>Source portal is identified, but edition/revision and property record locator remain unresolved.</x:v>
      </x:c>
    </x:row>
    <x:row r="594">
      <x:c r="A594" s="54" t="n">
        <x:v>2102</x:v>
      </x:c>
      <x:c r="B594" s="54" t="n">
        <x:v>17</x:v>
      </x:c>
      <x:c r="C594" s="54" t="n">
        <x:v>3</x:v>
      </x:c>
      <x:c r="D594" s="54" t="n">
        <x:v>1</x:v>
      </x:c>
      <x:c r="E594" s="103" t="str">
        <x:v>Material-row source portal</x:v>
      </x:c>
      <x:c r="F594" s="103" t="str">
        <x:v>Source portal is identified, but edition/revision and property record locator remain unresolved.</x:v>
      </x:c>
    </x:row>
    <x:row r="595">
      <x:c r="A595" s="54" t="n">
        <x:v>2102</x:v>
      </x:c>
      <x:c r="B595" s="54" t="n">
        <x:v>18</x:v>
      </x:c>
      <x:c r="C595" s="54" t="n">
        <x:v>3</x:v>
      </x:c>
      <x:c r="D595" s="54" t="n">
        <x:v>1</x:v>
      </x:c>
      <x:c r="E595" s="103" t="str">
        <x:v>Formula-derived from E and Poisson ratio; input records inherit the material-row source</x:v>
      </x:c>
      <x:c r="F595" s="103" t="str">
        <x:v>Source portal is identified, but edition/revision and property record locator remain unresolved.</x:v>
      </x:c>
    </x:row>
    <x:row r="596">
      <x:c r="A596" s="54" t="n">
        <x:v>2103</x:v>
      </x:c>
      <x:c r="B596" s="54" t="n">
        <x:v>1</x:v>
      </x:c>
      <x:c r="C596" s="54" t="n">
        <x:v>3</x:v>
      </x:c>
      <x:c r="D596" s="54" t="n">
        <x:v>1</x:v>
      </x:c>
      <x:c r="E596" s="103" t="str">
        <x:v>Material-row source portal</x:v>
      </x:c>
      <x:c r="F596" s="103" t="str">
        <x:v>Source portal is identified, but edition/revision and property record locator remain unresolved.</x:v>
      </x:c>
    </x:row>
    <x:row r="597">
      <x:c r="A597" s="54" t="n">
        <x:v>2103</x:v>
      </x:c>
      <x:c r="B597" s="54" t="n">
        <x:v>2</x:v>
      </x:c>
      <x:c r="C597" s="54" t="n">
        <x:v>3</x:v>
      </x:c>
      <x:c r="D597" s="54" t="n">
        <x:v>1</x:v>
      </x:c>
      <x:c r="E597" s="103" t="str">
        <x:v>Material-row source portal</x:v>
      </x:c>
      <x:c r="F597" s="103" t="str">
        <x:v>Source portal is identified, but edition/revision and property record locator remain unresolved.</x:v>
      </x:c>
    </x:row>
    <x:row r="598">
      <x:c r="A598" s="54" t="n">
        <x:v>2103</x:v>
      </x:c>
      <x:c r="B598" s="54" t="n">
        <x:v>3</x:v>
      </x:c>
      <x:c r="C598" s="54" t="n">
        <x:v>3</x:v>
      </x:c>
      <x:c r="D598" s="54" t="n">
        <x:v>1</x:v>
      </x:c>
      <x:c r="E598" s="103" t="str">
        <x:v>Formula-derived from E and Poisson ratio; input records inherit the material-row source</x:v>
      </x:c>
      <x:c r="F598" s="103" t="str">
        <x:v>Source portal is identified, but edition/revision and property record locator remain unresolved.</x:v>
      </x:c>
    </x:row>
    <x:row r="599">
      <x:c r="A599" s="54" t="n">
        <x:v>2103</x:v>
      </x:c>
      <x:c r="B599" s="54" t="n">
        <x:v>4</x:v>
      </x:c>
      <x:c r="C599" s="54" t="n">
        <x:v>3</x:v>
      </x:c>
      <x:c r="D599" s="54" t="n">
        <x:v>1</x:v>
      </x:c>
      <x:c r="E599" s="103" t="str">
        <x:v>Material-row source portal</x:v>
      </x:c>
      <x:c r="F599" s="103" t="str">
        <x:v>Source portal is identified, but edition/revision and property record locator remain unresolved.</x:v>
      </x:c>
    </x:row>
    <x:row r="600">
      <x:c r="A600" s="54" t="n">
        <x:v>2103</x:v>
      </x:c>
      <x:c r="B600" s="54" t="n">
        <x:v>5</x:v>
      </x:c>
      <x:c r="C600" s="54" t="n">
        <x:v>3</x:v>
      </x:c>
      <x:c r="D600" s="54" t="n">
        <x:v>1</x:v>
      </x:c>
      <x:c r="E600" s="103" t="str">
        <x:v>Material-row source portal</x:v>
      </x:c>
      <x:c r="F600" s="103" t="str">
        <x:v>Source portal is identified, but edition/revision and property record locator remain unresolved.</x:v>
      </x:c>
    </x:row>
    <x:row r="601">
      <x:c r="A601" s="54" t="n">
        <x:v>2103</x:v>
      </x:c>
      <x:c r="B601" s="54" t="n">
        <x:v>6</x:v>
      </x:c>
      <x:c r="C601" s="54" t="n">
        <x:v>3</x:v>
      </x:c>
      <x:c r="D601" s="54" t="n">
        <x:v>1</x:v>
      </x:c>
      <x:c r="E601" s="103" t="str">
        <x:v>Material-row source portal</x:v>
      </x:c>
      <x:c r="F601" s="103" t="str">
        <x:v>Source portal is identified, but edition/revision and property record locator remain unresolved.</x:v>
      </x:c>
    </x:row>
    <x:row r="602">
      <x:c r="A602" s="54" t="n">
        <x:v>2103</x:v>
      </x:c>
      <x:c r="B602" s="54" t="n">
        <x:v>9</x:v>
      </x:c>
      <x:c r="C602" s="54" t="n">
        <x:v>3</x:v>
      </x:c>
      <x:c r="D602" s="54" t="n">
        <x:v>1</x:v>
      </x:c>
      <x:c r="E602" s="103" t="str">
        <x:v>Material-row source portal</x:v>
      </x:c>
      <x:c r="F602" s="103" t="str">
        <x:v>Source portal is identified, but edition/revision and property record locator remain unresolved.</x:v>
      </x:c>
    </x:row>
    <x:row r="603">
      <x:c r="A603" s="54" t="n">
        <x:v>2103</x:v>
      </x:c>
      <x:c r="B603" s="54" t="n">
        <x:v>10</x:v>
      </x:c>
      <x:c r="C603" s="54" t="n">
        <x:v>3</x:v>
      </x:c>
      <x:c r="D603" s="54" t="n">
        <x:v>1</x:v>
      </x:c>
      <x:c r="E603" s="103" t="str">
        <x:v>Material-row source portal</x:v>
      </x:c>
      <x:c r="F603" s="103" t="str">
        <x:v>Source portal is identified, but edition/revision and property record locator remain unresolved.</x:v>
      </x:c>
    </x:row>
    <x:row r="604">
      <x:c r="A604" s="54" t="n">
        <x:v>2103</x:v>
      </x:c>
      <x:c r="B604" s="54" t="n">
        <x:v>11</x:v>
      </x:c>
      <x:c r="C604" s="54" t="n">
        <x:v>3</x:v>
      </x:c>
      <x:c r="D604" s="54" t="n">
        <x:v>1</x:v>
      </x:c>
      <x:c r="E604" s="103" t="str">
        <x:v>Material-row source portal</x:v>
      </x:c>
      <x:c r="F604" s="103" t="str">
        <x:v>Source portal is identified, but edition/revision and property record locator remain unresolved.</x:v>
      </x:c>
    </x:row>
    <x:row r="605">
      <x:c r="A605" s="54" t="n">
        <x:v>2103</x:v>
      </x:c>
      <x:c r="B605" s="54" t="n">
        <x:v>12</x:v>
      </x:c>
      <x:c r="C605" s="54" t="n">
        <x:v>3</x:v>
      </x:c>
      <x:c r="D605" s="54" t="n">
        <x:v>1</x:v>
      </x:c>
      <x:c r="E605" s="103" t="str">
        <x:v>Material-row source portal</x:v>
      </x:c>
      <x:c r="F605" s="103" t="str">
        <x:v>Source portal is identified, but edition/revision and property record locator remain unresolved.</x:v>
      </x:c>
    </x:row>
    <x:row r="606">
      <x:c r="A606" s="54" t="n">
        <x:v>2103</x:v>
      </x:c>
      <x:c r="B606" s="54" t="n">
        <x:v>13</x:v>
      </x:c>
      <x:c r="C606" s="54" t="n">
        <x:v>3</x:v>
      </x:c>
      <x:c r="D606" s="54" t="n">
        <x:v>1</x:v>
      </x:c>
      <x:c r="E606" s="103" t="str">
        <x:v>Material-row source portal</x:v>
      </x:c>
      <x:c r="F606" s="103" t="str">
        <x:v>Source portal is identified, but edition/revision and property record locator remain unresolved.</x:v>
      </x:c>
    </x:row>
    <x:row r="607">
      <x:c r="A607" s="54" t="n">
        <x:v>2103</x:v>
      </x:c>
      <x:c r="B607" s="54" t="n">
        <x:v>14</x:v>
      </x:c>
      <x:c r="C607" s="54" t="n">
        <x:v>3</x:v>
      </x:c>
      <x:c r="D607" s="54" t="n">
        <x:v>1</x:v>
      </x:c>
      <x:c r="E607" s="103" t="str">
        <x:v>Material-row source portal</x:v>
      </x:c>
      <x:c r="F607" s="103" t="str">
        <x:v>Source portal is identified, but edition/revision and property record locator remain unresolved.</x:v>
      </x:c>
    </x:row>
    <x:row r="608">
      <x:c r="A608" s="54" t="n">
        <x:v>2103</x:v>
      </x:c>
      <x:c r="B608" s="54" t="n">
        <x:v>15</x:v>
      </x:c>
      <x:c r="C608" s="54" t="n">
        <x:v>3</x:v>
      </x:c>
      <x:c r="D608" s="54" t="n">
        <x:v>1</x:v>
      </x:c>
      <x:c r="E608" s="103" t="str">
        <x:v>Material-row source portal</x:v>
      </x:c>
      <x:c r="F608" s="103" t="str">
        <x:v>Source portal is identified, but edition/revision and property record locator remain unresolved.</x:v>
      </x:c>
    </x:row>
    <x:row r="609">
      <x:c r="A609" s="54" t="n">
        <x:v>2103</x:v>
      </x:c>
      <x:c r="B609" s="54" t="n">
        <x:v>16</x:v>
      </x:c>
      <x:c r="C609" s="54" t="n">
        <x:v>3</x:v>
      </x:c>
      <x:c r="D609" s="54" t="n">
        <x:v>1</x:v>
      </x:c>
      <x:c r="E609" s="103" t="str">
        <x:v>Material-row source portal</x:v>
      </x:c>
      <x:c r="F609" s="103" t="str">
        <x:v>Source portal is identified, but edition/revision and property record locator remain unresolved.</x:v>
      </x:c>
    </x:row>
    <x:row r="610">
      <x:c r="A610" s="54" t="n">
        <x:v>2103</x:v>
      </x:c>
      <x:c r="B610" s="54" t="n">
        <x:v>17</x:v>
      </x:c>
      <x:c r="C610" s="54" t="n">
        <x:v>3</x:v>
      </x:c>
      <x:c r="D610" s="54" t="n">
        <x:v>1</x:v>
      </x:c>
      <x:c r="E610" s="103" t="str">
        <x:v>Material-row source portal</x:v>
      </x:c>
      <x:c r="F610" s="103" t="str">
        <x:v>Source portal is identified, but edition/revision and property record locator remain unresolved.</x:v>
      </x:c>
    </x:row>
    <x:row r="611">
      <x:c r="A611" s="54" t="n">
        <x:v>2103</x:v>
      </x:c>
      <x:c r="B611" s="54" t="n">
        <x:v>18</x:v>
      </x:c>
      <x:c r="C611" s="54" t="n">
        <x:v>3</x:v>
      </x:c>
      <x:c r="D611" s="54" t="n">
        <x:v>1</x:v>
      </x:c>
      <x:c r="E611" s="103" t="str">
        <x:v>Formula-derived from E and Poisson ratio; input records inherit the material-row source</x:v>
      </x:c>
      <x:c r="F611" s="103" t="str">
        <x:v>Source portal is identified, but edition/revision and property record locator remain unresolved.</x:v>
      </x:c>
    </x:row>
    <x:row r="612">
      <x:c r="A612" s="54" t="n">
        <x:v>2104</x:v>
      </x:c>
      <x:c r="B612" s="54" t="n">
        <x:v>1</x:v>
      </x:c>
      <x:c r="C612" s="54" t="n">
        <x:v>3</x:v>
      </x:c>
      <x:c r="D612" s="54" t="n">
        <x:v>1</x:v>
      </x:c>
      <x:c r="E612" s="103" t="str">
        <x:v>Material-row source portal</x:v>
      </x:c>
      <x:c r="F612" s="103" t="str">
        <x:v>Source portal is identified, but edition/revision and property record locator remain unresolved.</x:v>
      </x:c>
    </x:row>
    <x:row r="613">
      <x:c r="A613" s="54" t="n">
        <x:v>2104</x:v>
      </x:c>
      <x:c r="B613" s="54" t="n">
        <x:v>2</x:v>
      </x:c>
      <x:c r="C613" s="54" t="n">
        <x:v>3</x:v>
      </x:c>
      <x:c r="D613" s="54" t="n">
        <x:v>1</x:v>
      </x:c>
      <x:c r="E613" s="103" t="str">
        <x:v>Material-row source portal</x:v>
      </x:c>
      <x:c r="F613" s="103" t="str">
        <x:v>Source portal is identified, but edition/revision and property record locator remain unresolved.</x:v>
      </x:c>
    </x:row>
    <x:row r="614">
      <x:c r="A614" s="54" t="n">
        <x:v>2104</x:v>
      </x:c>
      <x:c r="B614" s="54" t="n">
        <x:v>3</x:v>
      </x:c>
      <x:c r="C614" s="54" t="n">
        <x:v>3</x:v>
      </x:c>
      <x:c r="D614" s="54" t="n">
        <x:v>1</x:v>
      </x:c>
      <x:c r="E614" s="103" t="str">
        <x:v>Formula-derived from E and Poisson ratio; input records inherit the material-row source</x:v>
      </x:c>
      <x:c r="F614" s="103" t="str">
        <x:v>Source portal is identified, but edition/revision and property record locator remain unresolved.</x:v>
      </x:c>
    </x:row>
    <x:row r="615">
      <x:c r="A615" s="54" t="n">
        <x:v>2104</x:v>
      </x:c>
      <x:c r="B615" s="54" t="n">
        <x:v>4</x:v>
      </x:c>
      <x:c r="C615" s="54" t="n">
        <x:v>3</x:v>
      </x:c>
      <x:c r="D615" s="54" t="n">
        <x:v>1</x:v>
      </x:c>
      <x:c r="E615" s="103" t="str">
        <x:v>Material-row source portal</x:v>
      </x:c>
      <x:c r="F615" s="103" t="str">
        <x:v>Source portal is identified, but edition/revision and property record locator remain unresolved.</x:v>
      </x:c>
    </x:row>
    <x:row r="616">
      <x:c r="A616" s="54" t="n">
        <x:v>2104</x:v>
      </x:c>
      <x:c r="B616" s="54" t="n">
        <x:v>5</x:v>
      </x:c>
      <x:c r="C616" s="54" t="n">
        <x:v>3</x:v>
      </x:c>
      <x:c r="D616" s="54" t="n">
        <x:v>1</x:v>
      </x:c>
      <x:c r="E616" s="103" t="str">
        <x:v>Material-row source portal</x:v>
      </x:c>
      <x:c r="F616" s="103" t="str">
        <x:v>Source portal is identified, but edition/revision and property record locator remain unresolved.</x:v>
      </x:c>
    </x:row>
    <x:row r="617">
      <x:c r="A617" s="54" t="n">
        <x:v>2104</x:v>
      </x:c>
      <x:c r="B617" s="54" t="n">
        <x:v>6</x:v>
      </x:c>
      <x:c r="C617" s="54" t="n">
        <x:v>3</x:v>
      </x:c>
      <x:c r="D617" s="54" t="n">
        <x:v>1</x:v>
      </x:c>
      <x:c r="E617" s="103" t="str">
        <x:v>Material-row source portal</x:v>
      </x:c>
      <x:c r="F617" s="103" t="str">
        <x:v>Source portal is identified, but edition/revision and property record locator remain unresolved.</x:v>
      </x:c>
    </x:row>
    <x:row r="618">
      <x:c r="A618" s="54" t="n">
        <x:v>2104</x:v>
      </x:c>
      <x:c r="B618" s="54" t="n">
        <x:v>9</x:v>
      </x:c>
      <x:c r="C618" s="54" t="n">
        <x:v>3</x:v>
      </x:c>
      <x:c r="D618" s="54" t="n">
        <x:v>1</x:v>
      </x:c>
      <x:c r="E618" s="103" t="str">
        <x:v>Material-row source portal</x:v>
      </x:c>
      <x:c r="F618" s="103" t="str">
        <x:v>Source portal is identified, but edition/revision and property record locator remain unresolved.</x:v>
      </x:c>
    </x:row>
    <x:row r="619">
      <x:c r="A619" s="54" t="n">
        <x:v>2104</x:v>
      </x:c>
      <x:c r="B619" s="54" t="n">
        <x:v>10</x:v>
      </x:c>
      <x:c r="C619" s="54" t="n">
        <x:v>3</x:v>
      </x:c>
      <x:c r="D619" s="54" t="n">
        <x:v>1</x:v>
      </x:c>
      <x:c r="E619" s="103" t="str">
        <x:v>Material-row source portal</x:v>
      </x:c>
      <x:c r="F619" s="103" t="str">
        <x:v>Source portal is identified, but edition/revision and property record locator remain unresolved.</x:v>
      </x:c>
    </x:row>
    <x:row r="620">
      <x:c r="A620" s="54" t="n">
        <x:v>2104</x:v>
      </x:c>
      <x:c r="B620" s="54" t="n">
        <x:v>11</x:v>
      </x:c>
      <x:c r="C620" s="54" t="n">
        <x:v>3</x:v>
      </x:c>
      <x:c r="D620" s="54" t="n">
        <x:v>1</x:v>
      </x:c>
      <x:c r="E620" s="103" t="str">
        <x:v>Material-row source portal</x:v>
      </x:c>
      <x:c r="F620" s="103" t="str">
        <x:v>Source portal is identified, but edition/revision and property record locator remain unresolved.</x:v>
      </x:c>
    </x:row>
    <x:row r="621">
      <x:c r="A621" s="54" t="n">
        <x:v>2104</x:v>
      </x:c>
      <x:c r="B621" s="54" t="n">
        <x:v>12</x:v>
      </x:c>
      <x:c r="C621" s="54" t="n">
        <x:v>3</x:v>
      </x:c>
      <x:c r="D621" s="54" t="n">
        <x:v>1</x:v>
      </x:c>
      <x:c r="E621" s="103" t="str">
        <x:v>Material-row source portal</x:v>
      </x:c>
      <x:c r="F621" s="103" t="str">
        <x:v>Source portal is identified, but edition/revision and property record locator remain unresolved.</x:v>
      </x:c>
    </x:row>
    <x:row r="622">
      <x:c r="A622" s="54" t="n">
        <x:v>2104</x:v>
      </x:c>
      <x:c r="B622" s="54" t="n">
        <x:v>13</x:v>
      </x:c>
      <x:c r="C622" s="54" t="n">
        <x:v>3</x:v>
      </x:c>
      <x:c r="D622" s="54" t="n">
        <x:v>1</x:v>
      </x:c>
      <x:c r="E622" s="103" t="str">
        <x:v>Material-row source portal</x:v>
      </x:c>
      <x:c r="F622" s="103" t="str">
        <x:v>Source portal is identified, but edition/revision and property record locator remain unresolved.</x:v>
      </x:c>
    </x:row>
    <x:row r="623">
      <x:c r="A623" s="54" t="n">
        <x:v>2104</x:v>
      </x:c>
      <x:c r="B623" s="54" t="n">
        <x:v>14</x:v>
      </x:c>
      <x:c r="C623" s="54" t="n">
        <x:v>3</x:v>
      </x:c>
      <x:c r="D623" s="54" t="n">
        <x:v>1</x:v>
      </x:c>
      <x:c r="E623" s="103" t="str">
        <x:v>Material-row source portal</x:v>
      </x:c>
      <x:c r="F623" s="103" t="str">
        <x:v>Source portal is identified, but edition/revision and property record locator remain unresolved.</x:v>
      </x:c>
    </x:row>
    <x:row r="624">
      <x:c r="A624" s="54" t="n">
        <x:v>2104</x:v>
      </x:c>
      <x:c r="B624" s="54" t="n">
        <x:v>15</x:v>
      </x:c>
      <x:c r="C624" s="54" t="n">
        <x:v>3</x:v>
      </x:c>
      <x:c r="D624" s="54" t="n">
        <x:v>1</x:v>
      </x:c>
      <x:c r="E624" s="103" t="str">
        <x:v>Material-row source portal</x:v>
      </x:c>
      <x:c r="F624" s="103" t="str">
        <x:v>Source portal is identified, but edition/revision and property record locator remain unresolved.</x:v>
      </x:c>
    </x:row>
    <x:row r="625">
      <x:c r="A625" s="54" t="n">
        <x:v>2104</x:v>
      </x:c>
      <x:c r="B625" s="54" t="n">
        <x:v>16</x:v>
      </x:c>
      <x:c r="C625" s="54" t="n">
        <x:v>3</x:v>
      </x:c>
      <x:c r="D625" s="54" t="n">
        <x:v>1</x:v>
      </x:c>
      <x:c r="E625" s="103" t="str">
        <x:v>Material-row source portal</x:v>
      </x:c>
      <x:c r="F625" s="103" t="str">
        <x:v>Source portal is identified, but edition/revision and property record locator remain unresolved.</x:v>
      </x:c>
    </x:row>
    <x:row r="626">
      <x:c r="A626" s="54" t="n">
        <x:v>2104</x:v>
      </x:c>
      <x:c r="B626" s="54" t="n">
        <x:v>17</x:v>
      </x:c>
      <x:c r="C626" s="54" t="n">
        <x:v>3</x:v>
      </x:c>
      <x:c r="D626" s="54" t="n">
        <x:v>1</x:v>
      </x:c>
      <x:c r="E626" s="103" t="str">
        <x:v>Material-row source portal</x:v>
      </x:c>
      <x:c r="F626" s="103" t="str">
        <x:v>Source portal is identified, but edition/revision and property record locator remain unresolved.</x:v>
      </x:c>
    </x:row>
    <x:row r="627">
      <x:c r="A627" s="54" t="n">
        <x:v>2104</x:v>
      </x:c>
      <x:c r="B627" s="54" t="n">
        <x:v>18</x:v>
      </x:c>
      <x:c r="C627" s="54" t="n">
        <x:v>3</x:v>
      </x:c>
      <x:c r="D627" s="54" t="n">
        <x:v>1</x:v>
      </x:c>
      <x:c r="E627" s="103" t="str">
        <x:v>Formula-derived from E and Poisson ratio; input records inherit the material-row source</x:v>
      </x:c>
      <x:c r="F627" s="103" t="str">
        <x:v>Source portal is identified, but edition/revision and property record locator remain unresolved.</x:v>
      </x:c>
    </x:row>
    <x:row r="628">
      <x:c r="A628" s="54" t="n">
        <x:v>2105</x:v>
      </x:c>
      <x:c r="B628" s="54" t="n">
        <x:v>1</x:v>
      </x:c>
      <x:c r="C628" s="54" t="n">
        <x:v>3</x:v>
      </x:c>
      <x:c r="D628" s="54" t="n">
        <x:v>1</x:v>
      </x:c>
      <x:c r="E628" s="103" t="str">
        <x:v>Material-row source portal</x:v>
      </x:c>
      <x:c r="F628" s="103" t="str">
        <x:v>Source portal is identified, but edition/revision and property record locator remain unresolved.</x:v>
      </x:c>
    </x:row>
    <x:row r="629">
      <x:c r="A629" s="54" t="n">
        <x:v>2105</x:v>
      </x:c>
      <x:c r="B629" s="54" t="n">
        <x:v>2</x:v>
      </x:c>
      <x:c r="C629" s="54" t="n">
        <x:v>3</x:v>
      </x:c>
      <x:c r="D629" s="54" t="n">
        <x:v>1</x:v>
      </x:c>
      <x:c r="E629" s="103" t="str">
        <x:v>Material-row source portal</x:v>
      </x:c>
      <x:c r="F629" s="103" t="str">
        <x:v>Source portal is identified, but edition/revision and property record locator remain unresolved.</x:v>
      </x:c>
    </x:row>
    <x:row r="630">
      <x:c r="A630" s="54" t="n">
        <x:v>2105</x:v>
      </x:c>
      <x:c r="B630" s="54" t="n">
        <x:v>3</x:v>
      </x:c>
      <x:c r="C630" s="54" t="n">
        <x:v>3</x:v>
      </x:c>
      <x:c r="D630" s="54" t="n">
        <x:v>1</x:v>
      </x:c>
      <x:c r="E630" s="103" t="str">
        <x:v>Formula-derived from E and Poisson ratio; input records inherit the material-row source</x:v>
      </x:c>
      <x:c r="F630" s="103" t="str">
        <x:v>Source portal is identified, but edition/revision and property record locator remain unresolved.</x:v>
      </x:c>
    </x:row>
    <x:row r="631">
      <x:c r="A631" s="54" t="n">
        <x:v>2105</x:v>
      </x:c>
      <x:c r="B631" s="54" t="n">
        <x:v>4</x:v>
      </x:c>
      <x:c r="C631" s="54" t="n">
        <x:v>3</x:v>
      </x:c>
      <x:c r="D631" s="54" t="n">
        <x:v>1</x:v>
      </x:c>
      <x:c r="E631" s="103" t="str">
        <x:v>Material-row source portal</x:v>
      </x:c>
      <x:c r="F631" s="103" t="str">
        <x:v>Source portal is identified, but edition/revision and property record locator remain unresolved.</x:v>
      </x:c>
    </x:row>
    <x:row r="632">
      <x:c r="A632" s="54" t="n">
        <x:v>2105</x:v>
      </x:c>
      <x:c r="B632" s="54" t="n">
        <x:v>5</x:v>
      </x:c>
      <x:c r="C632" s="54" t="n">
        <x:v>3</x:v>
      </x:c>
      <x:c r="D632" s="54" t="n">
        <x:v>1</x:v>
      </x:c>
      <x:c r="E632" s="103" t="str">
        <x:v>Material-row source portal</x:v>
      </x:c>
      <x:c r="F632" s="103" t="str">
        <x:v>Source portal is identified, but edition/revision and property record locator remain unresolved.</x:v>
      </x:c>
    </x:row>
    <x:row r="633">
      <x:c r="A633" s="54" t="n">
        <x:v>2105</x:v>
      </x:c>
      <x:c r="B633" s="54" t="n">
        <x:v>6</x:v>
      </x:c>
      <x:c r="C633" s="54" t="n">
        <x:v>3</x:v>
      </x:c>
      <x:c r="D633" s="54" t="n">
        <x:v>1</x:v>
      </x:c>
      <x:c r="E633" s="103" t="str">
        <x:v>Material-row source portal</x:v>
      </x:c>
      <x:c r="F633" s="103" t="str">
        <x:v>Source portal is identified, but edition/revision and property record locator remain unresolved.</x:v>
      </x:c>
    </x:row>
    <x:row r="634">
      <x:c r="A634" s="54" t="n">
        <x:v>2105</x:v>
      </x:c>
      <x:c r="B634" s="54" t="n">
        <x:v>9</x:v>
      </x:c>
      <x:c r="C634" s="54" t="n">
        <x:v>3</x:v>
      </x:c>
      <x:c r="D634" s="54" t="n">
        <x:v>1</x:v>
      </x:c>
      <x:c r="E634" s="103" t="str">
        <x:v>Material-row source portal</x:v>
      </x:c>
      <x:c r="F634" s="103" t="str">
        <x:v>Source portal is identified, but edition/revision and property record locator remain unresolved.</x:v>
      </x:c>
    </x:row>
    <x:row r="635">
      <x:c r="A635" s="54" t="n">
        <x:v>2105</x:v>
      </x:c>
      <x:c r="B635" s="54" t="n">
        <x:v>10</x:v>
      </x:c>
      <x:c r="C635" s="54" t="n">
        <x:v>3</x:v>
      </x:c>
      <x:c r="D635" s="54" t="n">
        <x:v>1</x:v>
      </x:c>
      <x:c r="E635" s="103" t="str">
        <x:v>Material-row source portal</x:v>
      </x:c>
      <x:c r="F635" s="103" t="str">
        <x:v>Source portal is identified, but edition/revision and property record locator remain unresolved.</x:v>
      </x:c>
    </x:row>
    <x:row r="636">
      <x:c r="A636" s="54" t="n">
        <x:v>2105</x:v>
      </x:c>
      <x:c r="B636" s="54" t="n">
        <x:v>11</x:v>
      </x:c>
      <x:c r="C636" s="54" t="n">
        <x:v>3</x:v>
      </x:c>
      <x:c r="D636" s="54" t="n">
        <x:v>1</x:v>
      </x:c>
      <x:c r="E636" s="103" t="str">
        <x:v>Material-row source portal</x:v>
      </x:c>
      <x:c r="F636" s="103" t="str">
        <x:v>Source portal is identified, but edition/revision and property record locator remain unresolved.</x:v>
      </x:c>
    </x:row>
    <x:row r="637">
      <x:c r="A637" s="54" t="n">
        <x:v>2105</x:v>
      </x:c>
      <x:c r="B637" s="54" t="n">
        <x:v>12</x:v>
      </x:c>
      <x:c r="C637" s="54" t="n">
        <x:v>3</x:v>
      </x:c>
      <x:c r="D637" s="54" t="n">
        <x:v>1</x:v>
      </x:c>
      <x:c r="E637" s="103" t="str">
        <x:v>Material-row source portal</x:v>
      </x:c>
      <x:c r="F637" s="103" t="str">
        <x:v>Source portal is identified, but edition/revision and property record locator remain unresolved.</x:v>
      </x:c>
    </x:row>
    <x:row r="638">
      <x:c r="A638" s="54" t="n">
        <x:v>2105</x:v>
      </x:c>
      <x:c r="B638" s="54" t="n">
        <x:v>13</x:v>
      </x:c>
      <x:c r="C638" s="54" t="n">
        <x:v>3</x:v>
      </x:c>
      <x:c r="D638" s="54" t="n">
        <x:v>1</x:v>
      </x:c>
      <x:c r="E638" s="103" t="str">
        <x:v>Material-row source portal</x:v>
      </x:c>
      <x:c r="F638" s="103" t="str">
        <x:v>Source portal is identified, but edition/revision and property record locator remain unresolved.</x:v>
      </x:c>
    </x:row>
    <x:row r="639">
      <x:c r="A639" s="54" t="n">
        <x:v>2105</x:v>
      </x:c>
      <x:c r="B639" s="54" t="n">
        <x:v>14</x:v>
      </x:c>
      <x:c r="C639" s="54" t="n">
        <x:v>3</x:v>
      </x:c>
      <x:c r="D639" s="54" t="n">
        <x:v>1</x:v>
      </x:c>
      <x:c r="E639" s="103" t="str">
        <x:v>Material-row source portal</x:v>
      </x:c>
      <x:c r="F639" s="103" t="str">
        <x:v>Source portal is identified, but edition/revision and property record locator remain unresolved.</x:v>
      </x:c>
    </x:row>
    <x:row r="640">
      <x:c r="A640" s="54" t="n">
        <x:v>2105</x:v>
      </x:c>
      <x:c r="B640" s="54" t="n">
        <x:v>15</x:v>
      </x:c>
      <x:c r="C640" s="54" t="n">
        <x:v>3</x:v>
      </x:c>
      <x:c r="D640" s="54" t="n">
        <x:v>1</x:v>
      </x:c>
      <x:c r="E640" s="103" t="str">
        <x:v>Material-row source portal</x:v>
      </x:c>
      <x:c r="F640" s="103" t="str">
        <x:v>Source portal is identified, but edition/revision and property record locator remain unresolved.</x:v>
      </x:c>
    </x:row>
    <x:row r="641">
      <x:c r="A641" s="54" t="n">
        <x:v>2105</x:v>
      </x:c>
      <x:c r="B641" s="54" t="n">
        <x:v>16</x:v>
      </x:c>
      <x:c r="C641" s="54" t="n">
        <x:v>3</x:v>
      </x:c>
      <x:c r="D641" s="54" t="n">
        <x:v>1</x:v>
      </x:c>
      <x:c r="E641" s="103" t="str">
        <x:v>Material-row source portal</x:v>
      </x:c>
      <x:c r="F641" s="103" t="str">
        <x:v>Source portal is identified, but edition/revision and property record locator remain unresolved.</x:v>
      </x:c>
    </x:row>
    <x:row r="642">
      <x:c r="A642" s="54" t="n">
        <x:v>2105</x:v>
      </x:c>
      <x:c r="B642" s="54" t="n">
        <x:v>17</x:v>
      </x:c>
      <x:c r="C642" s="54" t="n">
        <x:v>3</x:v>
      </x:c>
      <x:c r="D642" s="54" t="n">
        <x:v>1</x:v>
      </x:c>
      <x:c r="E642" s="103" t="str">
        <x:v>Material-row source portal</x:v>
      </x:c>
      <x:c r="F642" s="103" t="str">
        <x:v>Source portal is identified, but edition/revision and property record locator remain unresolved.</x:v>
      </x:c>
    </x:row>
    <x:row r="643">
      <x:c r="A643" s="54" t="n">
        <x:v>2105</x:v>
      </x:c>
      <x:c r="B643" s="54" t="n">
        <x:v>18</x:v>
      </x:c>
      <x:c r="C643" s="54" t="n">
        <x:v>3</x:v>
      </x:c>
      <x:c r="D643" s="54" t="n">
        <x:v>1</x:v>
      </x:c>
      <x:c r="E643" s="103" t="str">
        <x:v>Formula-derived from E and Poisson ratio; input records inherit the material-row source</x:v>
      </x:c>
      <x:c r="F643" s="103" t="str">
        <x:v>Source portal is identified, but edition/revision and property record locator remain unresolved.</x:v>
      </x:c>
    </x:row>
    <x:row r="644">
      <x:c r="A644" s="54" t="n">
        <x:v>2106</x:v>
      </x:c>
      <x:c r="B644" s="54" t="n">
        <x:v>1</x:v>
      </x:c>
      <x:c r="C644" s="54" t="n">
        <x:v>3</x:v>
      </x:c>
      <x:c r="D644" s="54" t="n">
        <x:v>1</x:v>
      </x:c>
      <x:c r="E644" s="103" t="str">
        <x:v>Material-row source portal</x:v>
      </x:c>
      <x:c r="F644" s="103" t="str">
        <x:v>Source portal is identified, but edition/revision and property record locator remain unresolved.</x:v>
      </x:c>
    </x:row>
    <x:row r="645">
      <x:c r="A645" s="54" t="n">
        <x:v>2106</x:v>
      </x:c>
      <x:c r="B645" s="54" t="n">
        <x:v>2</x:v>
      </x:c>
      <x:c r="C645" s="54" t="n">
        <x:v>3</x:v>
      </x:c>
      <x:c r="D645" s="54" t="n">
        <x:v>1</x:v>
      </x:c>
      <x:c r="E645" s="103" t="str">
        <x:v>Material-row source portal</x:v>
      </x:c>
      <x:c r="F645" s="103" t="str">
        <x:v>Source portal is identified, but edition/revision and property record locator remain unresolved.</x:v>
      </x:c>
    </x:row>
    <x:row r="646">
      <x:c r="A646" s="54" t="n">
        <x:v>2106</x:v>
      </x:c>
      <x:c r="B646" s="54" t="n">
        <x:v>3</x:v>
      </x:c>
      <x:c r="C646" s="54" t="n">
        <x:v>3</x:v>
      </x:c>
      <x:c r="D646" s="54" t="n">
        <x:v>1</x:v>
      </x:c>
      <x:c r="E646" s="103" t="str">
        <x:v>Formula-derived from E and Poisson ratio; input records inherit the material-row source</x:v>
      </x:c>
      <x:c r="F646" s="103" t="str">
        <x:v>Source portal is identified, but edition/revision and property record locator remain unresolved.</x:v>
      </x:c>
    </x:row>
    <x:row r="647">
      <x:c r="A647" s="54" t="n">
        <x:v>2106</x:v>
      </x:c>
      <x:c r="B647" s="54" t="n">
        <x:v>4</x:v>
      </x:c>
      <x:c r="C647" s="54" t="n">
        <x:v>3</x:v>
      </x:c>
      <x:c r="D647" s="54" t="n">
        <x:v>1</x:v>
      </x:c>
      <x:c r="E647" s="103" t="str">
        <x:v>Material-row source portal</x:v>
      </x:c>
      <x:c r="F647" s="103" t="str">
        <x:v>Source portal is identified, but edition/revision and property record locator remain unresolved.</x:v>
      </x:c>
    </x:row>
    <x:row r="648">
      <x:c r="A648" s="54" t="n">
        <x:v>2106</x:v>
      </x:c>
      <x:c r="B648" s="54" t="n">
        <x:v>5</x:v>
      </x:c>
      <x:c r="C648" s="54" t="n">
        <x:v>3</x:v>
      </x:c>
      <x:c r="D648" s="54" t="n">
        <x:v>1</x:v>
      </x:c>
      <x:c r="E648" s="103" t="str">
        <x:v>Material-row source portal</x:v>
      </x:c>
      <x:c r="F648" s="103" t="str">
        <x:v>Source portal is identified, but edition/revision and property record locator remain unresolved.</x:v>
      </x:c>
    </x:row>
    <x:row r="649">
      <x:c r="A649" s="54" t="n">
        <x:v>2106</x:v>
      </x:c>
      <x:c r="B649" s="54" t="n">
        <x:v>6</x:v>
      </x:c>
      <x:c r="C649" s="54" t="n">
        <x:v>3</x:v>
      </x:c>
      <x:c r="D649" s="54" t="n">
        <x:v>1</x:v>
      </x:c>
      <x:c r="E649" s="103" t="str">
        <x:v>Material-row source portal</x:v>
      </x:c>
      <x:c r="F649" s="103" t="str">
        <x:v>Source portal is identified, but edition/revision and property record locator remain unresolved.</x:v>
      </x:c>
    </x:row>
    <x:row r="650">
      <x:c r="A650" s="54" t="n">
        <x:v>2106</x:v>
      </x:c>
      <x:c r="B650" s="54" t="n">
        <x:v>9</x:v>
      </x:c>
      <x:c r="C650" s="54" t="n">
        <x:v>3</x:v>
      </x:c>
      <x:c r="D650" s="54" t="n">
        <x:v>1</x:v>
      </x:c>
      <x:c r="E650" s="103" t="str">
        <x:v>Material-row source portal</x:v>
      </x:c>
      <x:c r="F650" s="103" t="str">
        <x:v>Source portal is identified, but edition/revision and property record locator remain unresolved.</x:v>
      </x:c>
    </x:row>
    <x:row r="651">
      <x:c r="A651" s="54" t="n">
        <x:v>2106</x:v>
      </x:c>
      <x:c r="B651" s="54" t="n">
        <x:v>10</x:v>
      </x:c>
      <x:c r="C651" s="54" t="n">
        <x:v>3</x:v>
      </x:c>
      <x:c r="D651" s="54" t="n">
        <x:v>1</x:v>
      </x:c>
      <x:c r="E651" s="103" t="str">
        <x:v>Material-row source portal</x:v>
      </x:c>
      <x:c r="F651" s="103" t="str">
        <x:v>Source portal is identified, but edition/revision and property record locator remain unresolved.</x:v>
      </x:c>
    </x:row>
    <x:row r="652">
      <x:c r="A652" s="54" t="n">
        <x:v>2106</x:v>
      </x:c>
      <x:c r="B652" s="54" t="n">
        <x:v>11</x:v>
      </x:c>
      <x:c r="C652" s="54" t="n">
        <x:v>3</x:v>
      </x:c>
      <x:c r="D652" s="54" t="n">
        <x:v>1</x:v>
      </x:c>
      <x:c r="E652" s="103" t="str">
        <x:v>Material-row source portal</x:v>
      </x:c>
      <x:c r="F652" s="103" t="str">
        <x:v>Source portal is identified, but edition/revision and property record locator remain unresolved.</x:v>
      </x:c>
    </x:row>
    <x:row r="653">
      <x:c r="A653" s="54" t="n">
        <x:v>2106</x:v>
      </x:c>
      <x:c r="B653" s="54" t="n">
        <x:v>12</x:v>
      </x:c>
      <x:c r="C653" s="54" t="n">
        <x:v>3</x:v>
      </x:c>
      <x:c r="D653" s="54" t="n">
        <x:v>1</x:v>
      </x:c>
      <x:c r="E653" s="103" t="str">
        <x:v>Material-row source portal</x:v>
      </x:c>
      <x:c r="F653" s="103" t="str">
        <x:v>Source portal is identified, but edition/revision and property record locator remain unresolved.</x:v>
      </x:c>
    </x:row>
    <x:row r="654">
      <x:c r="A654" s="54" t="n">
        <x:v>2106</x:v>
      </x:c>
      <x:c r="B654" s="54" t="n">
        <x:v>13</x:v>
      </x:c>
      <x:c r="C654" s="54" t="n">
        <x:v>3</x:v>
      </x:c>
      <x:c r="D654" s="54" t="n">
        <x:v>1</x:v>
      </x:c>
      <x:c r="E654" s="103" t="str">
        <x:v>Material-row source portal</x:v>
      </x:c>
      <x:c r="F654" s="103" t="str">
        <x:v>Source portal is identified, but edition/revision and property record locator remain unresolved.</x:v>
      </x:c>
    </x:row>
    <x:row r="655">
      <x:c r="A655" s="54" t="n">
        <x:v>2106</x:v>
      </x:c>
      <x:c r="B655" s="54" t="n">
        <x:v>14</x:v>
      </x:c>
      <x:c r="C655" s="54" t="n">
        <x:v>3</x:v>
      </x:c>
      <x:c r="D655" s="54" t="n">
        <x:v>1</x:v>
      </x:c>
      <x:c r="E655" s="103" t="str">
        <x:v>Material-row source portal</x:v>
      </x:c>
      <x:c r="F655" s="103" t="str">
        <x:v>Source portal is identified, but edition/revision and property record locator remain unresolved.</x:v>
      </x:c>
    </x:row>
    <x:row r="656">
      <x:c r="A656" s="54" t="n">
        <x:v>2106</x:v>
      </x:c>
      <x:c r="B656" s="54" t="n">
        <x:v>15</x:v>
      </x:c>
      <x:c r="C656" s="54" t="n">
        <x:v>3</x:v>
      </x:c>
      <x:c r="D656" s="54" t="n">
        <x:v>1</x:v>
      </x:c>
      <x:c r="E656" s="103" t="str">
        <x:v>Material-row source portal</x:v>
      </x:c>
      <x:c r="F656" s="103" t="str">
        <x:v>Source portal is identified, but edition/revision and property record locator remain unresolved.</x:v>
      </x:c>
    </x:row>
    <x:row r="657">
      <x:c r="A657" s="54" t="n">
        <x:v>2106</x:v>
      </x:c>
      <x:c r="B657" s="54" t="n">
        <x:v>16</x:v>
      </x:c>
      <x:c r="C657" s="54" t="n">
        <x:v>3</x:v>
      </x:c>
      <x:c r="D657" s="54" t="n">
        <x:v>1</x:v>
      </x:c>
      <x:c r="E657" s="103" t="str">
        <x:v>Material-row source portal</x:v>
      </x:c>
      <x:c r="F657" s="103" t="str">
        <x:v>Source portal is identified, but edition/revision and property record locator remain unresolved.</x:v>
      </x:c>
    </x:row>
    <x:row r="658">
      <x:c r="A658" s="54" t="n">
        <x:v>2106</x:v>
      </x:c>
      <x:c r="B658" s="54" t="n">
        <x:v>17</x:v>
      </x:c>
      <x:c r="C658" s="54" t="n">
        <x:v>3</x:v>
      </x:c>
      <x:c r="D658" s="54" t="n">
        <x:v>1</x:v>
      </x:c>
      <x:c r="E658" s="103" t="str">
        <x:v>Material-row source portal</x:v>
      </x:c>
      <x:c r="F658" s="103" t="str">
        <x:v>Source portal is identified, but edition/revision and property record locator remain unresolved.</x:v>
      </x:c>
    </x:row>
    <x:row r="659">
      <x:c r="A659" s="54" t="n">
        <x:v>2106</x:v>
      </x:c>
      <x:c r="B659" s="54" t="n">
        <x:v>18</x:v>
      </x:c>
      <x:c r="C659" s="54" t="n">
        <x:v>3</x:v>
      </x:c>
      <x:c r="D659" s="54" t="n">
        <x:v>1</x:v>
      </x:c>
      <x:c r="E659" s="103" t="str">
        <x:v>Formula-derived from E and Poisson ratio; input records inherit the material-row source</x:v>
      </x:c>
      <x:c r="F659" s="103" t="str">
        <x:v>Source portal is identified, but edition/revision and property record locator remain unresolved.</x:v>
      </x:c>
    </x:row>
    <x:row r="660">
      <x:c r="A660" s="54" t="n">
        <x:v>2201</x:v>
      </x:c>
      <x:c r="B660" s="54" t="n">
        <x:v>1</x:v>
      </x:c>
      <x:c r="C660" s="54" t="n">
        <x:v>1</x:v>
      </x:c>
      <x:c r="D660" s="54" t="n">
        <x:v>1</x:v>
      </x:c>
      <x:c r="E660" s="103" t="str">
        <x:v>Material-row source portal</x:v>
      </x:c>
      <x:c r="F660" s="103" t="str">
        <x:v>Source portal is identified, but edition/revision and property record locator remain unresolved.</x:v>
      </x:c>
    </x:row>
    <x:row r="661">
      <x:c r="A661" s="54" t="n">
        <x:v>2201</x:v>
      </x:c>
      <x:c r="B661" s="54" t="n">
        <x:v>2</x:v>
      </x:c>
      <x:c r="C661" s="54" t="n">
        <x:v>1</x:v>
      </x:c>
      <x:c r="D661" s="54" t="n">
        <x:v>1</x:v>
      </x:c>
      <x:c r="E661" s="103" t="str">
        <x:v>Material-row source portal</x:v>
      </x:c>
      <x:c r="F661" s="103" t="str">
        <x:v>Source portal is identified, but edition/revision and property record locator remain unresolved.</x:v>
      </x:c>
    </x:row>
    <x:row r="662">
      <x:c r="A662" s="54" t="n">
        <x:v>2201</x:v>
      </x:c>
      <x:c r="B662" s="54" t="n">
        <x:v>3</x:v>
      </x:c>
      <x:c r="C662" s="54" t="n">
        <x:v>1</x:v>
      </x:c>
      <x:c r="D662" s="54" t="n">
        <x:v>1</x:v>
      </x:c>
      <x:c r="E662" s="103" t="str">
        <x:v>Formula-derived from E and Poisson ratio; input records inherit the material-row source</x:v>
      </x:c>
      <x:c r="F662" s="103" t="str">
        <x:v>Source portal is identified, but edition/revision and property record locator remain unresolved.</x:v>
      </x:c>
    </x:row>
    <x:row r="663">
      <x:c r="A663" s="54" t="n">
        <x:v>2201</x:v>
      </x:c>
      <x:c r="B663" s="54" t="n">
        <x:v>4</x:v>
      </x:c>
      <x:c r="C663" s="54" t="n">
        <x:v>1</x:v>
      </x:c>
      <x:c r="D663" s="54" t="n">
        <x:v>1</x:v>
      </x:c>
      <x:c r="E663" s="103" t="str">
        <x:v>Material-row source portal</x:v>
      </x:c>
      <x:c r="F663" s="103" t="str">
        <x:v>Source portal is identified, but edition/revision and property record locator remain unresolved.</x:v>
      </x:c>
    </x:row>
    <x:row r="664">
      <x:c r="A664" s="54" t="n">
        <x:v>2201</x:v>
      </x:c>
      <x:c r="B664" s="54" t="n">
        <x:v>5</x:v>
      </x:c>
      <x:c r="C664" s="54" t="n">
        <x:v>1</x:v>
      </x:c>
      <x:c r="D664" s="54" t="n">
        <x:v>1</x:v>
      </x:c>
      <x:c r="E664" s="103" t="str">
        <x:v>Material-row source portal</x:v>
      </x:c>
      <x:c r="F664" s="103" t="str">
        <x:v>Source portal is identified, but edition/revision and property record locator remain unresolved.</x:v>
      </x:c>
    </x:row>
    <x:row r="665">
      <x:c r="A665" s="54" t="n">
        <x:v>2201</x:v>
      </x:c>
      <x:c r="B665" s="54" t="n">
        <x:v>6</x:v>
      </x:c>
      <x:c r="C665" s="54" t="n">
        <x:v>1</x:v>
      </x:c>
      <x:c r="D665" s="54" t="n">
        <x:v>1</x:v>
      </x:c>
      <x:c r="E665" s="103" t="str">
        <x:v>Material-row source portal</x:v>
      </x:c>
      <x:c r="F665" s="103" t="str">
        <x:v>Source portal is identified, but edition/revision and property record locator remain unresolved.</x:v>
      </x:c>
    </x:row>
    <x:row r="666">
      <x:c r="A666" s="54" t="n">
        <x:v>2201</x:v>
      </x:c>
      <x:c r="B666" s="54" t="n">
        <x:v>9</x:v>
      </x:c>
      <x:c r="C666" s="54" t="n">
        <x:v>1</x:v>
      </x:c>
      <x:c r="D666" s="54" t="n">
        <x:v>1</x:v>
      </x:c>
      <x:c r="E666" s="103" t="str">
        <x:v>Material-row source portal</x:v>
      </x:c>
      <x:c r="F666" s="103" t="str">
        <x:v>Source portal is identified, but edition/revision and property record locator remain unresolved.</x:v>
      </x:c>
    </x:row>
    <x:row r="667">
      <x:c r="A667" s="54" t="n">
        <x:v>2201</x:v>
      </x:c>
      <x:c r="B667" s="54" t="n">
        <x:v>10</x:v>
      </x:c>
      <x:c r="C667" s="54" t="n">
        <x:v>1</x:v>
      </x:c>
      <x:c r="D667" s="54" t="n">
        <x:v>1</x:v>
      </x:c>
      <x:c r="E667" s="103" t="str">
        <x:v>Material-row source portal</x:v>
      </x:c>
      <x:c r="F667" s="103" t="str">
        <x:v>Source portal is identified, but edition/revision and property record locator remain unresolved.</x:v>
      </x:c>
    </x:row>
    <x:row r="668">
      <x:c r="A668" s="54" t="n">
        <x:v>2201</x:v>
      </x:c>
      <x:c r="B668" s="54" t="n">
        <x:v>11</x:v>
      </x:c>
      <x:c r="C668" s="54" t="n">
        <x:v>1</x:v>
      </x:c>
      <x:c r="D668" s="54" t="n">
        <x:v>1</x:v>
      </x:c>
      <x:c r="E668" s="103" t="str">
        <x:v>Material-row source portal</x:v>
      </x:c>
      <x:c r="F668" s="103" t="str">
        <x:v>Source portal is identified, but edition/revision and property record locator remain unresolved.</x:v>
      </x:c>
    </x:row>
    <x:row r="669">
      <x:c r="A669" s="54" t="n">
        <x:v>2201</x:v>
      </x:c>
      <x:c r="B669" s="54" t="n">
        <x:v>12</x:v>
      </x:c>
      <x:c r="C669" s="54" t="n">
        <x:v>1</x:v>
      </x:c>
      <x:c r="D669" s="54" t="n">
        <x:v>1</x:v>
      </x:c>
      <x:c r="E669" s="103" t="str">
        <x:v>Material-row source portal</x:v>
      </x:c>
      <x:c r="F669" s="103" t="str">
        <x:v>Source portal is identified, but edition/revision and property record locator remain unresolved.</x:v>
      </x:c>
    </x:row>
    <x:row r="670">
      <x:c r="A670" s="54" t="n">
        <x:v>2201</x:v>
      </x:c>
      <x:c r="B670" s="54" t="n">
        <x:v>13</x:v>
      </x:c>
      <x:c r="C670" s="54" t="n">
        <x:v>1</x:v>
      </x:c>
      <x:c r="D670" s="54" t="n">
        <x:v>1</x:v>
      </x:c>
      <x:c r="E670" s="103" t="str">
        <x:v>Material-row source portal</x:v>
      </x:c>
      <x:c r="F670" s="103" t="str">
        <x:v>Source portal is identified, but edition/revision and property record locator remain unresolved.</x:v>
      </x:c>
    </x:row>
    <x:row r="671">
      <x:c r="A671" s="54" t="n">
        <x:v>2201</x:v>
      </x:c>
      <x:c r="B671" s="54" t="n">
        <x:v>14</x:v>
      </x:c>
      <x:c r="C671" s="54" t="n">
        <x:v>1</x:v>
      </x:c>
      <x:c r="D671" s="54" t="n">
        <x:v>1</x:v>
      </x:c>
      <x:c r="E671" s="103" t="str">
        <x:v>Material-row source portal</x:v>
      </x:c>
      <x:c r="F671" s="103" t="str">
        <x:v>Source portal is identified, but edition/revision and property record locator remain unresolved.</x:v>
      </x:c>
    </x:row>
    <x:row r="672">
      <x:c r="A672" s="54" t="n">
        <x:v>2201</x:v>
      </x:c>
      <x:c r="B672" s="54" t="n">
        <x:v>15</x:v>
      </x:c>
      <x:c r="C672" s="54" t="n">
        <x:v>1</x:v>
      </x:c>
      <x:c r="D672" s="54" t="n">
        <x:v>1</x:v>
      </x:c>
      <x:c r="E672" s="103" t="str">
        <x:v>Material-row source portal</x:v>
      </x:c>
      <x:c r="F672" s="103" t="str">
        <x:v>Source portal is identified, but edition/revision and property record locator remain unresolved.</x:v>
      </x:c>
    </x:row>
    <x:row r="673">
      <x:c r="A673" s="54" t="n">
        <x:v>2201</x:v>
      </x:c>
      <x:c r="B673" s="54" t="n">
        <x:v>16</x:v>
      </x:c>
      <x:c r="C673" s="54" t="n">
        <x:v>1</x:v>
      </x:c>
      <x:c r="D673" s="54" t="n">
        <x:v>1</x:v>
      </x:c>
      <x:c r="E673" s="103" t="str">
        <x:v>Material-row source portal</x:v>
      </x:c>
      <x:c r="F673" s="103" t="str">
        <x:v>Source portal is identified, but edition/revision and property record locator remain unresolved.</x:v>
      </x:c>
    </x:row>
    <x:row r="674">
      <x:c r="A674" s="54" t="n">
        <x:v>2201</x:v>
      </x:c>
      <x:c r="B674" s="54" t="n">
        <x:v>17</x:v>
      </x:c>
      <x:c r="C674" s="54" t="n">
        <x:v>1</x:v>
      </x:c>
      <x:c r="D674" s="54" t="n">
        <x:v>1</x:v>
      </x:c>
      <x:c r="E674" s="103" t="str">
        <x:v>Material-row source portal</x:v>
      </x:c>
      <x:c r="F674" s="103" t="str">
        <x:v>Source portal is identified, but edition/revision and property record locator remain unresolved.</x:v>
      </x:c>
    </x:row>
    <x:row r="675">
      <x:c r="A675" s="54" t="n">
        <x:v>2201</x:v>
      </x:c>
      <x:c r="B675" s="54" t="n">
        <x:v>18</x:v>
      </x:c>
      <x:c r="C675" s="54" t="n">
        <x:v>1</x:v>
      </x:c>
      <x:c r="D675" s="54" t="n">
        <x:v>1</x:v>
      </x:c>
      <x:c r="E675" s="103" t="str">
        <x:v>Formula-derived from E and Poisson ratio; input records inherit the material-row source</x:v>
      </x:c>
      <x:c r="F675" s="103" t="str">
        <x:v>Source portal is identified, but edition/revision and property record locator remain unresolved.</x:v>
      </x:c>
    </x:row>
    <x:row r="676">
      <x:c r="A676" s="54" t="n">
        <x:v>2202</x:v>
      </x:c>
      <x:c r="B676" s="54" t="n">
        <x:v>1</x:v>
      </x:c>
      <x:c r="C676" s="54" t="n">
        <x:v>1</x:v>
      </x:c>
      <x:c r="D676" s="54" t="n">
        <x:v>1</x:v>
      </x:c>
      <x:c r="E676" s="103" t="str">
        <x:v>Material-row source portal</x:v>
      </x:c>
      <x:c r="F676" s="103" t="str">
        <x:v>Source portal is identified, but edition/revision and property record locator remain unresolved.</x:v>
      </x:c>
    </x:row>
    <x:row r="677">
      <x:c r="A677" s="54" t="n">
        <x:v>2202</x:v>
      </x:c>
      <x:c r="B677" s="54" t="n">
        <x:v>2</x:v>
      </x:c>
      <x:c r="C677" s="54" t="n">
        <x:v>1</x:v>
      </x:c>
      <x:c r="D677" s="54" t="n">
        <x:v>1</x:v>
      </x:c>
      <x:c r="E677" s="103" t="str">
        <x:v>Material-row source portal</x:v>
      </x:c>
      <x:c r="F677" s="103" t="str">
        <x:v>Source portal is identified, but edition/revision and property record locator remain unresolved.</x:v>
      </x:c>
    </x:row>
    <x:row r="678">
      <x:c r="A678" s="54" t="n">
        <x:v>2202</x:v>
      </x:c>
      <x:c r="B678" s="54" t="n">
        <x:v>3</x:v>
      </x:c>
      <x:c r="C678" s="54" t="n">
        <x:v>1</x:v>
      </x:c>
      <x:c r="D678" s="54" t="n">
        <x:v>1</x:v>
      </x:c>
      <x:c r="E678" s="103" t="str">
        <x:v>Formula-derived from E and Poisson ratio; input records inherit the material-row source</x:v>
      </x:c>
      <x:c r="F678" s="103" t="str">
        <x:v>Source portal is identified, but edition/revision and property record locator remain unresolved.</x:v>
      </x:c>
    </x:row>
    <x:row r="679">
      <x:c r="A679" s="54" t="n">
        <x:v>2202</x:v>
      </x:c>
      <x:c r="B679" s="54" t="n">
        <x:v>4</x:v>
      </x:c>
      <x:c r="C679" s="54" t="n">
        <x:v>1</x:v>
      </x:c>
      <x:c r="D679" s="54" t="n">
        <x:v>1</x:v>
      </x:c>
      <x:c r="E679" s="103" t="str">
        <x:v>Material-row source portal</x:v>
      </x:c>
      <x:c r="F679" s="103" t="str">
        <x:v>Source portal is identified, but edition/revision and property record locator remain unresolved.</x:v>
      </x:c>
    </x:row>
    <x:row r="680">
      <x:c r="A680" s="54" t="n">
        <x:v>2202</x:v>
      </x:c>
      <x:c r="B680" s="54" t="n">
        <x:v>5</x:v>
      </x:c>
      <x:c r="C680" s="54" t="n">
        <x:v>1</x:v>
      </x:c>
      <x:c r="D680" s="54" t="n">
        <x:v>1</x:v>
      </x:c>
      <x:c r="E680" s="103" t="str">
        <x:v>Material-row source portal</x:v>
      </x:c>
      <x:c r="F680" s="103" t="str">
        <x:v>Source portal is identified, but edition/revision and property record locator remain unresolved.</x:v>
      </x:c>
    </x:row>
    <x:row r="681">
      <x:c r="A681" s="54" t="n">
        <x:v>2202</x:v>
      </x:c>
      <x:c r="B681" s="54" t="n">
        <x:v>6</x:v>
      </x:c>
      <x:c r="C681" s="54" t="n">
        <x:v>1</x:v>
      </x:c>
      <x:c r="D681" s="54" t="n">
        <x:v>1</x:v>
      </x:c>
      <x:c r="E681" s="103" t="str">
        <x:v>Material-row source portal</x:v>
      </x:c>
      <x:c r="F681" s="103" t="str">
        <x:v>Source portal is identified, but edition/revision and property record locator remain unresolved.</x:v>
      </x:c>
    </x:row>
    <x:row r="682">
      <x:c r="A682" s="54" t="n">
        <x:v>2202</x:v>
      </x:c>
      <x:c r="B682" s="54" t="n">
        <x:v>9</x:v>
      </x:c>
      <x:c r="C682" s="54" t="n">
        <x:v>1</x:v>
      </x:c>
      <x:c r="D682" s="54" t="n">
        <x:v>1</x:v>
      </x:c>
      <x:c r="E682" s="103" t="str">
        <x:v>Material-row source portal</x:v>
      </x:c>
      <x:c r="F682" s="103" t="str">
        <x:v>Source portal is identified, but edition/revision and property record locator remain unresolved.</x:v>
      </x:c>
    </x:row>
    <x:row r="683">
      <x:c r="A683" s="54" t="n">
        <x:v>2202</x:v>
      </x:c>
      <x:c r="B683" s="54" t="n">
        <x:v>10</x:v>
      </x:c>
      <x:c r="C683" s="54" t="n">
        <x:v>1</x:v>
      </x:c>
      <x:c r="D683" s="54" t="n">
        <x:v>1</x:v>
      </x:c>
      <x:c r="E683" s="103" t="str">
        <x:v>Material-row source portal</x:v>
      </x:c>
      <x:c r="F683" s="103" t="str">
        <x:v>Source portal is identified, but edition/revision and property record locator remain unresolved.</x:v>
      </x:c>
    </x:row>
    <x:row r="684">
      <x:c r="A684" s="54" t="n">
        <x:v>2202</x:v>
      </x:c>
      <x:c r="B684" s="54" t="n">
        <x:v>11</x:v>
      </x:c>
      <x:c r="C684" s="54" t="n">
        <x:v>1</x:v>
      </x:c>
      <x:c r="D684" s="54" t="n">
        <x:v>1</x:v>
      </x:c>
      <x:c r="E684" s="103" t="str">
        <x:v>Material-row source portal</x:v>
      </x:c>
      <x:c r="F684" s="103" t="str">
        <x:v>Source portal is identified, but edition/revision and property record locator remain unresolved.</x:v>
      </x:c>
    </x:row>
    <x:row r="685">
      <x:c r="A685" s="54" t="n">
        <x:v>2202</x:v>
      </x:c>
      <x:c r="B685" s="54" t="n">
        <x:v>12</x:v>
      </x:c>
      <x:c r="C685" s="54" t="n">
        <x:v>1</x:v>
      </x:c>
      <x:c r="D685" s="54" t="n">
        <x:v>1</x:v>
      </x:c>
      <x:c r="E685" s="103" t="str">
        <x:v>Material-row source portal</x:v>
      </x:c>
      <x:c r="F685" s="103" t="str">
        <x:v>Source portal is identified, but edition/revision and property record locator remain unresolved.</x:v>
      </x:c>
    </x:row>
    <x:row r="686">
      <x:c r="A686" s="54" t="n">
        <x:v>2202</x:v>
      </x:c>
      <x:c r="B686" s="54" t="n">
        <x:v>13</x:v>
      </x:c>
      <x:c r="C686" s="54" t="n">
        <x:v>1</x:v>
      </x:c>
      <x:c r="D686" s="54" t="n">
        <x:v>1</x:v>
      </x:c>
      <x:c r="E686" s="103" t="str">
        <x:v>Material-row source portal</x:v>
      </x:c>
      <x:c r="F686" s="103" t="str">
        <x:v>Source portal is identified, but edition/revision and property record locator remain unresolved.</x:v>
      </x:c>
    </x:row>
    <x:row r="687">
      <x:c r="A687" s="54" t="n">
        <x:v>2202</x:v>
      </x:c>
      <x:c r="B687" s="54" t="n">
        <x:v>14</x:v>
      </x:c>
      <x:c r="C687" s="54" t="n">
        <x:v>1</x:v>
      </x:c>
      <x:c r="D687" s="54" t="n">
        <x:v>1</x:v>
      </x:c>
      <x:c r="E687" s="103" t="str">
        <x:v>Material-row source portal</x:v>
      </x:c>
      <x:c r="F687" s="103" t="str">
        <x:v>Source portal is identified, but edition/revision and property record locator remain unresolved.</x:v>
      </x:c>
    </x:row>
    <x:row r="688">
      <x:c r="A688" s="54" t="n">
        <x:v>2202</x:v>
      </x:c>
      <x:c r="B688" s="54" t="n">
        <x:v>15</x:v>
      </x:c>
      <x:c r="C688" s="54" t="n">
        <x:v>1</x:v>
      </x:c>
      <x:c r="D688" s="54" t="n">
        <x:v>1</x:v>
      </x:c>
      <x:c r="E688" s="103" t="str">
        <x:v>Material-row source portal</x:v>
      </x:c>
      <x:c r="F688" s="103" t="str">
        <x:v>Source portal is identified, but edition/revision and property record locator remain unresolved.</x:v>
      </x:c>
    </x:row>
    <x:row r="689">
      <x:c r="A689" s="54" t="n">
        <x:v>2202</x:v>
      </x:c>
      <x:c r="B689" s="54" t="n">
        <x:v>16</x:v>
      </x:c>
      <x:c r="C689" s="54" t="n">
        <x:v>1</x:v>
      </x:c>
      <x:c r="D689" s="54" t="n">
        <x:v>1</x:v>
      </x:c>
      <x:c r="E689" s="103" t="str">
        <x:v>Material-row source portal</x:v>
      </x:c>
      <x:c r="F689" s="103" t="str">
        <x:v>Source portal is identified, but edition/revision and property record locator remain unresolved.</x:v>
      </x:c>
    </x:row>
    <x:row r="690">
      <x:c r="A690" s="54" t="n">
        <x:v>2202</x:v>
      </x:c>
      <x:c r="B690" s="54" t="n">
        <x:v>17</x:v>
      </x:c>
      <x:c r="C690" s="54" t="n">
        <x:v>1</x:v>
      </x:c>
      <x:c r="D690" s="54" t="n">
        <x:v>1</x:v>
      </x:c>
      <x:c r="E690" s="103" t="str">
        <x:v>Material-row source portal</x:v>
      </x:c>
      <x:c r="F690" s="103" t="str">
        <x:v>Source portal is identified, but edition/revision and property record locator remain unresolved.</x:v>
      </x:c>
    </x:row>
    <x:row r="691">
      <x:c r="A691" s="54" t="n">
        <x:v>2202</x:v>
      </x:c>
      <x:c r="B691" s="54" t="n">
        <x:v>18</x:v>
      </x:c>
      <x:c r="C691" s="54" t="n">
        <x:v>1</x:v>
      </x:c>
      <x:c r="D691" s="54" t="n">
        <x:v>1</x:v>
      </x:c>
      <x:c r="E691" s="103" t="str">
        <x:v>Formula-derived from E and Poisson ratio; input records inherit the material-row source</x:v>
      </x:c>
      <x:c r="F691" s="103" t="str">
        <x:v>Source portal is identified, but edition/revision and property record locator remain unresolved.</x:v>
      </x:c>
    </x:row>
    <x:row r="692">
      <x:c r="A692" s="54" t="n">
        <x:v>2301</x:v>
      </x:c>
      <x:c r="B692" s="54" t="n">
        <x:v>1</x:v>
      </x:c>
      <x:c r="C692" s="54" t="n">
        <x:v>1</x:v>
      </x:c>
      <x:c r="D692" s="54" t="n">
        <x:v>1</x:v>
      </x:c>
      <x:c r="E692" s="103" t="str">
        <x:v>Material-row source portal</x:v>
      </x:c>
      <x:c r="F692" s="103" t="str">
        <x:v>Source portal is identified, but edition/revision and property record locator remain unresolved.</x:v>
      </x:c>
    </x:row>
    <x:row r="693">
      <x:c r="A693" s="54" t="n">
        <x:v>2301</x:v>
      </x:c>
      <x:c r="B693" s="54" t="n">
        <x:v>2</x:v>
      </x:c>
      <x:c r="C693" s="54" t="n">
        <x:v>1</x:v>
      </x:c>
      <x:c r="D693" s="54" t="n">
        <x:v>1</x:v>
      </x:c>
      <x:c r="E693" s="103" t="str">
        <x:v>Material-row source portal</x:v>
      </x:c>
      <x:c r="F693" s="103" t="str">
        <x:v>Source portal is identified, but edition/revision and property record locator remain unresolved.</x:v>
      </x:c>
    </x:row>
    <x:row r="694">
      <x:c r="A694" s="54" t="n">
        <x:v>2301</x:v>
      </x:c>
      <x:c r="B694" s="54" t="n">
        <x:v>3</x:v>
      </x:c>
      <x:c r="C694" s="54" t="n">
        <x:v>1</x:v>
      </x:c>
      <x:c r="D694" s="54" t="n">
        <x:v>1</x:v>
      </x:c>
      <x:c r="E694" s="103" t="str">
        <x:v>Formula-derived from E and Poisson ratio; input records inherit the material-row source</x:v>
      </x:c>
      <x:c r="F694" s="103" t="str">
        <x:v>Source portal is identified, but edition/revision and property record locator remain unresolved.</x:v>
      </x:c>
    </x:row>
    <x:row r="695">
      <x:c r="A695" s="54" t="n">
        <x:v>2301</x:v>
      </x:c>
      <x:c r="B695" s="54" t="n">
        <x:v>4</x:v>
      </x:c>
      <x:c r="C695" s="54" t="n">
        <x:v>1</x:v>
      </x:c>
      <x:c r="D695" s="54" t="n">
        <x:v>1</x:v>
      </x:c>
      <x:c r="E695" s="103" t="str">
        <x:v>Material-row source portal</x:v>
      </x:c>
      <x:c r="F695" s="103" t="str">
        <x:v>Source portal is identified, but edition/revision and property record locator remain unresolved.</x:v>
      </x:c>
    </x:row>
    <x:row r="696">
      <x:c r="A696" s="54" t="n">
        <x:v>2301</x:v>
      </x:c>
      <x:c r="B696" s="54" t="n">
        <x:v>5</x:v>
      </x:c>
      <x:c r="C696" s="54" t="n">
        <x:v>1</x:v>
      </x:c>
      <x:c r="D696" s="54" t="n">
        <x:v>1</x:v>
      </x:c>
      <x:c r="E696" s="103" t="str">
        <x:v>Material-row source portal</x:v>
      </x:c>
      <x:c r="F696" s="103" t="str">
        <x:v>Source portal is identified, but edition/revision and property record locator remain unresolved.</x:v>
      </x:c>
    </x:row>
    <x:row r="697">
      <x:c r="A697" s="54" t="n">
        <x:v>2301</x:v>
      </x:c>
      <x:c r="B697" s="54" t="n">
        <x:v>6</x:v>
      </x:c>
      <x:c r="C697" s="54" t="n">
        <x:v>1</x:v>
      </x:c>
      <x:c r="D697" s="54" t="n">
        <x:v>1</x:v>
      </x:c>
      <x:c r="E697" s="103" t="str">
        <x:v>Material-row source portal</x:v>
      </x:c>
      <x:c r="F697" s="103" t="str">
        <x:v>Source portal is identified, but edition/revision and property record locator remain unresolved.</x:v>
      </x:c>
    </x:row>
    <x:row r="698">
      <x:c r="A698" s="54" t="n">
        <x:v>2301</x:v>
      </x:c>
      <x:c r="B698" s="54" t="n">
        <x:v>9</x:v>
      </x:c>
      <x:c r="C698" s="54" t="n">
        <x:v>1</x:v>
      </x:c>
      <x:c r="D698" s="54" t="n">
        <x:v>1</x:v>
      </x:c>
      <x:c r="E698" s="103" t="str">
        <x:v>Material-row source portal</x:v>
      </x:c>
      <x:c r="F698" s="103" t="str">
        <x:v>Source portal is identified, but edition/revision and property record locator remain unresolved.</x:v>
      </x:c>
    </x:row>
    <x:row r="699">
      <x:c r="A699" s="54" t="n">
        <x:v>2301</x:v>
      </x:c>
      <x:c r="B699" s="54" t="n">
        <x:v>10</x:v>
      </x:c>
      <x:c r="C699" s="54" t="n">
        <x:v>1</x:v>
      </x:c>
      <x:c r="D699" s="54" t="n">
        <x:v>1</x:v>
      </x:c>
      <x:c r="E699" s="103" t="str">
        <x:v>Material-row source portal</x:v>
      </x:c>
      <x:c r="F699" s="103" t="str">
        <x:v>Source portal is identified, but edition/revision and property record locator remain unresolved.</x:v>
      </x:c>
    </x:row>
    <x:row r="700">
      <x:c r="A700" s="54" t="n">
        <x:v>2301</x:v>
      </x:c>
      <x:c r="B700" s="54" t="n">
        <x:v>11</x:v>
      </x:c>
      <x:c r="C700" s="54" t="n">
        <x:v>1</x:v>
      </x:c>
      <x:c r="D700" s="54" t="n">
        <x:v>1</x:v>
      </x:c>
      <x:c r="E700" s="103" t="str">
        <x:v>Material-row source portal</x:v>
      </x:c>
      <x:c r="F700" s="103" t="str">
        <x:v>Source portal is identified, but edition/revision and property record locator remain unresolved.</x:v>
      </x:c>
    </x:row>
    <x:row r="701">
      <x:c r="A701" s="54" t="n">
        <x:v>2301</x:v>
      </x:c>
      <x:c r="B701" s="54" t="n">
        <x:v>12</x:v>
      </x:c>
      <x:c r="C701" s="54" t="n">
        <x:v>1</x:v>
      </x:c>
      <x:c r="D701" s="54" t="n">
        <x:v>1</x:v>
      </x:c>
      <x:c r="E701" s="103" t="str">
        <x:v>Material-row source portal</x:v>
      </x:c>
      <x:c r="F701" s="103" t="str">
        <x:v>Source portal is identified, but edition/revision and property record locator remain unresolved.</x:v>
      </x:c>
    </x:row>
    <x:row r="702">
      <x:c r="A702" s="54" t="n">
        <x:v>2301</x:v>
      </x:c>
      <x:c r="B702" s="54" t="n">
        <x:v>13</x:v>
      </x:c>
      <x:c r="C702" s="54" t="n">
        <x:v>1</x:v>
      </x:c>
      <x:c r="D702" s="54" t="n">
        <x:v>1</x:v>
      </x:c>
      <x:c r="E702" s="103" t="str">
        <x:v>Material-row source portal</x:v>
      </x:c>
      <x:c r="F702" s="103" t="str">
        <x:v>Source portal is identified, but edition/revision and property record locator remain unresolved.</x:v>
      </x:c>
    </x:row>
    <x:row r="703">
      <x:c r="A703" s="54" t="n">
        <x:v>2301</x:v>
      </x:c>
      <x:c r="B703" s="54" t="n">
        <x:v>14</x:v>
      </x:c>
      <x:c r="C703" s="54" t="n">
        <x:v>1</x:v>
      </x:c>
      <x:c r="D703" s="54" t="n">
        <x:v>1</x:v>
      </x:c>
      <x:c r="E703" s="103" t="str">
        <x:v>Material-row source portal</x:v>
      </x:c>
      <x:c r="F703" s="103" t="str">
        <x:v>Source portal is identified, but edition/revision and property record locator remain unresolved.</x:v>
      </x:c>
    </x:row>
    <x:row r="704">
      <x:c r="A704" s="54" t="n">
        <x:v>2301</x:v>
      </x:c>
      <x:c r="B704" s="54" t="n">
        <x:v>15</x:v>
      </x:c>
      <x:c r="C704" s="54" t="n">
        <x:v>1</x:v>
      </x:c>
      <x:c r="D704" s="54" t="n">
        <x:v>1</x:v>
      </x:c>
      <x:c r="E704" s="103" t="str">
        <x:v>Material-row source portal</x:v>
      </x:c>
      <x:c r="F704" s="103" t="str">
        <x:v>Source portal is identified, but edition/revision and property record locator remain unresolved.</x:v>
      </x:c>
    </x:row>
    <x:row r="705">
      <x:c r="A705" s="54" t="n">
        <x:v>2301</x:v>
      </x:c>
      <x:c r="B705" s="54" t="n">
        <x:v>16</x:v>
      </x:c>
      <x:c r="C705" s="54" t="n">
        <x:v>1</x:v>
      </x:c>
      <x:c r="D705" s="54" t="n">
        <x:v>1</x:v>
      </x:c>
      <x:c r="E705" s="103" t="str">
        <x:v>Material-row source portal</x:v>
      </x:c>
      <x:c r="F705" s="103" t="str">
        <x:v>Source portal is identified, but edition/revision and property record locator remain unresolved.</x:v>
      </x:c>
    </x:row>
    <x:row r="706">
      <x:c r="A706" s="54" t="n">
        <x:v>2301</x:v>
      </x:c>
      <x:c r="B706" s="54" t="n">
        <x:v>17</x:v>
      </x:c>
      <x:c r="C706" s="54" t="n">
        <x:v>1</x:v>
      </x:c>
      <x:c r="D706" s="54" t="n">
        <x:v>1</x:v>
      </x:c>
      <x:c r="E706" s="103" t="str">
        <x:v>Material-row source portal</x:v>
      </x:c>
      <x:c r="F706" s="103" t="str">
        <x:v>Source portal is identified, but edition/revision and property record locator remain unresolved.</x:v>
      </x:c>
    </x:row>
    <x:row r="707">
      <x:c r="A707" s="54" t="n">
        <x:v>2301</x:v>
      </x:c>
      <x:c r="B707" s="54" t="n">
        <x:v>18</x:v>
      </x:c>
      <x:c r="C707" s="54" t="n">
        <x:v>1</x:v>
      </x:c>
      <x:c r="D707" s="54" t="n">
        <x:v>1</x:v>
      </x:c>
      <x:c r="E707" s="103" t="str">
        <x:v>Formula-derived from E and Poisson ratio; input records inherit the material-row source</x:v>
      </x:c>
      <x:c r="F707" s="103" t="str">
        <x:v>Source portal is identified, but edition/revision and property record locator remain unresolved.</x:v>
      </x:c>
    </x:row>
    <x:row r="708">
      <x:c r="A708" s="54" t="n">
        <x:v>2302</x:v>
      </x:c>
      <x:c r="B708" s="54" t="n">
        <x:v>1</x:v>
      </x:c>
      <x:c r="C708" s="54" t="n">
        <x:v>1</x:v>
      </x:c>
      <x:c r="D708" s="54" t="n">
        <x:v>1</x:v>
      </x:c>
      <x:c r="E708" s="103" t="str">
        <x:v>Material-row source portal</x:v>
      </x:c>
      <x:c r="F708" s="103" t="str">
        <x:v>Source portal is identified, but edition/revision and property record locator remain unresolved.</x:v>
      </x:c>
    </x:row>
    <x:row r="709">
      <x:c r="A709" s="54" t="n">
        <x:v>2302</x:v>
      </x:c>
      <x:c r="B709" s="54" t="n">
        <x:v>2</x:v>
      </x:c>
      <x:c r="C709" s="54" t="n">
        <x:v>1</x:v>
      </x:c>
      <x:c r="D709" s="54" t="n">
        <x:v>1</x:v>
      </x:c>
      <x:c r="E709" s="103" t="str">
        <x:v>Material-row source portal</x:v>
      </x:c>
      <x:c r="F709" s="103" t="str">
        <x:v>Source portal is identified, but edition/revision and property record locator remain unresolved.</x:v>
      </x:c>
    </x:row>
    <x:row r="710">
      <x:c r="A710" s="54" t="n">
        <x:v>2302</x:v>
      </x:c>
      <x:c r="B710" s="54" t="n">
        <x:v>3</x:v>
      </x:c>
      <x:c r="C710" s="54" t="n">
        <x:v>1</x:v>
      </x:c>
      <x:c r="D710" s="54" t="n">
        <x:v>1</x:v>
      </x:c>
      <x:c r="E710" s="103" t="str">
        <x:v>Formula-derived from E and Poisson ratio; input records inherit the material-row source</x:v>
      </x:c>
      <x:c r="F710" s="103" t="str">
        <x:v>Source portal is identified, but edition/revision and property record locator remain unresolved.</x:v>
      </x:c>
    </x:row>
    <x:row r="711">
      <x:c r="A711" s="54" t="n">
        <x:v>2302</x:v>
      </x:c>
      <x:c r="B711" s="54" t="n">
        <x:v>4</x:v>
      </x:c>
      <x:c r="C711" s="54" t="n">
        <x:v>1</x:v>
      </x:c>
      <x:c r="D711" s="54" t="n">
        <x:v>1</x:v>
      </x:c>
      <x:c r="E711" s="103" t="str">
        <x:v>Material-row source portal</x:v>
      </x:c>
      <x:c r="F711" s="103" t="str">
        <x:v>Source portal is identified, but edition/revision and property record locator remain unresolved.</x:v>
      </x:c>
    </x:row>
    <x:row r="712">
      <x:c r="A712" s="54" t="n">
        <x:v>2302</x:v>
      </x:c>
      <x:c r="B712" s="54" t="n">
        <x:v>5</x:v>
      </x:c>
      <x:c r="C712" s="54" t="n">
        <x:v>1</x:v>
      </x:c>
      <x:c r="D712" s="54" t="n">
        <x:v>1</x:v>
      </x:c>
      <x:c r="E712" s="103" t="str">
        <x:v>Material-row source portal</x:v>
      </x:c>
      <x:c r="F712" s="103" t="str">
        <x:v>Source portal is identified, but edition/revision and property record locator remain unresolved.</x:v>
      </x:c>
    </x:row>
    <x:row r="713">
      <x:c r="A713" s="54" t="n">
        <x:v>2302</x:v>
      </x:c>
      <x:c r="B713" s="54" t="n">
        <x:v>6</x:v>
      </x:c>
      <x:c r="C713" s="54" t="n">
        <x:v>1</x:v>
      </x:c>
      <x:c r="D713" s="54" t="n">
        <x:v>1</x:v>
      </x:c>
      <x:c r="E713" s="103" t="str">
        <x:v>Material-row source portal</x:v>
      </x:c>
      <x:c r="F713" s="103" t="str">
        <x:v>Source portal is identified, but edition/revision and property record locator remain unresolved.</x:v>
      </x:c>
    </x:row>
    <x:row r="714">
      <x:c r="A714" s="54" t="n">
        <x:v>2302</x:v>
      </x:c>
      <x:c r="B714" s="54" t="n">
        <x:v>9</x:v>
      </x:c>
      <x:c r="C714" s="54" t="n">
        <x:v>1</x:v>
      </x:c>
      <x:c r="D714" s="54" t="n">
        <x:v>1</x:v>
      </x:c>
      <x:c r="E714" s="103" t="str">
        <x:v>Material-row source portal</x:v>
      </x:c>
      <x:c r="F714" s="103" t="str">
        <x:v>Source portal is identified, but edition/revision and property record locator remain unresolved.</x:v>
      </x:c>
    </x:row>
    <x:row r="715">
      <x:c r="A715" s="54" t="n">
        <x:v>2302</x:v>
      </x:c>
      <x:c r="B715" s="54" t="n">
        <x:v>10</x:v>
      </x:c>
      <x:c r="C715" s="54" t="n">
        <x:v>1</x:v>
      </x:c>
      <x:c r="D715" s="54" t="n">
        <x:v>1</x:v>
      </x:c>
      <x:c r="E715" s="103" t="str">
        <x:v>Material-row source portal</x:v>
      </x:c>
      <x:c r="F715" s="103" t="str">
        <x:v>Source portal is identified, but edition/revision and property record locator remain unresolved.</x:v>
      </x:c>
    </x:row>
    <x:row r="716">
      <x:c r="A716" s="54" t="n">
        <x:v>2302</x:v>
      </x:c>
      <x:c r="B716" s="54" t="n">
        <x:v>11</x:v>
      </x:c>
      <x:c r="C716" s="54" t="n">
        <x:v>1</x:v>
      </x:c>
      <x:c r="D716" s="54" t="n">
        <x:v>1</x:v>
      </x:c>
      <x:c r="E716" s="103" t="str">
        <x:v>Material-row source portal</x:v>
      </x:c>
      <x:c r="F716" s="103" t="str">
        <x:v>Source portal is identified, but edition/revision and property record locator remain unresolved.</x:v>
      </x:c>
    </x:row>
    <x:row r="717">
      <x:c r="A717" s="54" t="n">
        <x:v>2302</x:v>
      </x:c>
      <x:c r="B717" s="54" t="n">
        <x:v>12</x:v>
      </x:c>
      <x:c r="C717" s="54" t="n">
        <x:v>1</x:v>
      </x:c>
      <x:c r="D717" s="54" t="n">
        <x:v>1</x:v>
      </x:c>
      <x:c r="E717" s="103" t="str">
        <x:v>Material-row source portal</x:v>
      </x:c>
      <x:c r="F717" s="103" t="str">
        <x:v>Source portal is identified, but edition/revision and property record locator remain unresolved.</x:v>
      </x:c>
    </x:row>
    <x:row r="718">
      <x:c r="A718" s="54" t="n">
        <x:v>2302</x:v>
      </x:c>
      <x:c r="B718" s="54" t="n">
        <x:v>13</x:v>
      </x:c>
      <x:c r="C718" s="54" t="n">
        <x:v>1</x:v>
      </x:c>
      <x:c r="D718" s="54" t="n">
        <x:v>1</x:v>
      </x:c>
      <x:c r="E718" s="103" t="str">
        <x:v>Material-row source portal</x:v>
      </x:c>
      <x:c r="F718" s="103" t="str">
        <x:v>Source portal is identified, but edition/revision and property record locator remain unresolved.</x:v>
      </x:c>
    </x:row>
    <x:row r="719">
      <x:c r="A719" s="54" t="n">
        <x:v>2302</x:v>
      </x:c>
      <x:c r="B719" s="54" t="n">
        <x:v>14</x:v>
      </x:c>
      <x:c r="C719" s="54" t="n">
        <x:v>1</x:v>
      </x:c>
      <x:c r="D719" s="54" t="n">
        <x:v>1</x:v>
      </x:c>
      <x:c r="E719" s="103" t="str">
        <x:v>Material-row source portal</x:v>
      </x:c>
      <x:c r="F719" s="103" t="str">
        <x:v>Source portal is identified, but edition/revision and property record locator remain unresolved.</x:v>
      </x:c>
    </x:row>
    <x:row r="720">
      <x:c r="A720" s="54" t="n">
        <x:v>2302</x:v>
      </x:c>
      <x:c r="B720" s="54" t="n">
        <x:v>15</x:v>
      </x:c>
      <x:c r="C720" s="54" t="n">
        <x:v>1</x:v>
      </x:c>
      <x:c r="D720" s="54" t="n">
        <x:v>1</x:v>
      </x:c>
      <x:c r="E720" s="103" t="str">
        <x:v>Material-row source portal</x:v>
      </x:c>
      <x:c r="F720" s="103" t="str">
        <x:v>Source portal is identified, but edition/revision and property record locator remain unresolved.</x:v>
      </x:c>
    </x:row>
    <x:row r="721">
      <x:c r="A721" s="54" t="n">
        <x:v>2302</x:v>
      </x:c>
      <x:c r="B721" s="54" t="n">
        <x:v>16</x:v>
      </x:c>
      <x:c r="C721" s="54" t="n">
        <x:v>1</x:v>
      </x:c>
      <x:c r="D721" s="54" t="n">
        <x:v>1</x:v>
      </x:c>
      <x:c r="E721" s="103" t="str">
        <x:v>Material-row source portal</x:v>
      </x:c>
      <x:c r="F721" s="103" t="str">
        <x:v>Source portal is identified, but edition/revision and property record locator remain unresolved.</x:v>
      </x:c>
    </x:row>
    <x:row r="722">
      <x:c r="A722" s="54" t="n">
        <x:v>2302</x:v>
      </x:c>
      <x:c r="B722" s="54" t="n">
        <x:v>17</x:v>
      </x:c>
      <x:c r="C722" s="54" t="n">
        <x:v>1</x:v>
      </x:c>
      <x:c r="D722" s="54" t="n">
        <x:v>1</x:v>
      </x:c>
      <x:c r="E722" s="103" t="str">
        <x:v>Material-row source portal</x:v>
      </x:c>
      <x:c r="F722" s="103" t="str">
        <x:v>Source portal is identified, but edition/revision and property record locator remain unresolved.</x:v>
      </x:c>
    </x:row>
    <x:row r="723">
      <x:c r="A723" s="54" t="n">
        <x:v>2302</x:v>
      </x:c>
      <x:c r="B723" s="54" t="n">
        <x:v>18</x:v>
      </x:c>
      <x:c r="C723" s="54" t="n">
        <x:v>1</x:v>
      </x:c>
      <x:c r="D723" s="54" t="n">
        <x:v>1</x:v>
      </x:c>
      <x:c r="E723" s="103" t="str">
        <x:v>Formula-derived from E and Poisson ratio; input records inherit the material-row source</x:v>
      </x:c>
      <x:c r="F723" s="103" t="str">
        <x:v>Source portal is identified, but edition/revision and property record locator remain unresolved.</x:v>
      </x:c>
    </x:row>
    <x:row r="724">
      <x:c r="A724" s="54" t="n">
        <x:v>2401</x:v>
      </x:c>
      <x:c r="B724" s="54" t="n">
        <x:v>1</x:v>
      </x:c>
      <x:c r="C724" s="54" t="n">
        <x:v>4</x:v>
      </x:c>
      <x:c r="D724" s="54" t="n">
        <x:v>1</x:v>
      </x:c>
      <x:c r="E724" s="103" t="str">
        <x:v>Material-row source portal</x:v>
      </x:c>
      <x:c r="F724" s="103" t="str">
        <x:v>Source portal is identified, but edition/revision and property record locator remain unresolved.</x:v>
      </x:c>
    </x:row>
    <x:row r="725">
      <x:c r="A725" s="54" t="n">
        <x:v>2401</x:v>
      </x:c>
      <x:c r="B725" s="54" t="n">
        <x:v>2</x:v>
      </x:c>
      <x:c r="C725" s="54" t="n">
        <x:v>4</x:v>
      </x:c>
      <x:c r="D725" s="54" t="n">
        <x:v>1</x:v>
      </x:c>
      <x:c r="E725" s="103" t="str">
        <x:v>Material-row source portal</x:v>
      </x:c>
      <x:c r="F725" s="103" t="str">
        <x:v>Source portal is identified, but edition/revision and property record locator remain unresolved.</x:v>
      </x:c>
    </x:row>
    <x:row r="726">
      <x:c r="A726" s="54" t="n">
        <x:v>2401</x:v>
      </x:c>
      <x:c r="B726" s="54" t="n">
        <x:v>3</x:v>
      </x:c>
      <x:c r="C726" s="54" t="n">
        <x:v>4</x:v>
      </x:c>
      <x:c r="D726" s="54" t="n">
        <x:v>1</x:v>
      </x:c>
      <x:c r="E726" s="103" t="str">
        <x:v>Formula-derived from E and Poisson ratio; input records inherit the material-row source</x:v>
      </x:c>
      <x:c r="F726" s="103" t="str">
        <x:v>Source portal is identified, but edition/revision and property record locator remain unresolved.</x:v>
      </x:c>
    </x:row>
    <x:row r="727">
      <x:c r="A727" s="54" t="n">
        <x:v>2401</x:v>
      </x:c>
      <x:c r="B727" s="54" t="n">
        <x:v>4</x:v>
      </x:c>
      <x:c r="C727" s="54" t="n">
        <x:v>4</x:v>
      </x:c>
      <x:c r="D727" s="54" t="n">
        <x:v>1</x:v>
      </x:c>
      <x:c r="E727" s="103" t="str">
        <x:v>Material-row source portal</x:v>
      </x:c>
      <x:c r="F727" s="103" t="str">
        <x:v>Source portal is identified, but edition/revision and property record locator remain unresolved.</x:v>
      </x:c>
    </x:row>
    <x:row r="728">
      <x:c r="A728" s="54" t="n">
        <x:v>2401</x:v>
      </x:c>
      <x:c r="B728" s="54" t="n">
        <x:v>5</x:v>
      </x:c>
      <x:c r="C728" s="54" t="n">
        <x:v>4</x:v>
      </x:c>
      <x:c r="D728" s="54" t="n">
        <x:v>1</x:v>
      </x:c>
      <x:c r="E728" s="103" t="str">
        <x:v>Material-row source portal</x:v>
      </x:c>
      <x:c r="F728" s="103" t="str">
        <x:v>Source portal is identified, but edition/revision and property record locator remain unresolved.</x:v>
      </x:c>
    </x:row>
    <x:row r="729">
      <x:c r="A729" s="54" t="n">
        <x:v>2401</x:v>
      </x:c>
      <x:c r="B729" s="54" t="n">
        <x:v>6</x:v>
      </x:c>
      <x:c r="C729" s="54" t="n">
        <x:v>4</x:v>
      </x:c>
      <x:c r="D729" s="54" t="n">
        <x:v>1</x:v>
      </x:c>
      <x:c r="E729" s="103" t="str">
        <x:v>Material-row source portal</x:v>
      </x:c>
      <x:c r="F729" s="103" t="str">
        <x:v>Source portal is identified, but edition/revision and property record locator remain unresolved.</x:v>
      </x:c>
    </x:row>
    <x:row r="730">
      <x:c r="A730" s="54" t="n">
        <x:v>2401</x:v>
      </x:c>
      <x:c r="B730" s="54" t="n">
        <x:v>9</x:v>
      </x:c>
      <x:c r="C730" s="54" t="n">
        <x:v>4</x:v>
      </x:c>
      <x:c r="D730" s="54" t="n">
        <x:v>1</x:v>
      </x:c>
      <x:c r="E730" s="103" t="str">
        <x:v>Material-row source portal</x:v>
      </x:c>
      <x:c r="F730" s="103" t="str">
        <x:v>Source portal is identified, but edition/revision and property record locator remain unresolved.</x:v>
      </x:c>
    </x:row>
    <x:row r="731">
      <x:c r="A731" s="54" t="n">
        <x:v>2401</x:v>
      </x:c>
      <x:c r="B731" s="54" t="n">
        <x:v>10</x:v>
      </x:c>
      <x:c r="C731" s="54" t="n">
        <x:v>4</x:v>
      </x:c>
      <x:c r="D731" s="54" t="n">
        <x:v>1</x:v>
      </x:c>
      <x:c r="E731" s="103" t="str">
        <x:v>Material-row source portal</x:v>
      </x:c>
      <x:c r="F731" s="103" t="str">
        <x:v>Source portal is identified, but edition/revision and property record locator remain unresolved.</x:v>
      </x:c>
    </x:row>
    <x:row r="732">
      <x:c r="A732" s="54" t="n">
        <x:v>2401</x:v>
      </x:c>
      <x:c r="B732" s="54" t="n">
        <x:v>11</x:v>
      </x:c>
      <x:c r="C732" s="54" t="n">
        <x:v>4</x:v>
      </x:c>
      <x:c r="D732" s="54" t="n">
        <x:v>1</x:v>
      </x:c>
      <x:c r="E732" s="103" t="str">
        <x:v>Material-row source portal</x:v>
      </x:c>
      <x:c r="F732" s="103" t="str">
        <x:v>Source portal is identified, but edition/revision and property record locator remain unresolved.</x:v>
      </x:c>
    </x:row>
    <x:row r="733">
      <x:c r="A733" s="54" t="n">
        <x:v>2401</x:v>
      </x:c>
      <x:c r="B733" s="54" t="n">
        <x:v>12</x:v>
      </x:c>
      <x:c r="C733" s="54" t="n">
        <x:v>4</x:v>
      </x:c>
      <x:c r="D733" s="54" t="n">
        <x:v>1</x:v>
      </x:c>
      <x:c r="E733" s="103" t="str">
        <x:v>Material-row source portal</x:v>
      </x:c>
      <x:c r="F733" s="103" t="str">
        <x:v>Source portal is identified, but edition/revision and property record locator remain unresolved.</x:v>
      </x:c>
    </x:row>
    <x:row r="734">
      <x:c r="A734" s="54" t="n">
        <x:v>2401</x:v>
      </x:c>
      <x:c r="B734" s="54" t="n">
        <x:v>13</x:v>
      </x:c>
      <x:c r="C734" s="54" t="n">
        <x:v>4</x:v>
      </x:c>
      <x:c r="D734" s="54" t="n">
        <x:v>1</x:v>
      </x:c>
      <x:c r="E734" s="103" t="str">
        <x:v>Material-row source portal</x:v>
      </x:c>
      <x:c r="F734" s="103" t="str">
        <x:v>Source portal is identified, but edition/revision and property record locator remain unresolved.</x:v>
      </x:c>
    </x:row>
    <x:row r="735">
      <x:c r="A735" s="54" t="n">
        <x:v>2401</x:v>
      </x:c>
      <x:c r="B735" s="54" t="n">
        <x:v>14</x:v>
      </x:c>
      <x:c r="C735" s="54" t="n">
        <x:v>4</x:v>
      </x:c>
      <x:c r="D735" s="54" t="n">
        <x:v>1</x:v>
      </x:c>
      <x:c r="E735" s="103" t="str">
        <x:v>Material-row source portal</x:v>
      </x:c>
      <x:c r="F735" s="103" t="str">
        <x:v>Source portal is identified, but edition/revision and property record locator remain unresolved.</x:v>
      </x:c>
    </x:row>
    <x:row r="736">
      <x:c r="A736" s="54" t="n">
        <x:v>2401</x:v>
      </x:c>
      <x:c r="B736" s="54" t="n">
        <x:v>15</x:v>
      </x:c>
      <x:c r="C736" s="54" t="n">
        <x:v>4</x:v>
      </x:c>
      <x:c r="D736" s="54" t="n">
        <x:v>1</x:v>
      </x:c>
      <x:c r="E736" s="103" t="str">
        <x:v>Material-row source portal</x:v>
      </x:c>
      <x:c r="F736" s="103" t="str">
        <x:v>Source portal is identified, but edition/revision and property record locator remain unresolved.</x:v>
      </x:c>
    </x:row>
    <x:row r="737">
      <x:c r="A737" s="54" t="n">
        <x:v>2401</x:v>
      </x:c>
      <x:c r="B737" s="54" t="n">
        <x:v>16</x:v>
      </x:c>
      <x:c r="C737" s="54" t="n">
        <x:v>4</x:v>
      </x:c>
      <x:c r="D737" s="54" t="n">
        <x:v>1</x:v>
      </x:c>
      <x:c r="E737" s="103" t="str">
        <x:v>Material-row source portal</x:v>
      </x:c>
      <x:c r="F737" s="103" t="str">
        <x:v>Source portal is identified, but edition/revision and property record locator remain unresolved.</x:v>
      </x:c>
    </x:row>
    <x:row r="738">
      <x:c r="A738" s="54" t="n">
        <x:v>2401</x:v>
      </x:c>
      <x:c r="B738" s="54" t="n">
        <x:v>17</x:v>
      </x:c>
      <x:c r="C738" s="54" t="n">
        <x:v>4</x:v>
      </x:c>
      <x:c r="D738" s="54" t="n">
        <x:v>1</x:v>
      </x:c>
      <x:c r="E738" s="103" t="str">
        <x:v>Material-row source portal</x:v>
      </x:c>
      <x:c r="F738" s="103" t="str">
        <x:v>Source portal is identified, but edition/revision and property record locator remain unresolved.</x:v>
      </x:c>
    </x:row>
    <x:row r="739">
      <x:c r="A739" s="54" t="n">
        <x:v>2401</x:v>
      </x:c>
      <x:c r="B739" s="54" t="n">
        <x:v>18</x:v>
      </x:c>
      <x:c r="C739" s="54" t="n">
        <x:v>4</x:v>
      </x:c>
      <x:c r="D739" s="54" t="n">
        <x:v>1</x:v>
      </x:c>
      <x:c r="E739" s="103" t="str">
        <x:v>Formula-derived from E and Poisson ratio; input records inherit the material-row source</x:v>
      </x:c>
      <x:c r="F739" s="103" t="str">
        <x:v>Source portal is identified, but edition/revision and property record locator remain unresolved.</x:v>
      </x:c>
    </x:row>
    <x:row r="740">
      <x:c r="A740" s="54" t="n">
        <x:v>2402</x:v>
      </x:c>
      <x:c r="B740" s="54" t="n">
        <x:v>1</x:v>
      </x:c>
      <x:c r="C740" s="54" t="n">
        <x:v>4</x:v>
      </x:c>
      <x:c r="D740" s="54" t="n">
        <x:v>1</x:v>
      </x:c>
      <x:c r="E740" s="103" t="str">
        <x:v>Material-row source portal</x:v>
      </x:c>
      <x:c r="F740" s="103" t="str">
        <x:v>Source portal is identified, but edition/revision and property record locator remain unresolved.</x:v>
      </x:c>
    </x:row>
    <x:row r="741">
      <x:c r="A741" s="54" t="n">
        <x:v>2402</x:v>
      </x:c>
      <x:c r="B741" s="54" t="n">
        <x:v>2</x:v>
      </x:c>
      <x:c r="C741" s="54" t="n">
        <x:v>4</x:v>
      </x:c>
      <x:c r="D741" s="54" t="n">
        <x:v>1</x:v>
      </x:c>
      <x:c r="E741" s="103" t="str">
        <x:v>Material-row source portal</x:v>
      </x:c>
      <x:c r="F741" s="103" t="str">
        <x:v>Source portal is identified, but edition/revision and property record locator remain unresolved.</x:v>
      </x:c>
    </x:row>
    <x:row r="742">
      <x:c r="A742" s="54" t="n">
        <x:v>2402</x:v>
      </x:c>
      <x:c r="B742" s="54" t="n">
        <x:v>3</x:v>
      </x:c>
      <x:c r="C742" s="54" t="n">
        <x:v>4</x:v>
      </x:c>
      <x:c r="D742" s="54" t="n">
        <x:v>1</x:v>
      </x:c>
      <x:c r="E742" s="103" t="str">
        <x:v>Formula-derived from E and Poisson ratio; input records inherit the material-row source</x:v>
      </x:c>
      <x:c r="F742" s="103" t="str">
        <x:v>Source portal is identified, but edition/revision and property record locator remain unresolved.</x:v>
      </x:c>
    </x:row>
    <x:row r="743">
      <x:c r="A743" s="54" t="n">
        <x:v>2402</x:v>
      </x:c>
      <x:c r="B743" s="54" t="n">
        <x:v>4</x:v>
      </x:c>
      <x:c r="C743" s="54" t="n">
        <x:v>4</x:v>
      </x:c>
      <x:c r="D743" s="54" t="n">
        <x:v>1</x:v>
      </x:c>
      <x:c r="E743" s="103" t="str">
        <x:v>Material-row source portal</x:v>
      </x:c>
      <x:c r="F743" s="103" t="str">
        <x:v>Source portal is identified, but edition/revision and property record locator remain unresolved.</x:v>
      </x:c>
    </x:row>
    <x:row r="744">
      <x:c r="A744" s="54" t="n">
        <x:v>2402</x:v>
      </x:c>
      <x:c r="B744" s="54" t="n">
        <x:v>5</x:v>
      </x:c>
      <x:c r="C744" s="54" t="n">
        <x:v>4</x:v>
      </x:c>
      <x:c r="D744" s="54" t="n">
        <x:v>1</x:v>
      </x:c>
      <x:c r="E744" s="103" t="str">
        <x:v>Material-row source portal</x:v>
      </x:c>
      <x:c r="F744" s="103" t="str">
        <x:v>Source portal is identified, but edition/revision and property record locator remain unresolved.</x:v>
      </x:c>
    </x:row>
    <x:row r="745">
      <x:c r="A745" s="54" t="n">
        <x:v>2402</x:v>
      </x:c>
      <x:c r="B745" s="54" t="n">
        <x:v>6</x:v>
      </x:c>
      <x:c r="C745" s="54" t="n">
        <x:v>4</x:v>
      </x:c>
      <x:c r="D745" s="54" t="n">
        <x:v>1</x:v>
      </x:c>
      <x:c r="E745" s="103" t="str">
        <x:v>Material-row source portal</x:v>
      </x:c>
      <x:c r="F745" s="103" t="str">
        <x:v>Source portal is identified, but edition/revision and property record locator remain unresolved.</x:v>
      </x:c>
    </x:row>
    <x:row r="746">
      <x:c r="A746" s="54" t="n">
        <x:v>2402</x:v>
      </x:c>
      <x:c r="B746" s="54" t="n">
        <x:v>9</x:v>
      </x:c>
      <x:c r="C746" s="54" t="n">
        <x:v>4</x:v>
      </x:c>
      <x:c r="D746" s="54" t="n">
        <x:v>1</x:v>
      </x:c>
      <x:c r="E746" s="103" t="str">
        <x:v>Material-row source portal</x:v>
      </x:c>
      <x:c r="F746" s="103" t="str">
        <x:v>Source portal is identified, but edition/revision and property record locator remain unresolved.</x:v>
      </x:c>
    </x:row>
    <x:row r="747">
      <x:c r="A747" s="54" t="n">
        <x:v>2402</x:v>
      </x:c>
      <x:c r="B747" s="54" t="n">
        <x:v>10</x:v>
      </x:c>
      <x:c r="C747" s="54" t="n">
        <x:v>4</x:v>
      </x:c>
      <x:c r="D747" s="54" t="n">
        <x:v>1</x:v>
      </x:c>
      <x:c r="E747" s="103" t="str">
        <x:v>Material-row source portal</x:v>
      </x:c>
      <x:c r="F747" s="103" t="str">
        <x:v>Source portal is identified, but edition/revision and property record locator remain unresolved.</x:v>
      </x:c>
    </x:row>
    <x:row r="748">
      <x:c r="A748" s="54" t="n">
        <x:v>2402</x:v>
      </x:c>
      <x:c r="B748" s="54" t="n">
        <x:v>11</x:v>
      </x:c>
      <x:c r="C748" s="54" t="n">
        <x:v>4</x:v>
      </x:c>
      <x:c r="D748" s="54" t="n">
        <x:v>1</x:v>
      </x:c>
      <x:c r="E748" s="103" t="str">
        <x:v>Material-row source portal</x:v>
      </x:c>
      <x:c r="F748" s="103" t="str">
        <x:v>Source portal is identified, but edition/revision and property record locator remain unresolved.</x:v>
      </x:c>
    </x:row>
    <x:row r="749">
      <x:c r="A749" s="54" t="n">
        <x:v>2402</x:v>
      </x:c>
      <x:c r="B749" s="54" t="n">
        <x:v>12</x:v>
      </x:c>
      <x:c r="C749" s="54" t="n">
        <x:v>4</x:v>
      </x:c>
      <x:c r="D749" s="54" t="n">
        <x:v>1</x:v>
      </x:c>
      <x:c r="E749" s="103" t="str">
        <x:v>Material-row source portal</x:v>
      </x:c>
      <x:c r="F749" s="103" t="str">
        <x:v>Source portal is identified, but edition/revision and property record locator remain unresolved.</x:v>
      </x:c>
    </x:row>
    <x:row r="750">
      <x:c r="A750" s="54" t="n">
        <x:v>2402</x:v>
      </x:c>
      <x:c r="B750" s="54" t="n">
        <x:v>13</x:v>
      </x:c>
      <x:c r="C750" s="54" t="n">
        <x:v>4</x:v>
      </x:c>
      <x:c r="D750" s="54" t="n">
        <x:v>1</x:v>
      </x:c>
      <x:c r="E750" s="103" t="str">
        <x:v>Material-row source portal</x:v>
      </x:c>
      <x:c r="F750" s="103" t="str">
        <x:v>Source portal is identified, but edition/revision and property record locator remain unresolved.</x:v>
      </x:c>
    </x:row>
    <x:row r="751">
      <x:c r="A751" s="54" t="n">
        <x:v>2402</x:v>
      </x:c>
      <x:c r="B751" s="54" t="n">
        <x:v>14</x:v>
      </x:c>
      <x:c r="C751" s="54" t="n">
        <x:v>4</x:v>
      </x:c>
      <x:c r="D751" s="54" t="n">
        <x:v>1</x:v>
      </x:c>
      <x:c r="E751" s="103" t="str">
        <x:v>Material-row source portal</x:v>
      </x:c>
      <x:c r="F751" s="103" t="str">
        <x:v>Source portal is identified, but edition/revision and property record locator remain unresolved.</x:v>
      </x:c>
    </x:row>
    <x:row r="752">
      <x:c r="A752" s="54" t="n">
        <x:v>2402</x:v>
      </x:c>
      <x:c r="B752" s="54" t="n">
        <x:v>15</x:v>
      </x:c>
      <x:c r="C752" s="54" t="n">
        <x:v>4</x:v>
      </x:c>
      <x:c r="D752" s="54" t="n">
        <x:v>1</x:v>
      </x:c>
      <x:c r="E752" s="103" t="str">
        <x:v>Material-row source portal</x:v>
      </x:c>
      <x:c r="F752" s="103" t="str">
        <x:v>Source portal is identified, but edition/revision and property record locator remain unresolved.</x:v>
      </x:c>
    </x:row>
    <x:row r="753">
      <x:c r="A753" s="54" t="n">
        <x:v>2402</x:v>
      </x:c>
      <x:c r="B753" s="54" t="n">
        <x:v>16</x:v>
      </x:c>
      <x:c r="C753" s="54" t="n">
        <x:v>4</x:v>
      </x:c>
      <x:c r="D753" s="54" t="n">
        <x:v>1</x:v>
      </x:c>
      <x:c r="E753" s="103" t="str">
        <x:v>Material-row source portal</x:v>
      </x:c>
      <x:c r="F753" s="103" t="str">
        <x:v>Source portal is identified, but edition/revision and property record locator remain unresolved.</x:v>
      </x:c>
    </x:row>
    <x:row r="754">
      <x:c r="A754" s="54" t="n">
        <x:v>2402</x:v>
      </x:c>
      <x:c r="B754" s="54" t="n">
        <x:v>17</x:v>
      </x:c>
      <x:c r="C754" s="54" t="n">
        <x:v>4</x:v>
      </x:c>
      <x:c r="D754" s="54" t="n">
        <x:v>1</x:v>
      </x:c>
      <x:c r="E754" s="103" t="str">
        <x:v>Material-row source portal</x:v>
      </x:c>
      <x:c r="F754" s="103" t="str">
        <x:v>Source portal is identified, but edition/revision and property record locator remain unresolved.</x:v>
      </x:c>
    </x:row>
    <x:row r="755">
      <x:c r="A755" s="54" t="n">
        <x:v>2402</x:v>
      </x:c>
      <x:c r="B755" s="54" t="n">
        <x:v>18</x:v>
      </x:c>
      <x:c r="C755" s="54" t="n">
        <x:v>4</x:v>
      </x:c>
      <x:c r="D755" s="54" t="n">
        <x:v>1</x:v>
      </x:c>
      <x:c r="E755" s="103" t="str">
        <x:v>Formula-derived from E and Poisson ratio; input records inherit the material-row source</x:v>
      </x:c>
      <x:c r="F755" s="103" t="str">
        <x:v>Source portal is identified, but edition/revision and property record locator remain unresolved.</x:v>
      </x:c>
    </x:row>
    <x:row r="756">
      <x:c r="A756" s="54" t="n">
        <x:v>2403</x:v>
      </x:c>
      <x:c r="B756" s="54" t="n">
        <x:v>1</x:v>
      </x:c>
      <x:c r="C756" s="54" t="n">
        <x:v>4</x:v>
      </x:c>
      <x:c r="D756" s="54" t="n">
        <x:v>1</x:v>
      </x:c>
      <x:c r="E756" s="103" t="str">
        <x:v>Material-row source portal</x:v>
      </x:c>
      <x:c r="F756" s="103" t="str">
        <x:v>Source portal is identified, but edition/revision and property record locator remain unresolved.</x:v>
      </x:c>
    </x:row>
    <x:row r="757">
      <x:c r="A757" s="54" t="n">
        <x:v>2403</x:v>
      </x:c>
      <x:c r="B757" s="54" t="n">
        <x:v>2</x:v>
      </x:c>
      <x:c r="C757" s="54" t="n">
        <x:v>4</x:v>
      </x:c>
      <x:c r="D757" s="54" t="n">
        <x:v>1</x:v>
      </x:c>
      <x:c r="E757" s="103" t="str">
        <x:v>Material-row source portal</x:v>
      </x:c>
      <x:c r="F757" s="103" t="str">
        <x:v>Source portal is identified, but edition/revision and property record locator remain unresolved.</x:v>
      </x:c>
    </x:row>
    <x:row r="758">
      <x:c r="A758" s="54" t="n">
        <x:v>2403</x:v>
      </x:c>
      <x:c r="B758" s="54" t="n">
        <x:v>3</x:v>
      </x:c>
      <x:c r="C758" s="54" t="n">
        <x:v>4</x:v>
      </x:c>
      <x:c r="D758" s="54" t="n">
        <x:v>1</x:v>
      </x:c>
      <x:c r="E758" s="103" t="str">
        <x:v>Formula-derived from E and Poisson ratio; input records inherit the material-row source</x:v>
      </x:c>
      <x:c r="F758" s="103" t="str">
        <x:v>Source portal is identified, but edition/revision and property record locator remain unresolved.</x:v>
      </x:c>
    </x:row>
    <x:row r="759">
      <x:c r="A759" s="54" t="n">
        <x:v>2403</x:v>
      </x:c>
      <x:c r="B759" s="54" t="n">
        <x:v>4</x:v>
      </x:c>
      <x:c r="C759" s="54" t="n">
        <x:v>4</x:v>
      </x:c>
      <x:c r="D759" s="54" t="n">
        <x:v>1</x:v>
      </x:c>
      <x:c r="E759" s="103" t="str">
        <x:v>Material-row source portal</x:v>
      </x:c>
      <x:c r="F759" s="103" t="str">
        <x:v>Source portal is identified, but edition/revision and property record locator remain unresolved.</x:v>
      </x:c>
    </x:row>
    <x:row r="760">
      <x:c r="A760" s="54" t="n">
        <x:v>2403</x:v>
      </x:c>
      <x:c r="B760" s="54" t="n">
        <x:v>5</x:v>
      </x:c>
      <x:c r="C760" s="54" t="n">
        <x:v>4</x:v>
      </x:c>
      <x:c r="D760" s="54" t="n">
        <x:v>1</x:v>
      </x:c>
      <x:c r="E760" s="103" t="str">
        <x:v>Material-row source portal</x:v>
      </x:c>
      <x:c r="F760" s="103" t="str">
        <x:v>Source portal is identified, but edition/revision and property record locator remain unresolved.</x:v>
      </x:c>
    </x:row>
    <x:row r="761">
      <x:c r="A761" s="54" t="n">
        <x:v>2403</x:v>
      </x:c>
      <x:c r="B761" s="54" t="n">
        <x:v>6</x:v>
      </x:c>
      <x:c r="C761" s="54" t="n">
        <x:v>4</x:v>
      </x:c>
      <x:c r="D761" s="54" t="n">
        <x:v>1</x:v>
      </x:c>
      <x:c r="E761" s="103" t="str">
        <x:v>Material-row source portal</x:v>
      </x:c>
      <x:c r="F761" s="103" t="str">
        <x:v>Source portal is identified, but edition/revision and property record locator remain unresolved.</x:v>
      </x:c>
    </x:row>
    <x:row r="762">
      <x:c r="A762" s="54" t="n">
        <x:v>2403</x:v>
      </x:c>
      <x:c r="B762" s="54" t="n">
        <x:v>9</x:v>
      </x:c>
      <x:c r="C762" s="54" t="n">
        <x:v>4</x:v>
      </x:c>
      <x:c r="D762" s="54" t="n">
        <x:v>1</x:v>
      </x:c>
      <x:c r="E762" s="103" t="str">
        <x:v>Material-row source portal</x:v>
      </x:c>
      <x:c r="F762" s="103" t="str">
        <x:v>Source portal is identified, but edition/revision and property record locator remain unresolved.</x:v>
      </x:c>
    </x:row>
    <x:row r="763">
      <x:c r="A763" s="54" t="n">
        <x:v>2403</x:v>
      </x:c>
      <x:c r="B763" s="54" t="n">
        <x:v>10</x:v>
      </x:c>
      <x:c r="C763" s="54" t="n">
        <x:v>4</x:v>
      </x:c>
      <x:c r="D763" s="54" t="n">
        <x:v>1</x:v>
      </x:c>
      <x:c r="E763" s="103" t="str">
        <x:v>Material-row source portal</x:v>
      </x:c>
      <x:c r="F763" s="103" t="str">
        <x:v>Source portal is identified, but edition/revision and property record locator remain unresolved.</x:v>
      </x:c>
    </x:row>
    <x:row r="764">
      <x:c r="A764" s="54" t="n">
        <x:v>2403</x:v>
      </x:c>
      <x:c r="B764" s="54" t="n">
        <x:v>11</x:v>
      </x:c>
      <x:c r="C764" s="54" t="n">
        <x:v>4</x:v>
      </x:c>
      <x:c r="D764" s="54" t="n">
        <x:v>1</x:v>
      </x:c>
      <x:c r="E764" s="103" t="str">
        <x:v>Material-row source portal</x:v>
      </x:c>
      <x:c r="F764" s="103" t="str">
        <x:v>Source portal is identified, but edition/revision and property record locator remain unresolved.</x:v>
      </x:c>
    </x:row>
    <x:row r="765">
      <x:c r="A765" s="54" t="n">
        <x:v>2403</x:v>
      </x:c>
      <x:c r="B765" s="54" t="n">
        <x:v>12</x:v>
      </x:c>
      <x:c r="C765" s="54" t="n">
        <x:v>4</x:v>
      </x:c>
      <x:c r="D765" s="54" t="n">
        <x:v>1</x:v>
      </x:c>
      <x:c r="E765" s="103" t="str">
        <x:v>Material-row source portal</x:v>
      </x:c>
      <x:c r="F765" s="103" t="str">
        <x:v>Source portal is identified, but edition/revision and property record locator remain unresolved.</x:v>
      </x:c>
    </x:row>
    <x:row r="766">
      <x:c r="A766" s="54" t="n">
        <x:v>2403</x:v>
      </x:c>
      <x:c r="B766" s="54" t="n">
        <x:v>13</x:v>
      </x:c>
      <x:c r="C766" s="54" t="n">
        <x:v>4</x:v>
      </x:c>
      <x:c r="D766" s="54" t="n">
        <x:v>1</x:v>
      </x:c>
      <x:c r="E766" s="103" t="str">
        <x:v>Material-row source portal</x:v>
      </x:c>
      <x:c r="F766" s="103" t="str">
        <x:v>Source portal is identified, but edition/revision and property record locator remain unresolved.</x:v>
      </x:c>
    </x:row>
    <x:row r="767">
      <x:c r="A767" s="54" t="n">
        <x:v>2403</x:v>
      </x:c>
      <x:c r="B767" s="54" t="n">
        <x:v>14</x:v>
      </x:c>
      <x:c r="C767" s="54" t="n">
        <x:v>4</x:v>
      </x:c>
      <x:c r="D767" s="54" t="n">
        <x:v>1</x:v>
      </x:c>
      <x:c r="E767" s="103" t="str">
        <x:v>Material-row source portal</x:v>
      </x:c>
      <x:c r="F767" s="103" t="str">
        <x:v>Source portal is identified, but edition/revision and property record locator remain unresolved.</x:v>
      </x:c>
    </x:row>
    <x:row r="768">
      <x:c r="A768" s="54" t="n">
        <x:v>2403</x:v>
      </x:c>
      <x:c r="B768" s="54" t="n">
        <x:v>15</x:v>
      </x:c>
      <x:c r="C768" s="54" t="n">
        <x:v>4</x:v>
      </x:c>
      <x:c r="D768" s="54" t="n">
        <x:v>1</x:v>
      </x:c>
      <x:c r="E768" s="103" t="str">
        <x:v>Material-row source portal</x:v>
      </x:c>
      <x:c r="F768" s="103" t="str">
        <x:v>Source portal is identified, but edition/revision and property record locator remain unresolved.</x:v>
      </x:c>
    </x:row>
    <x:row r="769">
      <x:c r="A769" s="54" t="n">
        <x:v>2403</x:v>
      </x:c>
      <x:c r="B769" s="54" t="n">
        <x:v>16</x:v>
      </x:c>
      <x:c r="C769" s="54" t="n">
        <x:v>4</x:v>
      </x:c>
      <x:c r="D769" s="54" t="n">
        <x:v>1</x:v>
      </x:c>
      <x:c r="E769" s="103" t="str">
        <x:v>Material-row source portal</x:v>
      </x:c>
      <x:c r="F769" s="103" t="str">
        <x:v>Source portal is identified, but edition/revision and property record locator remain unresolved.</x:v>
      </x:c>
    </x:row>
    <x:row r="770">
      <x:c r="A770" s="54" t="n">
        <x:v>2403</x:v>
      </x:c>
      <x:c r="B770" s="54" t="n">
        <x:v>17</x:v>
      </x:c>
      <x:c r="C770" s="54" t="n">
        <x:v>4</x:v>
      </x:c>
      <x:c r="D770" s="54" t="n">
        <x:v>1</x:v>
      </x:c>
      <x:c r="E770" s="103" t="str">
        <x:v>Material-row source portal</x:v>
      </x:c>
      <x:c r="F770" s="103" t="str">
        <x:v>Source portal is identified, but edition/revision and property record locator remain unresolved.</x:v>
      </x:c>
    </x:row>
    <x:row r="771">
      <x:c r="A771" s="54" t="n">
        <x:v>2403</x:v>
      </x:c>
      <x:c r="B771" s="54" t="n">
        <x:v>18</x:v>
      </x:c>
      <x:c r="C771" s="54" t="n">
        <x:v>4</x:v>
      </x:c>
      <x:c r="D771" s="54" t="n">
        <x:v>1</x:v>
      </x:c>
      <x:c r="E771" s="103" t="str">
        <x:v>Formula-derived from E and Poisson ratio; input records inherit the material-row source</x:v>
      </x:c>
      <x:c r="F771" s="103" t="str">
        <x:v>Source portal is identified, but edition/revision and property record locator remain unresolved.</x:v>
      </x:c>
    </x:row>
    <x:row r="772">
      <x:c r="A772" s="54" t="n">
        <x:v>2404</x:v>
      </x:c>
      <x:c r="B772" s="54" t="n">
        <x:v>1</x:v>
      </x:c>
      <x:c r="C772" s="54" t="n">
        <x:v>4</x:v>
      </x:c>
      <x:c r="D772" s="54" t="n">
        <x:v>1</x:v>
      </x:c>
      <x:c r="E772" s="103" t="str">
        <x:v>Material-row source portal</x:v>
      </x:c>
      <x:c r="F772" s="103" t="str">
        <x:v>Source portal is identified, but edition/revision and property record locator remain unresolved.</x:v>
      </x:c>
    </x:row>
    <x:row r="773">
      <x:c r="A773" s="54" t="n">
        <x:v>2404</x:v>
      </x:c>
      <x:c r="B773" s="54" t="n">
        <x:v>2</x:v>
      </x:c>
      <x:c r="C773" s="54" t="n">
        <x:v>4</x:v>
      </x:c>
      <x:c r="D773" s="54" t="n">
        <x:v>1</x:v>
      </x:c>
      <x:c r="E773" s="103" t="str">
        <x:v>Material-row source portal</x:v>
      </x:c>
      <x:c r="F773" s="103" t="str">
        <x:v>Source portal is identified, but edition/revision and property record locator remain unresolved.</x:v>
      </x:c>
    </x:row>
    <x:row r="774">
      <x:c r="A774" s="54" t="n">
        <x:v>2404</x:v>
      </x:c>
      <x:c r="B774" s="54" t="n">
        <x:v>3</x:v>
      </x:c>
      <x:c r="C774" s="54" t="n">
        <x:v>4</x:v>
      </x:c>
      <x:c r="D774" s="54" t="n">
        <x:v>1</x:v>
      </x:c>
      <x:c r="E774" s="103" t="str">
        <x:v>Formula-derived from E and Poisson ratio; input records inherit the material-row source</x:v>
      </x:c>
      <x:c r="F774" s="103" t="str">
        <x:v>Source portal is identified, but edition/revision and property record locator remain unresolved.</x:v>
      </x:c>
    </x:row>
    <x:row r="775">
      <x:c r="A775" s="54" t="n">
        <x:v>2404</x:v>
      </x:c>
      <x:c r="B775" s="54" t="n">
        <x:v>4</x:v>
      </x:c>
      <x:c r="C775" s="54" t="n">
        <x:v>4</x:v>
      </x:c>
      <x:c r="D775" s="54" t="n">
        <x:v>1</x:v>
      </x:c>
      <x:c r="E775" s="103" t="str">
        <x:v>Material-row source portal</x:v>
      </x:c>
      <x:c r="F775" s="103" t="str">
        <x:v>Source portal is identified, but edition/revision and property record locator remain unresolved.</x:v>
      </x:c>
    </x:row>
    <x:row r="776">
      <x:c r="A776" s="54" t="n">
        <x:v>2404</x:v>
      </x:c>
      <x:c r="B776" s="54" t="n">
        <x:v>5</x:v>
      </x:c>
      <x:c r="C776" s="54" t="n">
        <x:v>4</x:v>
      </x:c>
      <x:c r="D776" s="54" t="n">
        <x:v>1</x:v>
      </x:c>
      <x:c r="E776" s="103" t="str">
        <x:v>Material-row source portal</x:v>
      </x:c>
      <x:c r="F776" s="103" t="str">
        <x:v>Source portal is identified, but edition/revision and property record locator remain unresolved.</x:v>
      </x:c>
    </x:row>
    <x:row r="777">
      <x:c r="A777" s="54" t="n">
        <x:v>2404</x:v>
      </x:c>
      <x:c r="B777" s="54" t="n">
        <x:v>6</x:v>
      </x:c>
      <x:c r="C777" s="54" t="n">
        <x:v>4</x:v>
      </x:c>
      <x:c r="D777" s="54" t="n">
        <x:v>1</x:v>
      </x:c>
      <x:c r="E777" s="103" t="str">
        <x:v>Material-row source portal</x:v>
      </x:c>
      <x:c r="F777" s="103" t="str">
        <x:v>Source portal is identified, but edition/revision and property record locator remain unresolved.</x:v>
      </x:c>
    </x:row>
    <x:row r="778">
      <x:c r="A778" s="54" t="n">
        <x:v>2404</x:v>
      </x:c>
      <x:c r="B778" s="54" t="n">
        <x:v>9</x:v>
      </x:c>
      <x:c r="C778" s="54" t="n">
        <x:v>4</x:v>
      </x:c>
      <x:c r="D778" s="54" t="n">
        <x:v>1</x:v>
      </x:c>
      <x:c r="E778" s="103" t="str">
        <x:v>Material-row source portal</x:v>
      </x:c>
      <x:c r="F778" s="103" t="str">
        <x:v>Source portal is identified, but edition/revision and property record locator remain unresolved.</x:v>
      </x:c>
    </x:row>
    <x:row r="779">
      <x:c r="A779" s="54" t="n">
        <x:v>2404</x:v>
      </x:c>
      <x:c r="B779" s="54" t="n">
        <x:v>10</x:v>
      </x:c>
      <x:c r="C779" s="54" t="n">
        <x:v>4</x:v>
      </x:c>
      <x:c r="D779" s="54" t="n">
        <x:v>1</x:v>
      </x:c>
      <x:c r="E779" s="103" t="str">
        <x:v>Material-row source portal</x:v>
      </x:c>
      <x:c r="F779" s="103" t="str">
        <x:v>Source portal is identified, but edition/revision and property record locator remain unresolved.</x:v>
      </x:c>
    </x:row>
    <x:row r="780">
      <x:c r="A780" s="54" t="n">
        <x:v>2404</x:v>
      </x:c>
      <x:c r="B780" s="54" t="n">
        <x:v>11</x:v>
      </x:c>
      <x:c r="C780" s="54" t="n">
        <x:v>4</x:v>
      </x:c>
      <x:c r="D780" s="54" t="n">
        <x:v>1</x:v>
      </x:c>
      <x:c r="E780" s="103" t="str">
        <x:v>Material-row source portal</x:v>
      </x:c>
      <x:c r="F780" s="103" t="str">
        <x:v>Source portal is identified, but edition/revision and property record locator remain unresolved.</x:v>
      </x:c>
    </x:row>
    <x:row r="781">
      <x:c r="A781" s="54" t="n">
        <x:v>2404</x:v>
      </x:c>
      <x:c r="B781" s="54" t="n">
        <x:v>12</x:v>
      </x:c>
      <x:c r="C781" s="54" t="n">
        <x:v>4</x:v>
      </x:c>
      <x:c r="D781" s="54" t="n">
        <x:v>1</x:v>
      </x:c>
      <x:c r="E781" s="103" t="str">
        <x:v>Material-row source portal</x:v>
      </x:c>
      <x:c r="F781" s="103" t="str">
        <x:v>Source portal is identified, but edition/revision and property record locator remain unresolved.</x:v>
      </x:c>
    </x:row>
    <x:row r="782">
      <x:c r="A782" s="54" t="n">
        <x:v>2404</x:v>
      </x:c>
      <x:c r="B782" s="54" t="n">
        <x:v>13</x:v>
      </x:c>
      <x:c r="C782" s="54" t="n">
        <x:v>4</x:v>
      </x:c>
      <x:c r="D782" s="54" t="n">
        <x:v>1</x:v>
      </x:c>
      <x:c r="E782" s="103" t="str">
        <x:v>Material-row source portal</x:v>
      </x:c>
      <x:c r="F782" s="103" t="str">
        <x:v>Source portal is identified, but edition/revision and property record locator remain unresolved.</x:v>
      </x:c>
    </x:row>
    <x:row r="783">
      <x:c r="A783" s="54" t="n">
        <x:v>2404</x:v>
      </x:c>
      <x:c r="B783" s="54" t="n">
        <x:v>14</x:v>
      </x:c>
      <x:c r="C783" s="54" t="n">
        <x:v>4</x:v>
      </x:c>
      <x:c r="D783" s="54" t="n">
        <x:v>1</x:v>
      </x:c>
      <x:c r="E783" s="103" t="str">
        <x:v>Material-row source portal</x:v>
      </x:c>
      <x:c r="F783" s="103" t="str">
        <x:v>Source portal is identified, but edition/revision and property record locator remain unresolved.</x:v>
      </x:c>
    </x:row>
    <x:row r="784">
      <x:c r="A784" s="54" t="n">
        <x:v>2404</x:v>
      </x:c>
      <x:c r="B784" s="54" t="n">
        <x:v>15</x:v>
      </x:c>
      <x:c r="C784" s="54" t="n">
        <x:v>4</x:v>
      </x:c>
      <x:c r="D784" s="54" t="n">
        <x:v>1</x:v>
      </x:c>
      <x:c r="E784" s="103" t="str">
        <x:v>Material-row source portal</x:v>
      </x:c>
      <x:c r="F784" s="103" t="str">
        <x:v>Source portal is identified, but edition/revision and property record locator remain unresolved.</x:v>
      </x:c>
    </x:row>
    <x:row r="785">
      <x:c r="A785" s="54" t="n">
        <x:v>2404</x:v>
      </x:c>
      <x:c r="B785" s="54" t="n">
        <x:v>16</x:v>
      </x:c>
      <x:c r="C785" s="54" t="n">
        <x:v>4</x:v>
      </x:c>
      <x:c r="D785" s="54" t="n">
        <x:v>1</x:v>
      </x:c>
      <x:c r="E785" s="103" t="str">
        <x:v>Material-row source portal</x:v>
      </x:c>
      <x:c r="F785" s="103" t="str">
        <x:v>Source portal is identified, but edition/revision and property record locator remain unresolved.</x:v>
      </x:c>
    </x:row>
    <x:row r="786">
      <x:c r="A786" s="54" t="n">
        <x:v>2404</x:v>
      </x:c>
      <x:c r="B786" s="54" t="n">
        <x:v>17</x:v>
      </x:c>
      <x:c r="C786" s="54" t="n">
        <x:v>4</x:v>
      </x:c>
      <x:c r="D786" s="54" t="n">
        <x:v>1</x:v>
      </x:c>
      <x:c r="E786" s="103" t="str">
        <x:v>Material-row source portal</x:v>
      </x:c>
      <x:c r="F786" s="103" t="str">
        <x:v>Source portal is identified, but edition/revision and property record locator remain unresolved.</x:v>
      </x:c>
    </x:row>
    <x:row r="787">
      <x:c r="A787" s="54" t="n">
        <x:v>2404</x:v>
      </x:c>
      <x:c r="B787" s="54" t="n">
        <x:v>18</x:v>
      </x:c>
      <x:c r="C787" s="54" t="n">
        <x:v>4</x:v>
      </x:c>
      <x:c r="D787" s="54" t="n">
        <x:v>1</x:v>
      </x:c>
      <x:c r="E787" s="103" t="str">
        <x:v>Formula-derived from E and Poisson ratio; input records inherit the material-row source</x:v>
      </x:c>
      <x:c r="F787" s="103" t="str">
        <x:v>Source portal is identified, but edition/revision and property record locator remain unresolved.</x:v>
      </x:c>
    </x:row>
    <x:row r="788">
      <x:c r="A788" s="54" t="n">
        <x:v>2405</x:v>
      </x:c>
      <x:c r="B788" s="54" t="n">
        <x:v>1</x:v>
      </x:c>
      <x:c r="C788" s="54" t="n">
        <x:v>4</x:v>
      </x:c>
      <x:c r="D788" s="54" t="n">
        <x:v>1</x:v>
      </x:c>
      <x:c r="E788" s="103" t="str">
        <x:v>Material-row source portal</x:v>
      </x:c>
      <x:c r="F788" s="103" t="str">
        <x:v>Source portal is identified, but edition/revision and property record locator remain unresolved.</x:v>
      </x:c>
    </x:row>
    <x:row r="789">
      <x:c r="A789" s="54" t="n">
        <x:v>2405</x:v>
      </x:c>
      <x:c r="B789" s="54" t="n">
        <x:v>2</x:v>
      </x:c>
      <x:c r="C789" s="54" t="n">
        <x:v>4</x:v>
      </x:c>
      <x:c r="D789" s="54" t="n">
        <x:v>1</x:v>
      </x:c>
      <x:c r="E789" s="103" t="str">
        <x:v>Material-row source portal</x:v>
      </x:c>
      <x:c r="F789" s="103" t="str">
        <x:v>Source portal is identified, but edition/revision and property record locator remain unresolved.</x:v>
      </x:c>
    </x:row>
    <x:row r="790">
      <x:c r="A790" s="54" t="n">
        <x:v>2405</x:v>
      </x:c>
      <x:c r="B790" s="54" t="n">
        <x:v>3</x:v>
      </x:c>
      <x:c r="C790" s="54" t="n">
        <x:v>4</x:v>
      </x:c>
      <x:c r="D790" s="54" t="n">
        <x:v>1</x:v>
      </x:c>
      <x:c r="E790" s="103" t="str">
        <x:v>Formula-derived from E and Poisson ratio; input records inherit the material-row source</x:v>
      </x:c>
      <x:c r="F790" s="103" t="str">
        <x:v>Source portal is identified, but edition/revision and property record locator remain unresolved.</x:v>
      </x:c>
    </x:row>
    <x:row r="791">
      <x:c r="A791" s="54" t="n">
        <x:v>2405</x:v>
      </x:c>
      <x:c r="B791" s="54" t="n">
        <x:v>4</x:v>
      </x:c>
      <x:c r="C791" s="54" t="n">
        <x:v>4</x:v>
      </x:c>
      <x:c r="D791" s="54" t="n">
        <x:v>1</x:v>
      </x:c>
      <x:c r="E791" s="103" t="str">
        <x:v>Material-row source portal</x:v>
      </x:c>
      <x:c r="F791" s="103" t="str">
        <x:v>Source portal is identified, but edition/revision and property record locator remain unresolved.</x:v>
      </x:c>
    </x:row>
    <x:row r="792">
      <x:c r="A792" s="54" t="n">
        <x:v>2405</x:v>
      </x:c>
      <x:c r="B792" s="54" t="n">
        <x:v>5</x:v>
      </x:c>
      <x:c r="C792" s="54" t="n">
        <x:v>4</x:v>
      </x:c>
      <x:c r="D792" s="54" t="n">
        <x:v>1</x:v>
      </x:c>
      <x:c r="E792" s="103" t="str">
        <x:v>Material-row source portal</x:v>
      </x:c>
      <x:c r="F792" s="103" t="str">
        <x:v>Source portal is identified, but edition/revision and property record locator remain unresolved.</x:v>
      </x:c>
    </x:row>
    <x:row r="793">
      <x:c r="A793" s="54" t="n">
        <x:v>2405</x:v>
      </x:c>
      <x:c r="B793" s="54" t="n">
        <x:v>6</x:v>
      </x:c>
      <x:c r="C793" s="54" t="n">
        <x:v>4</x:v>
      </x:c>
      <x:c r="D793" s="54" t="n">
        <x:v>1</x:v>
      </x:c>
      <x:c r="E793" s="103" t="str">
        <x:v>Material-row source portal</x:v>
      </x:c>
      <x:c r="F793" s="103" t="str">
        <x:v>Source portal is identified, but edition/revision and property record locator remain unresolved.</x:v>
      </x:c>
    </x:row>
    <x:row r="794">
      <x:c r="A794" s="54" t="n">
        <x:v>2405</x:v>
      </x:c>
      <x:c r="B794" s="54" t="n">
        <x:v>9</x:v>
      </x:c>
      <x:c r="C794" s="54" t="n">
        <x:v>4</x:v>
      </x:c>
      <x:c r="D794" s="54" t="n">
        <x:v>1</x:v>
      </x:c>
      <x:c r="E794" s="103" t="str">
        <x:v>Material-row source portal</x:v>
      </x:c>
      <x:c r="F794" s="103" t="str">
        <x:v>Source portal is identified, but edition/revision and property record locator remain unresolved.</x:v>
      </x:c>
    </x:row>
    <x:row r="795">
      <x:c r="A795" s="54" t="n">
        <x:v>2405</x:v>
      </x:c>
      <x:c r="B795" s="54" t="n">
        <x:v>10</x:v>
      </x:c>
      <x:c r="C795" s="54" t="n">
        <x:v>4</x:v>
      </x:c>
      <x:c r="D795" s="54" t="n">
        <x:v>1</x:v>
      </x:c>
      <x:c r="E795" s="103" t="str">
        <x:v>Material-row source portal</x:v>
      </x:c>
      <x:c r="F795" s="103" t="str">
        <x:v>Source portal is identified, but edition/revision and property record locator remain unresolved.</x:v>
      </x:c>
    </x:row>
    <x:row r="796">
      <x:c r="A796" s="54" t="n">
        <x:v>2405</x:v>
      </x:c>
      <x:c r="B796" s="54" t="n">
        <x:v>11</x:v>
      </x:c>
      <x:c r="C796" s="54" t="n">
        <x:v>4</x:v>
      </x:c>
      <x:c r="D796" s="54" t="n">
        <x:v>1</x:v>
      </x:c>
      <x:c r="E796" s="103" t="str">
        <x:v>Material-row source portal</x:v>
      </x:c>
      <x:c r="F796" s="103" t="str">
        <x:v>Source portal is identified, but edition/revision and property record locator remain unresolved.</x:v>
      </x:c>
    </x:row>
    <x:row r="797">
      <x:c r="A797" s="54" t="n">
        <x:v>2405</x:v>
      </x:c>
      <x:c r="B797" s="54" t="n">
        <x:v>12</x:v>
      </x:c>
      <x:c r="C797" s="54" t="n">
        <x:v>4</x:v>
      </x:c>
      <x:c r="D797" s="54" t="n">
        <x:v>1</x:v>
      </x:c>
      <x:c r="E797" s="103" t="str">
        <x:v>Material-row source portal</x:v>
      </x:c>
      <x:c r="F797" s="103" t="str">
        <x:v>Source portal is identified, but edition/revision and property record locator remain unresolved.</x:v>
      </x:c>
    </x:row>
    <x:row r="798">
      <x:c r="A798" s="54" t="n">
        <x:v>2405</x:v>
      </x:c>
      <x:c r="B798" s="54" t="n">
        <x:v>13</x:v>
      </x:c>
      <x:c r="C798" s="54" t="n">
        <x:v>4</x:v>
      </x:c>
      <x:c r="D798" s="54" t="n">
        <x:v>1</x:v>
      </x:c>
      <x:c r="E798" s="103" t="str">
        <x:v>Material-row source portal</x:v>
      </x:c>
      <x:c r="F798" s="103" t="str">
        <x:v>Source portal is identified, but edition/revision and property record locator remain unresolved.</x:v>
      </x:c>
    </x:row>
    <x:row r="799">
      <x:c r="A799" s="54" t="n">
        <x:v>2405</x:v>
      </x:c>
      <x:c r="B799" s="54" t="n">
        <x:v>14</x:v>
      </x:c>
      <x:c r="C799" s="54" t="n">
        <x:v>4</x:v>
      </x:c>
      <x:c r="D799" s="54" t="n">
        <x:v>1</x:v>
      </x:c>
      <x:c r="E799" s="103" t="str">
        <x:v>Material-row source portal</x:v>
      </x:c>
      <x:c r="F799" s="103" t="str">
        <x:v>Source portal is identified, but edition/revision and property record locator remain unresolved.</x:v>
      </x:c>
    </x:row>
    <x:row r="800">
      <x:c r="A800" s="54" t="n">
        <x:v>2405</x:v>
      </x:c>
      <x:c r="B800" s="54" t="n">
        <x:v>15</x:v>
      </x:c>
      <x:c r="C800" s="54" t="n">
        <x:v>4</x:v>
      </x:c>
      <x:c r="D800" s="54" t="n">
        <x:v>1</x:v>
      </x:c>
      <x:c r="E800" s="103" t="str">
        <x:v>Material-row source portal</x:v>
      </x:c>
      <x:c r="F800" s="103" t="str">
        <x:v>Source portal is identified, but edition/revision and property record locator remain unresolved.</x:v>
      </x:c>
    </x:row>
    <x:row r="801">
      <x:c r="A801" s="54" t="n">
        <x:v>2405</x:v>
      </x:c>
      <x:c r="B801" s="54" t="n">
        <x:v>16</x:v>
      </x:c>
      <x:c r="C801" s="54" t="n">
        <x:v>4</x:v>
      </x:c>
      <x:c r="D801" s="54" t="n">
        <x:v>1</x:v>
      </x:c>
      <x:c r="E801" s="103" t="str">
        <x:v>Material-row source portal</x:v>
      </x:c>
      <x:c r="F801" s="103" t="str">
        <x:v>Source portal is identified, but edition/revision and property record locator remain unresolved.</x:v>
      </x:c>
    </x:row>
    <x:row r="802">
      <x:c r="A802" s="54" t="n">
        <x:v>2405</x:v>
      </x:c>
      <x:c r="B802" s="54" t="n">
        <x:v>17</x:v>
      </x:c>
      <x:c r="C802" s="54" t="n">
        <x:v>4</x:v>
      </x:c>
      <x:c r="D802" s="54" t="n">
        <x:v>1</x:v>
      </x:c>
      <x:c r="E802" s="103" t="str">
        <x:v>Material-row source portal</x:v>
      </x:c>
      <x:c r="F802" s="103" t="str">
        <x:v>Source portal is identified, but edition/revision and property record locator remain unresolved.</x:v>
      </x:c>
    </x:row>
    <x:row r="803">
      <x:c r="A803" s="54" t="n">
        <x:v>2405</x:v>
      </x:c>
      <x:c r="B803" s="54" t="n">
        <x:v>18</x:v>
      </x:c>
      <x:c r="C803" s="54" t="n">
        <x:v>4</x:v>
      </x:c>
      <x:c r="D803" s="54" t="n">
        <x:v>1</x:v>
      </x:c>
      <x:c r="E803" s="103" t="str">
        <x:v>Formula-derived from E and Poisson ratio; input records inherit the material-row source</x:v>
      </x:c>
      <x:c r="F803" s="103" t="str">
        <x:v>Source portal is identified, but edition/revision and property record locator remain unresolved.</x:v>
      </x:c>
    </x:row>
    <x:row r="804">
      <x:c r="A804" s="54" t="n">
        <x:v>2501</x:v>
      </x:c>
      <x:c r="B804" s="54" t="n">
        <x:v>1</x:v>
      </x:c>
      <x:c r="C804" s="54" t="n">
        <x:v>1</x:v>
      </x:c>
      <x:c r="D804" s="54" t="n">
        <x:v>1</x:v>
      </x:c>
      <x:c r="E804" s="103" t="str">
        <x:v>Material-row source portal</x:v>
      </x:c>
      <x:c r="F804" s="103" t="str">
        <x:v>Source portal is identified, but edition/revision and property record locator remain unresolved.</x:v>
      </x:c>
    </x:row>
    <x:row r="805">
      <x:c r="A805" s="54" t="n">
        <x:v>2501</x:v>
      </x:c>
      <x:c r="B805" s="54" t="n">
        <x:v>2</x:v>
      </x:c>
      <x:c r="C805" s="54" t="n">
        <x:v>1</x:v>
      </x:c>
      <x:c r="D805" s="54" t="n">
        <x:v>1</x:v>
      </x:c>
      <x:c r="E805" s="103" t="str">
        <x:v>Material-row source portal</x:v>
      </x:c>
      <x:c r="F805" s="103" t="str">
        <x:v>Source portal is identified, but edition/revision and property record locator remain unresolved.</x:v>
      </x:c>
    </x:row>
    <x:row r="806">
      <x:c r="A806" s="54" t="n">
        <x:v>2501</x:v>
      </x:c>
      <x:c r="B806" s="54" t="n">
        <x:v>3</x:v>
      </x:c>
      <x:c r="C806" s="54" t="n">
        <x:v>1</x:v>
      </x:c>
      <x:c r="D806" s="54" t="n">
        <x:v>1</x:v>
      </x:c>
      <x:c r="E806" s="103" t="str">
        <x:v>Formula-derived from E and Poisson ratio; input records inherit the material-row source</x:v>
      </x:c>
      <x:c r="F806" s="103" t="str">
        <x:v>Source portal is identified, but edition/revision and property record locator remain unresolved.</x:v>
      </x:c>
    </x:row>
    <x:row r="807">
      <x:c r="A807" s="54" t="n">
        <x:v>2501</x:v>
      </x:c>
      <x:c r="B807" s="54" t="n">
        <x:v>4</x:v>
      </x:c>
      <x:c r="C807" s="54" t="n">
        <x:v>1</x:v>
      </x:c>
      <x:c r="D807" s="54" t="n">
        <x:v>1</x:v>
      </x:c>
      <x:c r="E807" s="103" t="str">
        <x:v>Material-row source portal</x:v>
      </x:c>
      <x:c r="F807" s="103" t="str">
        <x:v>Source portal is identified, but edition/revision and property record locator remain unresolved.</x:v>
      </x:c>
    </x:row>
    <x:row r="808">
      <x:c r="A808" s="54" t="n">
        <x:v>2501</x:v>
      </x:c>
      <x:c r="B808" s="54" t="n">
        <x:v>5</x:v>
      </x:c>
      <x:c r="C808" s="54" t="n">
        <x:v>1</x:v>
      </x:c>
      <x:c r="D808" s="54" t="n">
        <x:v>1</x:v>
      </x:c>
      <x:c r="E808" s="103" t="str">
        <x:v>Material-row source portal</x:v>
      </x:c>
      <x:c r="F808" s="103" t="str">
        <x:v>Source portal is identified, but edition/revision and property record locator remain unresolved.</x:v>
      </x:c>
    </x:row>
    <x:row r="809">
      <x:c r="A809" s="54" t="n">
        <x:v>2501</x:v>
      </x:c>
      <x:c r="B809" s="54" t="n">
        <x:v>6</x:v>
      </x:c>
      <x:c r="C809" s="54" t="n">
        <x:v>1</x:v>
      </x:c>
      <x:c r="D809" s="54" t="n">
        <x:v>1</x:v>
      </x:c>
      <x:c r="E809" s="103" t="str">
        <x:v>Material-row source portal</x:v>
      </x:c>
      <x:c r="F809" s="103" t="str">
        <x:v>Source portal is identified, but edition/revision and property record locator remain unresolved.</x:v>
      </x:c>
    </x:row>
    <x:row r="810">
      <x:c r="A810" s="54" t="n">
        <x:v>2501</x:v>
      </x:c>
      <x:c r="B810" s="54" t="n">
        <x:v>9</x:v>
      </x:c>
      <x:c r="C810" s="54" t="n">
        <x:v>1</x:v>
      </x:c>
      <x:c r="D810" s="54" t="n">
        <x:v>1</x:v>
      </x:c>
      <x:c r="E810" s="103" t="str">
        <x:v>Material-row source portal</x:v>
      </x:c>
      <x:c r="F810" s="103" t="str">
        <x:v>Source portal is identified, but edition/revision and property record locator remain unresolved.</x:v>
      </x:c>
    </x:row>
    <x:row r="811">
      <x:c r="A811" s="54" t="n">
        <x:v>2501</x:v>
      </x:c>
      <x:c r="B811" s="54" t="n">
        <x:v>10</x:v>
      </x:c>
      <x:c r="C811" s="54" t="n">
        <x:v>1</x:v>
      </x:c>
      <x:c r="D811" s="54" t="n">
        <x:v>1</x:v>
      </x:c>
      <x:c r="E811" s="103" t="str">
        <x:v>Material-row source portal</x:v>
      </x:c>
      <x:c r="F811" s="103" t="str">
        <x:v>Source portal is identified, but edition/revision and property record locator remain unresolved.</x:v>
      </x:c>
    </x:row>
    <x:row r="812">
      <x:c r="A812" s="54" t="n">
        <x:v>2501</x:v>
      </x:c>
      <x:c r="B812" s="54" t="n">
        <x:v>11</x:v>
      </x:c>
      <x:c r="C812" s="54" t="n">
        <x:v>1</x:v>
      </x:c>
      <x:c r="D812" s="54" t="n">
        <x:v>1</x:v>
      </x:c>
      <x:c r="E812" s="103" t="str">
        <x:v>Material-row source portal</x:v>
      </x:c>
      <x:c r="F812" s="103" t="str">
        <x:v>Source portal is identified, but edition/revision and property record locator remain unresolved.</x:v>
      </x:c>
    </x:row>
    <x:row r="813">
      <x:c r="A813" s="54" t="n">
        <x:v>2501</x:v>
      </x:c>
      <x:c r="B813" s="54" t="n">
        <x:v>12</x:v>
      </x:c>
      <x:c r="C813" s="54" t="n">
        <x:v>1</x:v>
      </x:c>
      <x:c r="D813" s="54" t="n">
        <x:v>1</x:v>
      </x:c>
      <x:c r="E813" s="103" t="str">
        <x:v>Material-row source portal</x:v>
      </x:c>
      <x:c r="F813" s="103" t="str">
        <x:v>Source portal is identified, but edition/revision and property record locator remain unresolved.</x:v>
      </x:c>
    </x:row>
    <x:row r="814">
      <x:c r="A814" s="54" t="n">
        <x:v>2501</x:v>
      </x:c>
      <x:c r="B814" s="54" t="n">
        <x:v>13</x:v>
      </x:c>
      <x:c r="C814" s="54" t="n">
        <x:v>1</x:v>
      </x:c>
      <x:c r="D814" s="54" t="n">
        <x:v>1</x:v>
      </x:c>
      <x:c r="E814" s="103" t="str">
        <x:v>Material-row source portal</x:v>
      </x:c>
      <x:c r="F814" s="103" t="str">
        <x:v>Source portal is identified, but edition/revision and property record locator remain unresolved.</x:v>
      </x:c>
    </x:row>
    <x:row r="815">
      <x:c r="A815" s="54" t="n">
        <x:v>2501</x:v>
      </x:c>
      <x:c r="B815" s="54" t="n">
        <x:v>14</x:v>
      </x:c>
      <x:c r="C815" s="54" t="n">
        <x:v>1</x:v>
      </x:c>
      <x:c r="D815" s="54" t="n">
        <x:v>1</x:v>
      </x:c>
      <x:c r="E815" s="103" t="str">
        <x:v>Material-row source portal</x:v>
      </x:c>
      <x:c r="F815" s="103" t="str">
        <x:v>Source portal is identified, but edition/revision and property record locator remain unresolved.</x:v>
      </x:c>
    </x:row>
    <x:row r="816">
      <x:c r="A816" s="54" t="n">
        <x:v>2501</x:v>
      </x:c>
      <x:c r="B816" s="54" t="n">
        <x:v>15</x:v>
      </x:c>
      <x:c r="C816" s="54" t="n">
        <x:v>1</x:v>
      </x:c>
      <x:c r="D816" s="54" t="n">
        <x:v>1</x:v>
      </x:c>
      <x:c r="E816" s="103" t="str">
        <x:v>Material-row source portal</x:v>
      </x:c>
      <x:c r="F816" s="103" t="str">
        <x:v>Source portal is identified, but edition/revision and property record locator remain unresolved.</x:v>
      </x:c>
    </x:row>
    <x:row r="817">
      <x:c r="A817" s="54" t="n">
        <x:v>2501</x:v>
      </x:c>
      <x:c r="B817" s="54" t="n">
        <x:v>16</x:v>
      </x:c>
      <x:c r="C817" s="54" t="n">
        <x:v>1</x:v>
      </x:c>
      <x:c r="D817" s="54" t="n">
        <x:v>1</x:v>
      </x:c>
      <x:c r="E817" s="103" t="str">
        <x:v>Material-row source portal</x:v>
      </x:c>
      <x:c r="F817" s="103" t="str">
        <x:v>Source portal is identified, but edition/revision and property record locator remain unresolved.</x:v>
      </x:c>
    </x:row>
    <x:row r="818">
      <x:c r="A818" s="54" t="n">
        <x:v>2501</x:v>
      </x:c>
      <x:c r="B818" s="54" t="n">
        <x:v>17</x:v>
      </x:c>
      <x:c r="C818" s="54" t="n">
        <x:v>1</x:v>
      </x:c>
      <x:c r="D818" s="54" t="n">
        <x:v>1</x:v>
      </x:c>
      <x:c r="E818" s="103" t="str">
        <x:v>Material-row source portal</x:v>
      </x:c>
      <x:c r="F818" s="103" t="str">
        <x:v>Source portal is identified, but edition/revision and property record locator remain unresolved.</x:v>
      </x:c>
    </x:row>
    <x:row r="819">
      <x:c r="A819" s="54" t="n">
        <x:v>2501</x:v>
      </x:c>
      <x:c r="B819" s="54" t="n">
        <x:v>18</x:v>
      </x:c>
      <x:c r="C819" s="54" t="n">
        <x:v>1</x:v>
      </x:c>
      <x:c r="D819" s="54" t="n">
        <x:v>1</x:v>
      </x:c>
      <x:c r="E819" s="103" t="str">
        <x:v>Formula-derived from E and Poisson ratio; input records inherit the material-row source</x:v>
      </x:c>
      <x:c r="F819" s="103" t="str">
        <x:v>Source portal is identified, but edition/revision and property record locator remain unresolved.</x:v>
      </x:c>
    </x:row>
    <x:row r="820">
      <x:c r="A820" s="54" t="n">
        <x:v>2502</x:v>
      </x:c>
      <x:c r="B820" s="54" t="n">
        <x:v>1</x:v>
      </x:c>
      <x:c r="C820" s="54" t="n">
        <x:v>1</x:v>
      </x:c>
      <x:c r="D820" s="54" t="n">
        <x:v>1</x:v>
      </x:c>
      <x:c r="E820" s="103" t="str">
        <x:v>Material-row source portal</x:v>
      </x:c>
      <x:c r="F820" s="103" t="str">
        <x:v>Source portal is identified, but edition/revision and property record locator remain unresolved.</x:v>
      </x:c>
    </x:row>
    <x:row r="821">
      <x:c r="A821" s="54" t="n">
        <x:v>2502</x:v>
      </x:c>
      <x:c r="B821" s="54" t="n">
        <x:v>2</x:v>
      </x:c>
      <x:c r="C821" s="54" t="n">
        <x:v>1</x:v>
      </x:c>
      <x:c r="D821" s="54" t="n">
        <x:v>1</x:v>
      </x:c>
      <x:c r="E821" s="103" t="str">
        <x:v>Material-row source portal</x:v>
      </x:c>
      <x:c r="F821" s="103" t="str">
        <x:v>Source portal is identified, but edition/revision and property record locator remain unresolved.</x:v>
      </x:c>
    </x:row>
    <x:row r="822">
      <x:c r="A822" s="54" t="n">
        <x:v>2502</x:v>
      </x:c>
      <x:c r="B822" s="54" t="n">
        <x:v>3</x:v>
      </x:c>
      <x:c r="C822" s="54" t="n">
        <x:v>1</x:v>
      </x:c>
      <x:c r="D822" s="54" t="n">
        <x:v>1</x:v>
      </x:c>
      <x:c r="E822" s="103" t="str">
        <x:v>Formula-derived from E and Poisson ratio; input records inherit the material-row source</x:v>
      </x:c>
      <x:c r="F822" s="103" t="str">
        <x:v>Source portal is identified, but edition/revision and property record locator remain unresolved.</x:v>
      </x:c>
    </x:row>
    <x:row r="823">
      <x:c r="A823" s="54" t="n">
        <x:v>2502</x:v>
      </x:c>
      <x:c r="B823" s="54" t="n">
        <x:v>4</x:v>
      </x:c>
      <x:c r="C823" s="54" t="n">
        <x:v>1</x:v>
      </x:c>
      <x:c r="D823" s="54" t="n">
        <x:v>1</x:v>
      </x:c>
      <x:c r="E823" s="103" t="str">
        <x:v>Material-row source portal</x:v>
      </x:c>
      <x:c r="F823" s="103" t="str">
        <x:v>Source portal is identified, but edition/revision and property record locator remain unresolved.</x:v>
      </x:c>
    </x:row>
    <x:row r="824">
      <x:c r="A824" s="54" t="n">
        <x:v>2502</x:v>
      </x:c>
      <x:c r="B824" s="54" t="n">
        <x:v>5</x:v>
      </x:c>
      <x:c r="C824" s="54" t="n">
        <x:v>1</x:v>
      </x:c>
      <x:c r="D824" s="54" t="n">
        <x:v>1</x:v>
      </x:c>
      <x:c r="E824" s="103" t="str">
        <x:v>Material-row source portal</x:v>
      </x:c>
      <x:c r="F824" s="103" t="str">
        <x:v>Source portal is identified, but edition/revision and property record locator remain unresolved.</x:v>
      </x:c>
    </x:row>
    <x:row r="825">
      <x:c r="A825" s="54" t="n">
        <x:v>2502</x:v>
      </x:c>
      <x:c r="B825" s="54" t="n">
        <x:v>6</x:v>
      </x:c>
      <x:c r="C825" s="54" t="n">
        <x:v>1</x:v>
      </x:c>
      <x:c r="D825" s="54" t="n">
        <x:v>1</x:v>
      </x:c>
      <x:c r="E825" s="103" t="str">
        <x:v>Material-row source portal</x:v>
      </x:c>
      <x:c r="F825" s="103" t="str">
        <x:v>Source portal is identified, but edition/revision and property record locator remain unresolved.</x:v>
      </x:c>
    </x:row>
    <x:row r="826">
      <x:c r="A826" s="54" t="n">
        <x:v>2502</x:v>
      </x:c>
      <x:c r="B826" s="54" t="n">
        <x:v>9</x:v>
      </x:c>
      <x:c r="C826" s="54" t="n">
        <x:v>1</x:v>
      </x:c>
      <x:c r="D826" s="54" t="n">
        <x:v>1</x:v>
      </x:c>
      <x:c r="E826" s="103" t="str">
        <x:v>Material-row source portal</x:v>
      </x:c>
      <x:c r="F826" s="103" t="str">
        <x:v>Source portal is identified, but edition/revision and property record locator remain unresolved.</x:v>
      </x:c>
    </x:row>
    <x:row r="827">
      <x:c r="A827" s="54" t="n">
        <x:v>2502</x:v>
      </x:c>
      <x:c r="B827" s="54" t="n">
        <x:v>10</x:v>
      </x:c>
      <x:c r="C827" s="54" t="n">
        <x:v>1</x:v>
      </x:c>
      <x:c r="D827" s="54" t="n">
        <x:v>1</x:v>
      </x:c>
      <x:c r="E827" s="103" t="str">
        <x:v>Material-row source portal</x:v>
      </x:c>
      <x:c r="F827" s="103" t="str">
        <x:v>Source portal is identified, but edition/revision and property record locator remain unresolved.</x:v>
      </x:c>
    </x:row>
    <x:row r="828">
      <x:c r="A828" s="54" t="n">
        <x:v>2502</x:v>
      </x:c>
      <x:c r="B828" s="54" t="n">
        <x:v>11</x:v>
      </x:c>
      <x:c r="C828" s="54" t="n">
        <x:v>1</x:v>
      </x:c>
      <x:c r="D828" s="54" t="n">
        <x:v>1</x:v>
      </x:c>
      <x:c r="E828" s="103" t="str">
        <x:v>Material-row source portal</x:v>
      </x:c>
      <x:c r="F828" s="103" t="str">
        <x:v>Source portal is identified, but edition/revision and property record locator remain unresolved.</x:v>
      </x:c>
    </x:row>
    <x:row r="829">
      <x:c r="A829" s="54" t="n">
        <x:v>2502</x:v>
      </x:c>
      <x:c r="B829" s="54" t="n">
        <x:v>12</x:v>
      </x:c>
      <x:c r="C829" s="54" t="n">
        <x:v>1</x:v>
      </x:c>
      <x:c r="D829" s="54" t="n">
        <x:v>1</x:v>
      </x:c>
      <x:c r="E829" s="103" t="str">
        <x:v>Material-row source portal</x:v>
      </x:c>
      <x:c r="F829" s="103" t="str">
        <x:v>Source portal is identified, but edition/revision and property record locator remain unresolved.</x:v>
      </x:c>
    </x:row>
    <x:row r="830">
      <x:c r="A830" s="54" t="n">
        <x:v>2502</x:v>
      </x:c>
      <x:c r="B830" s="54" t="n">
        <x:v>13</x:v>
      </x:c>
      <x:c r="C830" s="54" t="n">
        <x:v>1</x:v>
      </x:c>
      <x:c r="D830" s="54" t="n">
        <x:v>1</x:v>
      </x:c>
      <x:c r="E830" s="103" t="str">
        <x:v>Material-row source portal</x:v>
      </x:c>
      <x:c r="F830" s="103" t="str">
        <x:v>Source portal is identified, but edition/revision and property record locator remain unresolved.</x:v>
      </x:c>
    </x:row>
    <x:row r="831">
      <x:c r="A831" s="54" t="n">
        <x:v>2502</x:v>
      </x:c>
      <x:c r="B831" s="54" t="n">
        <x:v>14</x:v>
      </x:c>
      <x:c r="C831" s="54" t="n">
        <x:v>1</x:v>
      </x:c>
      <x:c r="D831" s="54" t="n">
        <x:v>1</x:v>
      </x:c>
      <x:c r="E831" s="103" t="str">
        <x:v>Material-row source portal</x:v>
      </x:c>
      <x:c r="F831" s="103" t="str">
        <x:v>Source portal is identified, but edition/revision and property record locator remain unresolved.</x:v>
      </x:c>
    </x:row>
    <x:row r="832">
      <x:c r="A832" s="54" t="n">
        <x:v>2502</x:v>
      </x:c>
      <x:c r="B832" s="54" t="n">
        <x:v>15</x:v>
      </x:c>
      <x:c r="C832" s="54" t="n">
        <x:v>1</x:v>
      </x:c>
      <x:c r="D832" s="54" t="n">
        <x:v>1</x:v>
      </x:c>
      <x:c r="E832" s="103" t="str">
        <x:v>Material-row source portal</x:v>
      </x:c>
      <x:c r="F832" s="103" t="str">
        <x:v>Source portal is identified, but edition/revision and property record locator remain unresolved.</x:v>
      </x:c>
    </x:row>
    <x:row r="833">
      <x:c r="A833" s="54" t="n">
        <x:v>2502</x:v>
      </x:c>
      <x:c r="B833" s="54" t="n">
        <x:v>16</x:v>
      </x:c>
      <x:c r="C833" s="54" t="n">
        <x:v>1</x:v>
      </x:c>
      <x:c r="D833" s="54" t="n">
        <x:v>1</x:v>
      </x:c>
      <x:c r="E833" s="103" t="str">
        <x:v>Material-row source portal</x:v>
      </x:c>
      <x:c r="F833" s="103" t="str">
        <x:v>Source portal is identified, but edition/revision and property record locator remain unresolved.</x:v>
      </x:c>
    </x:row>
    <x:row r="834">
      <x:c r="A834" s="54" t="n">
        <x:v>2502</x:v>
      </x:c>
      <x:c r="B834" s="54" t="n">
        <x:v>17</x:v>
      </x:c>
      <x:c r="C834" s="54" t="n">
        <x:v>1</x:v>
      </x:c>
      <x:c r="D834" s="54" t="n">
        <x:v>1</x:v>
      </x:c>
      <x:c r="E834" s="103" t="str">
        <x:v>Material-row source portal</x:v>
      </x:c>
      <x:c r="F834" s="103" t="str">
        <x:v>Source portal is identified, but edition/revision and property record locator remain unresolved.</x:v>
      </x:c>
    </x:row>
    <x:row r="835">
      <x:c r="A835" s="54" t="n">
        <x:v>2502</x:v>
      </x:c>
      <x:c r="B835" s="54" t="n">
        <x:v>18</x:v>
      </x:c>
      <x:c r="C835" s="54" t="n">
        <x:v>1</x:v>
      </x:c>
      <x:c r="D835" s="54" t="n">
        <x:v>1</x:v>
      </x:c>
      <x:c r="E835" s="103" t="str">
        <x:v>Formula-derived from E and Poisson ratio; input records inherit the material-row source</x:v>
      </x:c>
      <x:c r="F835" s="103" t="str">
        <x:v>Source portal is identified, but edition/revision and property record locator remain unresolved.</x:v>
      </x:c>
    </x:row>
    <x:row r="836">
      <x:c r="A836" s="54" t="n">
        <x:v>2503</x:v>
      </x:c>
      <x:c r="B836" s="54" t="n">
        <x:v>1</x:v>
      </x:c>
      <x:c r="C836" s="54" t="n">
        <x:v>1</x:v>
      </x:c>
      <x:c r="D836" s="54" t="n">
        <x:v>1</x:v>
      </x:c>
      <x:c r="E836" s="103" t="str">
        <x:v>Material-row source portal</x:v>
      </x:c>
      <x:c r="F836" s="103" t="str">
        <x:v>Source portal is identified, but edition/revision and property record locator remain unresolved.</x:v>
      </x:c>
    </x:row>
    <x:row r="837">
      <x:c r="A837" s="54" t="n">
        <x:v>2503</x:v>
      </x:c>
      <x:c r="B837" s="54" t="n">
        <x:v>2</x:v>
      </x:c>
      <x:c r="C837" s="54" t="n">
        <x:v>1</x:v>
      </x:c>
      <x:c r="D837" s="54" t="n">
        <x:v>1</x:v>
      </x:c>
      <x:c r="E837" s="103" t="str">
        <x:v>Material-row source portal</x:v>
      </x:c>
      <x:c r="F837" s="103" t="str">
        <x:v>Source portal is identified, but edition/revision and property record locator remain unresolved.</x:v>
      </x:c>
    </x:row>
    <x:row r="838">
      <x:c r="A838" s="54" t="n">
        <x:v>2503</x:v>
      </x:c>
      <x:c r="B838" s="54" t="n">
        <x:v>3</x:v>
      </x:c>
      <x:c r="C838" s="54" t="n">
        <x:v>1</x:v>
      </x:c>
      <x:c r="D838" s="54" t="n">
        <x:v>1</x:v>
      </x:c>
      <x:c r="E838" s="103" t="str">
        <x:v>Formula-derived from E and Poisson ratio; input records inherit the material-row source</x:v>
      </x:c>
      <x:c r="F838" s="103" t="str">
        <x:v>Source portal is identified, but edition/revision and property record locator remain unresolved.</x:v>
      </x:c>
    </x:row>
    <x:row r="839">
      <x:c r="A839" s="54" t="n">
        <x:v>2503</x:v>
      </x:c>
      <x:c r="B839" s="54" t="n">
        <x:v>4</x:v>
      </x:c>
      <x:c r="C839" s="54" t="n">
        <x:v>1</x:v>
      </x:c>
      <x:c r="D839" s="54" t="n">
        <x:v>1</x:v>
      </x:c>
      <x:c r="E839" s="103" t="str">
        <x:v>Material-row source portal</x:v>
      </x:c>
      <x:c r="F839" s="103" t="str">
        <x:v>Source portal is identified, but edition/revision and property record locator remain unresolved.</x:v>
      </x:c>
    </x:row>
    <x:row r="840">
      <x:c r="A840" s="54" t="n">
        <x:v>2503</x:v>
      </x:c>
      <x:c r="B840" s="54" t="n">
        <x:v>5</x:v>
      </x:c>
      <x:c r="C840" s="54" t="n">
        <x:v>1</x:v>
      </x:c>
      <x:c r="D840" s="54" t="n">
        <x:v>1</x:v>
      </x:c>
      <x:c r="E840" s="103" t="str">
        <x:v>Material-row source portal</x:v>
      </x:c>
      <x:c r="F840" s="103" t="str">
        <x:v>Source portal is identified, but edition/revision and property record locator remain unresolved.</x:v>
      </x:c>
    </x:row>
    <x:row r="841">
      <x:c r="A841" s="54" t="n">
        <x:v>2503</x:v>
      </x:c>
      <x:c r="B841" s="54" t="n">
        <x:v>6</x:v>
      </x:c>
      <x:c r="C841" s="54" t="n">
        <x:v>1</x:v>
      </x:c>
      <x:c r="D841" s="54" t="n">
        <x:v>1</x:v>
      </x:c>
      <x:c r="E841" s="103" t="str">
        <x:v>Material-row source portal</x:v>
      </x:c>
      <x:c r="F841" s="103" t="str">
        <x:v>Source portal is identified, but edition/revision and property record locator remain unresolved.</x:v>
      </x:c>
    </x:row>
    <x:row r="842">
      <x:c r="A842" s="54" t="n">
        <x:v>2503</x:v>
      </x:c>
      <x:c r="B842" s="54" t="n">
        <x:v>9</x:v>
      </x:c>
      <x:c r="C842" s="54" t="n">
        <x:v>1</x:v>
      </x:c>
      <x:c r="D842" s="54" t="n">
        <x:v>1</x:v>
      </x:c>
      <x:c r="E842" s="103" t="str">
        <x:v>Material-row source portal</x:v>
      </x:c>
      <x:c r="F842" s="103" t="str">
        <x:v>Source portal is identified, but edition/revision and property record locator remain unresolved.</x:v>
      </x:c>
    </x:row>
    <x:row r="843">
      <x:c r="A843" s="54" t="n">
        <x:v>2503</x:v>
      </x:c>
      <x:c r="B843" s="54" t="n">
        <x:v>10</x:v>
      </x:c>
      <x:c r="C843" s="54" t="n">
        <x:v>1</x:v>
      </x:c>
      <x:c r="D843" s="54" t="n">
        <x:v>1</x:v>
      </x:c>
      <x:c r="E843" s="103" t="str">
        <x:v>Material-row source portal</x:v>
      </x:c>
      <x:c r="F843" s="103" t="str">
        <x:v>Source portal is identified, but edition/revision and property record locator remain unresolved.</x:v>
      </x:c>
    </x:row>
    <x:row r="844">
      <x:c r="A844" s="54" t="n">
        <x:v>2503</x:v>
      </x:c>
      <x:c r="B844" s="54" t="n">
        <x:v>11</x:v>
      </x:c>
      <x:c r="C844" s="54" t="n">
        <x:v>1</x:v>
      </x:c>
      <x:c r="D844" s="54" t="n">
        <x:v>1</x:v>
      </x:c>
      <x:c r="E844" s="103" t="str">
        <x:v>Material-row source portal</x:v>
      </x:c>
      <x:c r="F844" s="103" t="str">
        <x:v>Source portal is identified, but edition/revision and property record locator remain unresolved.</x:v>
      </x:c>
    </x:row>
    <x:row r="845">
      <x:c r="A845" s="54" t="n">
        <x:v>2503</x:v>
      </x:c>
      <x:c r="B845" s="54" t="n">
        <x:v>12</x:v>
      </x:c>
      <x:c r="C845" s="54" t="n">
        <x:v>1</x:v>
      </x:c>
      <x:c r="D845" s="54" t="n">
        <x:v>1</x:v>
      </x:c>
      <x:c r="E845" s="103" t="str">
        <x:v>Material-row source portal</x:v>
      </x:c>
      <x:c r="F845" s="103" t="str">
        <x:v>Source portal is identified, but edition/revision and property record locator remain unresolved.</x:v>
      </x:c>
    </x:row>
    <x:row r="846">
      <x:c r="A846" s="54" t="n">
        <x:v>2503</x:v>
      </x:c>
      <x:c r="B846" s="54" t="n">
        <x:v>13</x:v>
      </x:c>
      <x:c r="C846" s="54" t="n">
        <x:v>1</x:v>
      </x:c>
      <x:c r="D846" s="54" t="n">
        <x:v>1</x:v>
      </x:c>
      <x:c r="E846" s="103" t="str">
        <x:v>Material-row source portal</x:v>
      </x:c>
      <x:c r="F846" s="103" t="str">
        <x:v>Source portal is identified, but edition/revision and property record locator remain unresolved.</x:v>
      </x:c>
    </x:row>
    <x:row r="847">
      <x:c r="A847" s="54" t="n">
        <x:v>2503</x:v>
      </x:c>
      <x:c r="B847" s="54" t="n">
        <x:v>14</x:v>
      </x:c>
      <x:c r="C847" s="54" t="n">
        <x:v>1</x:v>
      </x:c>
      <x:c r="D847" s="54" t="n">
        <x:v>1</x:v>
      </x:c>
      <x:c r="E847" s="103" t="str">
        <x:v>Material-row source portal</x:v>
      </x:c>
      <x:c r="F847" s="103" t="str">
        <x:v>Source portal is identified, but edition/revision and property record locator remain unresolved.</x:v>
      </x:c>
    </x:row>
    <x:row r="848">
      <x:c r="A848" s="54" t="n">
        <x:v>2503</x:v>
      </x:c>
      <x:c r="B848" s="54" t="n">
        <x:v>15</x:v>
      </x:c>
      <x:c r="C848" s="54" t="n">
        <x:v>1</x:v>
      </x:c>
      <x:c r="D848" s="54" t="n">
        <x:v>1</x:v>
      </x:c>
      <x:c r="E848" s="103" t="str">
        <x:v>Material-row source portal</x:v>
      </x:c>
      <x:c r="F848" s="103" t="str">
        <x:v>Source portal is identified, but edition/revision and property record locator remain unresolved.</x:v>
      </x:c>
    </x:row>
    <x:row r="849">
      <x:c r="A849" s="54" t="n">
        <x:v>2503</x:v>
      </x:c>
      <x:c r="B849" s="54" t="n">
        <x:v>16</x:v>
      </x:c>
      <x:c r="C849" s="54" t="n">
        <x:v>1</x:v>
      </x:c>
      <x:c r="D849" s="54" t="n">
        <x:v>1</x:v>
      </x:c>
      <x:c r="E849" s="103" t="str">
        <x:v>Material-row source portal</x:v>
      </x:c>
      <x:c r="F849" s="103" t="str">
        <x:v>Source portal is identified, but edition/revision and property record locator remain unresolved.</x:v>
      </x:c>
    </x:row>
    <x:row r="850">
      <x:c r="A850" s="54" t="n">
        <x:v>2503</x:v>
      </x:c>
      <x:c r="B850" s="54" t="n">
        <x:v>17</x:v>
      </x:c>
      <x:c r="C850" s="54" t="n">
        <x:v>1</x:v>
      </x:c>
      <x:c r="D850" s="54" t="n">
        <x:v>1</x:v>
      </x:c>
      <x:c r="E850" s="103" t="str">
        <x:v>Material-row source portal</x:v>
      </x:c>
      <x:c r="F850" s="103" t="str">
        <x:v>Source portal is identified, but edition/revision and property record locator remain unresolved.</x:v>
      </x:c>
    </x:row>
    <x:row r="851">
      <x:c r="A851" s="54" t="n">
        <x:v>2503</x:v>
      </x:c>
      <x:c r="B851" s="54" t="n">
        <x:v>18</x:v>
      </x:c>
      <x:c r="C851" s="54" t="n">
        <x:v>1</x:v>
      </x:c>
      <x:c r="D851" s="54" t="n">
        <x:v>1</x:v>
      </x:c>
      <x:c r="E851" s="103" t="str">
        <x:v>Formula-derived from E and Poisson ratio; input records inherit the material-row source</x:v>
      </x:c>
      <x:c r="F851" s="103" t="str">
        <x:v>Source portal is identified, but edition/revision and property record locator remain unresolved.</x:v>
      </x:c>
    </x:row>
    <x:row r="852">
      <x:c r="A852" s="54" t="n">
        <x:v>3001</x:v>
      </x:c>
      <x:c r="B852" s="54" t="n">
        <x:v>1</x:v>
      </x:c>
      <x:c r="C852" s="54" t="n">
        <x:v>5</x:v>
      </x:c>
      <x:c r="D852" s="54" t="n">
        <x:v>1</x:v>
      </x:c>
      <x:c r="E852" s="103" t="str">
        <x:v>Material-row source portal</x:v>
      </x:c>
      <x:c r="F852" s="103" t="str">
        <x:v>Source portal is identified, but edition/revision and property record locator remain unresolved.</x:v>
      </x:c>
    </x:row>
    <x:row r="853">
      <x:c r="A853" s="54" t="n">
        <x:v>3001</x:v>
      </x:c>
      <x:c r="B853" s="54" t="n">
        <x:v>2</x:v>
      </x:c>
      <x:c r="C853" s="54" t="n">
        <x:v>5</x:v>
      </x:c>
      <x:c r="D853" s="54" t="n">
        <x:v>1</x:v>
      </x:c>
      <x:c r="E853" s="103" t="str">
        <x:v>Material-row source portal</x:v>
      </x:c>
      <x:c r="F853" s="103" t="str">
        <x:v>Source portal is identified, but edition/revision and property record locator remain unresolved.</x:v>
      </x:c>
    </x:row>
    <x:row r="854">
      <x:c r="A854" s="54" t="n">
        <x:v>3001</x:v>
      </x:c>
      <x:c r="B854" s="54" t="n">
        <x:v>3</x:v>
      </x:c>
      <x:c r="C854" s="54" t="n">
        <x:v>5</x:v>
      </x:c>
      <x:c r="D854" s="54" t="n">
        <x:v>1</x:v>
      </x:c>
      <x:c r="E854" s="103" t="str">
        <x:v>Formula-derived from E and Poisson ratio; input records inherit the material-row source</x:v>
      </x:c>
      <x:c r="F854" s="103" t="str">
        <x:v>Source portal is identified, but edition/revision and property record locator remain unresolved.</x:v>
      </x:c>
    </x:row>
    <x:row r="855">
      <x:c r="A855" s="54" t="n">
        <x:v>3001</x:v>
      </x:c>
      <x:c r="B855" s="54" t="n">
        <x:v>4</x:v>
      </x:c>
      <x:c r="C855" s="54" t="n">
        <x:v>5</x:v>
      </x:c>
      <x:c r="D855" s="54" t="n">
        <x:v>1</x:v>
      </x:c>
      <x:c r="E855" s="103" t="str">
        <x:v>Material-row source portal</x:v>
      </x:c>
      <x:c r="F855" s="103" t="str">
        <x:v>Source portal is identified, but edition/revision and property record locator remain unresolved.</x:v>
      </x:c>
    </x:row>
    <x:row r="856">
      <x:c r="A856" s="54" t="n">
        <x:v>3001</x:v>
      </x:c>
      <x:c r="B856" s="54" t="n">
        <x:v>5</x:v>
      </x:c>
      <x:c r="C856" s="54" t="n">
        <x:v>5</x:v>
      </x:c>
      <x:c r="D856" s="54" t="n">
        <x:v>1</x:v>
      </x:c>
      <x:c r="E856" s="103" t="str">
        <x:v>Material-row source portal</x:v>
      </x:c>
      <x:c r="F856" s="103" t="str">
        <x:v>Source portal is identified, but edition/revision and property record locator remain unresolved.</x:v>
      </x:c>
    </x:row>
    <x:row r="857">
      <x:c r="A857" s="54" t="n">
        <x:v>3001</x:v>
      </x:c>
      <x:c r="B857" s="54" t="n">
        <x:v>6</x:v>
      </x:c>
      <x:c r="C857" s="54" t="n">
        <x:v>5</x:v>
      </x:c>
      <x:c r="D857" s="54" t="n">
        <x:v>1</x:v>
      </x:c>
      <x:c r="E857" s="103" t="str">
        <x:v>Material-row source portal</x:v>
      </x:c>
      <x:c r="F857" s="103" t="str">
        <x:v>Source portal is identified, but edition/revision and property record locator remain unresolved.</x:v>
      </x:c>
    </x:row>
    <x:row r="858">
      <x:c r="A858" s="54" t="n">
        <x:v>3001</x:v>
      </x:c>
      <x:c r="B858" s="54" t="n">
        <x:v>7</x:v>
      </x:c>
      <x:c r="C858" s="54" t="n">
        <x:v>5</x:v>
      </x:c>
      <x:c r="D858" s="54" t="n">
        <x:v>1</x:v>
      </x:c>
      <x:c r="E858" s="103" t="str">
        <x:v>Material-row source portal</x:v>
      </x:c>
      <x:c r="F858" s="103" t="str">
        <x:v>Source portal is identified, but edition/revision and property record locator remain unresolved.</x:v>
      </x:c>
    </x:row>
    <x:row r="859">
      <x:c r="A859" s="54" t="n">
        <x:v>3001</x:v>
      </x:c>
      <x:c r="B859" s="54" t="n">
        <x:v>8</x:v>
      </x:c>
      <x:c r="C859" s="54" t="n">
        <x:v>5</x:v>
      </x:c>
      <x:c r="D859" s="54" t="n">
        <x:v>1</x:v>
      </x:c>
      <x:c r="E859" s="103" t="str">
        <x:v>Material-row source portal</x:v>
      </x:c>
      <x:c r="F859" s="103" t="str">
        <x:v>Source portal is identified, but edition/revision and property record locator remain unresolved.</x:v>
      </x:c>
    </x:row>
    <x:row r="860">
      <x:c r="A860" s="54" t="n">
        <x:v>3001</x:v>
      </x:c>
      <x:c r="B860" s="54" t="n">
        <x:v>9</x:v>
      </x:c>
      <x:c r="C860" s="54" t="n">
        <x:v>5</x:v>
      </x:c>
      <x:c r="D860" s="54" t="n">
        <x:v>1</x:v>
      </x:c>
      <x:c r="E860" s="103" t="str">
        <x:v>Material-row source portal</x:v>
      </x:c>
      <x:c r="F860" s="103" t="str">
        <x:v>Source portal is identified, but edition/revision and property record locator remain unresolved.</x:v>
      </x:c>
    </x:row>
    <x:row r="861">
      <x:c r="A861" s="54" t="n">
        <x:v>3001</x:v>
      </x:c>
      <x:c r="B861" s="54" t="n">
        <x:v>10</x:v>
      </x:c>
      <x:c r="C861" s="54" t="n">
        <x:v>5</x:v>
      </x:c>
      <x:c r="D861" s="54" t="n">
        <x:v>1</x:v>
      </x:c>
      <x:c r="E861" s="103" t="str">
        <x:v>Material-row source portal</x:v>
      </x:c>
      <x:c r="F861" s="103" t="str">
        <x:v>Source portal is identified, but edition/revision and property record locator remain unresolved.</x:v>
      </x:c>
    </x:row>
    <x:row r="862">
      <x:c r="A862" s="54" t="n">
        <x:v>3001</x:v>
      </x:c>
      <x:c r="B862" s="54" t="n">
        <x:v>11</x:v>
      </x:c>
      <x:c r="C862" s="54" t="n">
        <x:v>5</x:v>
      </x:c>
      <x:c r="D862" s="54" t="n">
        <x:v>1</x:v>
      </x:c>
      <x:c r="E862" s="103" t="str">
        <x:v>Material-row source portal</x:v>
      </x:c>
      <x:c r="F862" s="103" t="str">
        <x:v>Source portal is identified, but edition/revision and property record locator remain unresolved.</x:v>
      </x:c>
    </x:row>
    <x:row r="863">
      <x:c r="A863" s="54" t="n">
        <x:v>3001</x:v>
      </x:c>
      <x:c r="B863" s="54" t="n">
        <x:v>12</x:v>
      </x:c>
      <x:c r="C863" s="54" t="n">
        <x:v>5</x:v>
      </x:c>
      <x:c r="D863" s="54" t="n">
        <x:v>1</x:v>
      </x:c>
      <x:c r="E863" s="103" t="str">
        <x:v>Material-row source portal</x:v>
      </x:c>
      <x:c r="F863" s="103" t="str">
        <x:v>Source portal is identified, but edition/revision and property record locator remain unresolved.</x:v>
      </x:c>
    </x:row>
    <x:row r="864">
      <x:c r="A864" s="54" t="n">
        <x:v>3001</x:v>
      </x:c>
      <x:c r="B864" s="54" t="n">
        <x:v>13</x:v>
      </x:c>
      <x:c r="C864" s="54" t="n">
        <x:v>5</x:v>
      </x:c>
      <x:c r="D864" s="54" t="n">
        <x:v>1</x:v>
      </x:c>
      <x:c r="E864" s="103" t="str">
        <x:v>Material-row source portal</x:v>
      </x:c>
      <x:c r="F864" s="103" t="str">
        <x:v>Source portal is identified, but edition/revision and property record locator remain unresolved.</x:v>
      </x:c>
    </x:row>
    <x:row r="865">
      <x:c r="A865" s="54" t="n">
        <x:v>3001</x:v>
      </x:c>
      <x:c r="B865" s="54" t="n">
        <x:v>14</x:v>
      </x:c>
      <x:c r="C865" s="54" t="n">
        <x:v>5</x:v>
      </x:c>
      <x:c r="D865" s="54" t="n">
        <x:v>1</x:v>
      </x:c>
      <x:c r="E865" s="103" t="str">
        <x:v>Material-row source portal</x:v>
      </x:c>
      <x:c r="F865" s="103" t="str">
        <x:v>Source portal is identified, but edition/revision and property record locator remain unresolved.</x:v>
      </x:c>
    </x:row>
    <x:row r="866">
      <x:c r="A866" s="54" t="n">
        <x:v>3001</x:v>
      </x:c>
      <x:c r="B866" s="54" t="n">
        <x:v>15</x:v>
      </x:c>
      <x:c r="C866" s="54" t="n">
        <x:v>5</x:v>
      </x:c>
      <x:c r="D866" s="54" t="n">
        <x:v>1</x:v>
      </x:c>
      <x:c r="E866" s="103" t="str">
        <x:v>Material-row source portal</x:v>
      </x:c>
      <x:c r="F866" s="103" t="str">
        <x:v>Source portal is identified, but edition/revision and property record locator remain unresolved.</x:v>
      </x:c>
    </x:row>
    <x:row r="867">
      <x:c r="A867" s="54" t="n">
        <x:v>3001</x:v>
      </x:c>
      <x:c r="B867" s="54" t="n">
        <x:v>16</x:v>
      </x:c>
      <x:c r="C867" s="54" t="n">
        <x:v>5</x:v>
      </x:c>
      <x:c r="D867" s="54" t="n">
        <x:v>1</x:v>
      </x:c>
      <x:c r="E867" s="103" t="str">
        <x:v>Material-row source portal</x:v>
      </x:c>
      <x:c r="F867" s="103" t="str">
        <x:v>Source portal is identified, but edition/revision and property record locator remain unresolved.</x:v>
      </x:c>
    </x:row>
    <x:row r="868">
      <x:c r="A868" s="54" t="n">
        <x:v>3001</x:v>
      </x:c>
      <x:c r="B868" s="54" t="n">
        <x:v>18</x:v>
      </x:c>
      <x:c r="C868" s="54" t="n">
        <x:v>5</x:v>
      </x:c>
      <x:c r="D868" s="54" t="n">
        <x:v>1</x:v>
      </x:c>
      <x:c r="E868" s="103" t="str">
        <x:v>Formula-derived from E and Poisson ratio; input records inherit the material-row source</x:v>
      </x:c>
      <x:c r="F868" s="103" t="str">
        <x:v>Source portal is identified, but edition/revision and property record locator remain unresolved.</x:v>
      </x:c>
    </x:row>
    <x:row r="869">
      <x:c r="A869" s="54" t="n">
        <x:v>3002</x:v>
      </x:c>
      <x:c r="B869" s="54" t="n">
        <x:v>1</x:v>
      </x:c>
      <x:c r="C869" s="54" t="n">
        <x:v>5</x:v>
      </x:c>
      <x:c r="D869" s="54" t="n">
        <x:v>1</x:v>
      </x:c>
      <x:c r="E869" s="103" t="str">
        <x:v>Material-row source portal</x:v>
      </x:c>
      <x:c r="F869" s="103" t="str">
        <x:v>Source portal is identified, but edition/revision and property record locator remain unresolved.</x:v>
      </x:c>
    </x:row>
    <x:row r="870">
      <x:c r="A870" s="54" t="n">
        <x:v>3002</x:v>
      </x:c>
      <x:c r="B870" s="54" t="n">
        <x:v>2</x:v>
      </x:c>
      <x:c r="C870" s="54" t="n">
        <x:v>5</x:v>
      </x:c>
      <x:c r="D870" s="54" t="n">
        <x:v>1</x:v>
      </x:c>
      <x:c r="E870" s="103" t="str">
        <x:v>Material-row source portal</x:v>
      </x:c>
      <x:c r="F870" s="103" t="str">
        <x:v>Source portal is identified, but edition/revision and property record locator remain unresolved.</x:v>
      </x:c>
    </x:row>
    <x:row r="871">
      <x:c r="A871" s="54" t="n">
        <x:v>3002</x:v>
      </x:c>
      <x:c r="B871" s="54" t="n">
        <x:v>3</x:v>
      </x:c>
      <x:c r="C871" s="54" t="n">
        <x:v>5</x:v>
      </x:c>
      <x:c r="D871" s="54" t="n">
        <x:v>1</x:v>
      </x:c>
      <x:c r="E871" s="103" t="str">
        <x:v>Formula-derived from E and Poisson ratio; input records inherit the material-row source</x:v>
      </x:c>
      <x:c r="F871" s="103" t="str">
        <x:v>Source portal is identified, but edition/revision and property record locator remain unresolved.</x:v>
      </x:c>
    </x:row>
    <x:row r="872">
      <x:c r="A872" s="54" t="n">
        <x:v>3002</x:v>
      </x:c>
      <x:c r="B872" s="54" t="n">
        <x:v>4</x:v>
      </x:c>
      <x:c r="C872" s="54" t="n">
        <x:v>5</x:v>
      </x:c>
      <x:c r="D872" s="54" t="n">
        <x:v>1</x:v>
      </x:c>
      <x:c r="E872" s="103" t="str">
        <x:v>Material-row source portal</x:v>
      </x:c>
      <x:c r="F872" s="103" t="str">
        <x:v>Source portal is identified, but edition/revision and property record locator remain unresolved.</x:v>
      </x:c>
    </x:row>
    <x:row r="873">
      <x:c r="A873" s="54" t="n">
        <x:v>3002</x:v>
      </x:c>
      <x:c r="B873" s="54" t="n">
        <x:v>5</x:v>
      </x:c>
      <x:c r="C873" s="54" t="n">
        <x:v>5</x:v>
      </x:c>
      <x:c r="D873" s="54" t="n">
        <x:v>1</x:v>
      </x:c>
      <x:c r="E873" s="103" t="str">
        <x:v>Material-row source portal</x:v>
      </x:c>
      <x:c r="F873" s="103" t="str">
        <x:v>Source portal is identified, but edition/revision and property record locator remain unresolved.</x:v>
      </x:c>
    </x:row>
    <x:row r="874">
      <x:c r="A874" s="54" t="n">
        <x:v>3002</x:v>
      </x:c>
      <x:c r="B874" s="54" t="n">
        <x:v>6</x:v>
      </x:c>
      <x:c r="C874" s="54" t="n">
        <x:v>5</x:v>
      </x:c>
      <x:c r="D874" s="54" t="n">
        <x:v>1</x:v>
      </x:c>
      <x:c r="E874" s="103" t="str">
        <x:v>Material-row source portal</x:v>
      </x:c>
      <x:c r="F874" s="103" t="str">
        <x:v>Source portal is identified, but edition/revision and property record locator remain unresolved.</x:v>
      </x:c>
    </x:row>
    <x:row r="875">
      <x:c r="A875" s="54" t="n">
        <x:v>3002</x:v>
      </x:c>
      <x:c r="B875" s="54" t="n">
        <x:v>7</x:v>
      </x:c>
      <x:c r="C875" s="54" t="n">
        <x:v>5</x:v>
      </x:c>
      <x:c r="D875" s="54" t="n">
        <x:v>1</x:v>
      </x:c>
      <x:c r="E875" s="103" t="str">
        <x:v>Material-row source portal</x:v>
      </x:c>
      <x:c r="F875" s="103" t="str">
        <x:v>Source portal is identified, but edition/revision and property record locator remain unresolved.</x:v>
      </x:c>
    </x:row>
    <x:row r="876">
      <x:c r="A876" s="54" t="n">
        <x:v>3002</x:v>
      </x:c>
      <x:c r="B876" s="54" t="n">
        <x:v>8</x:v>
      </x:c>
      <x:c r="C876" s="54" t="n">
        <x:v>5</x:v>
      </x:c>
      <x:c r="D876" s="54" t="n">
        <x:v>1</x:v>
      </x:c>
      <x:c r="E876" s="103" t="str">
        <x:v>Material-row source portal</x:v>
      </x:c>
      <x:c r="F876" s="103" t="str">
        <x:v>Source portal is identified, but edition/revision and property record locator remain unresolved.</x:v>
      </x:c>
    </x:row>
    <x:row r="877">
      <x:c r="A877" s="54" t="n">
        <x:v>3002</x:v>
      </x:c>
      <x:c r="B877" s="54" t="n">
        <x:v>9</x:v>
      </x:c>
      <x:c r="C877" s="54" t="n">
        <x:v>5</x:v>
      </x:c>
      <x:c r="D877" s="54" t="n">
        <x:v>1</x:v>
      </x:c>
      <x:c r="E877" s="103" t="str">
        <x:v>Material-row source portal</x:v>
      </x:c>
      <x:c r="F877" s="103" t="str">
        <x:v>Source portal is identified, but edition/revision and property record locator remain unresolved.</x:v>
      </x:c>
    </x:row>
    <x:row r="878">
      <x:c r="A878" s="54" t="n">
        <x:v>3002</x:v>
      </x:c>
      <x:c r="B878" s="54" t="n">
        <x:v>10</x:v>
      </x:c>
      <x:c r="C878" s="54" t="n">
        <x:v>5</x:v>
      </x:c>
      <x:c r="D878" s="54" t="n">
        <x:v>1</x:v>
      </x:c>
      <x:c r="E878" s="103" t="str">
        <x:v>Material-row source portal</x:v>
      </x:c>
      <x:c r="F878" s="103" t="str">
        <x:v>Source portal is identified, but edition/revision and property record locator remain unresolved.</x:v>
      </x:c>
    </x:row>
    <x:row r="879">
      <x:c r="A879" s="54" t="n">
        <x:v>3002</x:v>
      </x:c>
      <x:c r="B879" s="54" t="n">
        <x:v>11</x:v>
      </x:c>
      <x:c r="C879" s="54" t="n">
        <x:v>5</x:v>
      </x:c>
      <x:c r="D879" s="54" t="n">
        <x:v>1</x:v>
      </x:c>
      <x:c r="E879" s="103" t="str">
        <x:v>Material-row source portal</x:v>
      </x:c>
      <x:c r="F879" s="103" t="str">
        <x:v>Source portal is identified, but edition/revision and property record locator remain unresolved.</x:v>
      </x:c>
    </x:row>
    <x:row r="880">
      <x:c r="A880" s="54" t="n">
        <x:v>3002</x:v>
      </x:c>
      <x:c r="B880" s="54" t="n">
        <x:v>12</x:v>
      </x:c>
      <x:c r="C880" s="54" t="n">
        <x:v>5</x:v>
      </x:c>
      <x:c r="D880" s="54" t="n">
        <x:v>1</x:v>
      </x:c>
      <x:c r="E880" s="103" t="str">
        <x:v>Material-row source portal</x:v>
      </x:c>
      <x:c r="F880" s="103" t="str">
        <x:v>Source portal is identified, but edition/revision and property record locator remain unresolved.</x:v>
      </x:c>
    </x:row>
    <x:row r="881">
      <x:c r="A881" s="54" t="n">
        <x:v>3002</x:v>
      </x:c>
      <x:c r="B881" s="54" t="n">
        <x:v>13</x:v>
      </x:c>
      <x:c r="C881" s="54" t="n">
        <x:v>5</x:v>
      </x:c>
      <x:c r="D881" s="54" t="n">
        <x:v>1</x:v>
      </x:c>
      <x:c r="E881" s="103" t="str">
        <x:v>Material-row source portal</x:v>
      </x:c>
      <x:c r="F881" s="103" t="str">
        <x:v>Source portal is identified, but edition/revision and property record locator remain unresolved.</x:v>
      </x:c>
    </x:row>
    <x:row r="882">
      <x:c r="A882" s="54" t="n">
        <x:v>3002</x:v>
      </x:c>
      <x:c r="B882" s="54" t="n">
        <x:v>14</x:v>
      </x:c>
      <x:c r="C882" s="54" t="n">
        <x:v>5</x:v>
      </x:c>
      <x:c r="D882" s="54" t="n">
        <x:v>1</x:v>
      </x:c>
      <x:c r="E882" s="103" t="str">
        <x:v>Material-row source portal</x:v>
      </x:c>
      <x:c r="F882" s="103" t="str">
        <x:v>Source portal is identified, but edition/revision and property record locator remain unresolved.</x:v>
      </x:c>
    </x:row>
    <x:row r="883">
      <x:c r="A883" s="54" t="n">
        <x:v>3002</x:v>
      </x:c>
      <x:c r="B883" s="54" t="n">
        <x:v>15</x:v>
      </x:c>
      <x:c r="C883" s="54" t="n">
        <x:v>5</x:v>
      </x:c>
      <x:c r="D883" s="54" t="n">
        <x:v>1</x:v>
      </x:c>
      <x:c r="E883" s="103" t="str">
        <x:v>Material-row source portal</x:v>
      </x:c>
      <x:c r="F883" s="103" t="str">
        <x:v>Source portal is identified, but edition/revision and property record locator remain unresolved.</x:v>
      </x:c>
    </x:row>
    <x:row r="884">
      <x:c r="A884" s="54" t="n">
        <x:v>3002</x:v>
      </x:c>
      <x:c r="B884" s="54" t="n">
        <x:v>16</x:v>
      </x:c>
      <x:c r="C884" s="54" t="n">
        <x:v>5</x:v>
      </x:c>
      <x:c r="D884" s="54" t="n">
        <x:v>1</x:v>
      </x:c>
      <x:c r="E884" s="103" t="str">
        <x:v>Material-row source portal</x:v>
      </x:c>
      <x:c r="F884" s="103" t="str">
        <x:v>Source portal is identified, but edition/revision and property record locator remain unresolved.</x:v>
      </x:c>
    </x:row>
    <x:row r="885">
      <x:c r="A885" s="54" t="n">
        <x:v>3002</x:v>
      </x:c>
      <x:c r="B885" s="54" t="n">
        <x:v>18</x:v>
      </x:c>
      <x:c r="C885" s="54" t="n">
        <x:v>5</x:v>
      </x:c>
      <x:c r="D885" s="54" t="n">
        <x:v>1</x:v>
      </x:c>
      <x:c r="E885" s="103" t="str">
        <x:v>Formula-derived from E and Poisson ratio; input records inherit the material-row source</x:v>
      </x:c>
      <x:c r="F885" s="103" t="str">
        <x:v>Source portal is identified, but edition/revision and property record locator remain unresolved.</x:v>
      </x:c>
    </x:row>
    <x:row r="886">
      <x:c r="A886" s="54" t="n">
        <x:v>3003</x:v>
      </x:c>
      <x:c r="B886" s="54" t="n">
        <x:v>1</x:v>
      </x:c>
      <x:c r="C886" s="54" t="n">
        <x:v>5</x:v>
      </x:c>
      <x:c r="D886" s="54" t="n">
        <x:v>1</x:v>
      </x:c>
      <x:c r="E886" s="103" t="str">
        <x:v>Material-row source portal</x:v>
      </x:c>
      <x:c r="F886" s="103" t="str">
        <x:v>Source portal is identified, but edition/revision and property record locator remain unresolved.</x:v>
      </x:c>
    </x:row>
    <x:row r="887">
      <x:c r="A887" s="54" t="n">
        <x:v>3003</x:v>
      </x:c>
      <x:c r="B887" s="54" t="n">
        <x:v>2</x:v>
      </x:c>
      <x:c r="C887" s="54" t="n">
        <x:v>5</x:v>
      </x:c>
      <x:c r="D887" s="54" t="n">
        <x:v>1</x:v>
      </x:c>
      <x:c r="E887" s="103" t="str">
        <x:v>Material-row source portal</x:v>
      </x:c>
      <x:c r="F887" s="103" t="str">
        <x:v>Source portal is identified, but edition/revision and property record locator remain unresolved.</x:v>
      </x:c>
    </x:row>
    <x:row r="888">
      <x:c r="A888" s="54" t="n">
        <x:v>3003</x:v>
      </x:c>
      <x:c r="B888" s="54" t="n">
        <x:v>3</x:v>
      </x:c>
      <x:c r="C888" s="54" t="n">
        <x:v>5</x:v>
      </x:c>
      <x:c r="D888" s="54" t="n">
        <x:v>1</x:v>
      </x:c>
      <x:c r="E888" s="103" t="str">
        <x:v>Formula-derived from E and Poisson ratio; input records inherit the material-row source</x:v>
      </x:c>
      <x:c r="F888" s="103" t="str">
        <x:v>Source portal is identified, but edition/revision and property record locator remain unresolved.</x:v>
      </x:c>
    </x:row>
    <x:row r="889">
      <x:c r="A889" s="54" t="n">
        <x:v>3003</x:v>
      </x:c>
      <x:c r="B889" s="54" t="n">
        <x:v>4</x:v>
      </x:c>
      <x:c r="C889" s="54" t="n">
        <x:v>5</x:v>
      </x:c>
      <x:c r="D889" s="54" t="n">
        <x:v>1</x:v>
      </x:c>
      <x:c r="E889" s="103" t="str">
        <x:v>Material-row source portal</x:v>
      </x:c>
      <x:c r="F889" s="103" t="str">
        <x:v>Source portal is identified, but edition/revision and property record locator remain unresolved.</x:v>
      </x:c>
    </x:row>
    <x:row r="890">
      <x:c r="A890" s="54" t="n">
        <x:v>3003</x:v>
      </x:c>
      <x:c r="B890" s="54" t="n">
        <x:v>5</x:v>
      </x:c>
      <x:c r="C890" s="54" t="n">
        <x:v>5</x:v>
      </x:c>
      <x:c r="D890" s="54" t="n">
        <x:v>1</x:v>
      </x:c>
      <x:c r="E890" s="103" t="str">
        <x:v>Material-row source portal</x:v>
      </x:c>
      <x:c r="F890" s="103" t="str">
        <x:v>Source portal is identified, but edition/revision and property record locator remain unresolved.</x:v>
      </x:c>
    </x:row>
    <x:row r="891">
      <x:c r="A891" s="54" t="n">
        <x:v>3003</x:v>
      </x:c>
      <x:c r="B891" s="54" t="n">
        <x:v>6</x:v>
      </x:c>
      <x:c r="C891" s="54" t="n">
        <x:v>5</x:v>
      </x:c>
      <x:c r="D891" s="54" t="n">
        <x:v>1</x:v>
      </x:c>
      <x:c r="E891" s="103" t="str">
        <x:v>Material-row source portal</x:v>
      </x:c>
      <x:c r="F891" s="103" t="str">
        <x:v>Source portal is identified, but edition/revision and property record locator remain unresolved.</x:v>
      </x:c>
    </x:row>
    <x:row r="892">
      <x:c r="A892" s="54" t="n">
        <x:v>3003</x:v>
      </x:c>
      <x:c r="B892" s="54" t="n">
        <x:v>7</x:v>
      </x:c>
      <x:c r="C892" s="54" t="n">
        <x:v>5</x:v>
      </x:c>
      <x:c r="D892" s="54" t="n">
        <x:v>1</x:v>
      </x:c>
      <x:c r="E892" s="103" t="str">
        <x:v>Material-row source portal</x:v>
      </x:c>
      <x:c r="F892" s="103" t="str">
        <x:v>Source portal is identified, but edition/revision and property record locator remain unresolved.</x:v>
      </x:c>
    </x:row>
    <x:row r="893">
      <x:c r="A893" s="54" t="n">
        <x:v>3003</x:v>
      </x:c>
      <x:c r="B893" s="54" t="n">
        <x:v>8</x:v>
      </x:c>
      <x:c r="C893" s="54" t="n">
        <x:v>5</x:v>
      </x:c>
      <x:c r="D893" s="54" t="n">
        <x:v>1</x:v>
      </x:c>
      <x:c r="E893" s="103" t="str">
        <x:v>Material-row source portal</x:v>
      </x:c>
      <x:c r="F893" s="103" t="str">
        <x:v>Source portal is identified, but edition/revision and property record locator remain unresolved.</x:v>
      </x:c>
    </x:row>
    <x:row r="894">
      <x:c r="A894" s="54" t="n">
        <x:v>3003</x:v>
      </x:c>
      <x:c r="B894" s="54" t="n">
        <x:v>9</x:v>
      </x:c>
      <x:c r="C894" s="54" t="n">
        <x:v>5</x:v>
      </x:c>
      <x:c r="D894" s="54" t="n">
        <x:v>1</x:v>
      </x:c>
      <x:c r="E894" s="103" t="str">
        <x:v>Material-row source portal</x:v>
      </x:c>
      <x:c r="F894" s="103" t="str">
        <x:v>Source portal is identified, but edition/revision and property record locator remain unresolved.</x:v>
      </x:c>
    </x:row>
    <x:row r="895">
      <x:c r="A895" s="54" t="n">
        <x:v>3003</x:v>
      </x:c>
      <x:c r="B895" s="54" t="n">
        <x:v>10</x:v>
      </x:c>
      <x:c r="C895" s="54" t="n">
        <x:v>5</x:v>
      </x:c>
      <x:c r="D895" s="54" t="n">
        <x:v>1</x:v>
      </x:c>
      <x:c r="E895" s="103" t="str">
        <x:v>Material-row source portal</x:v>
      </x:c>
      <x:c r="F895" s="103" t="str">
        <x:v>Source portal is identified, but edition/revision and property record locator remain unresolved.</x:v>
      </x:c>
    </x:row>
    <x:row r="896">
      <x:c r="A896" s="54" t="n">
        <x:v>3003</x:v>
      </x:c>
      <x:c r="B896" s="54" t="n">
        <x:v>11</x:v>
      </x:c>
      <x:c r="C896" s="54" t="n">
        <x:v>5</x:v>
      </x:c>
      <x:c r="D896" s="54" t="n">
        <x:v>1</x:v>
      </x:c>
      <x:c r="E896" s="103" t="str">
        <x:v>Material-row source portal</x:v>
      </x:c>
      <x:c r="F896" s="103" t="str">
        <x:v>Source portal is identified, but edition/revision and property record locator remain unresolved.</x:v>
      </x:c>
    </x:row>
    <x:row r="897">
      <x:c r="A897" s="54" t="n">
        <x:v>3003</x:v>
      </x:c>
      <x:c r="B897" s="54" t="n">
        <x:v>12</x:v>
      </x:c>
      <x:c r="C897" s="54" t="n">
        <x:v>5</x:v>
      </x:c>
      <x:c r="D897" s="54" t="n">
        <x:v>1</x:v>
      </x:c>
      <x:c r="E897" s="103" t="str">
        <x:v>Material-row source portal</x:v>
      </x:c>
      <x:c r="F897" s="103" t="str">
        <x:v>Source portal is identified, but edition/revision and property record locator remain unresolved.</x:v>
      </x:c>
    </x:row>
    <x:row r="898">
      <x:c r="A898" s="54" t="n">
        <x:v>3003</x:v>
      </x:c>
      <x:c r="B898" s="54" t="n">
        <x:v>13</x:v>
      </x:c>
      <x:c r="C898" s="54" t="n">
        <x:v>5</x:v>
      </x:c>
      <x:c r="D898" s="54" t="n">
        <x:v>1</x:v>
      </x:c>
      <x:c r="E898" s="103" t="str">
        <x:v>Material-row source portal</x:v>
      </x:c>
      <x:c r="F898" s="103" t="str">
        <x:v>Source portal is identified, but edition/revision and property record locator remain unresolved.</x:v>
      </x:c>
    </x:row>
    <x:row r="899">
      <x:c r="A899" s="54" t="n">
        <x:v>3003</x:v>
      </x:c>
      <x:c r="B899" s="54" t="n">
        <x:v>14</x:v>
      </x:c>
      <x:c r="C899" s="54" t="n">
        <x:v>5</x:v>
      </x:c>
      <x:c r="D899" s="54" t="n">
        <x:v>1</x:v>
      </x:c>
      <x:c r="E899" s="103" t="str">
        <x:v>Material-row source portal</x:v>
      </x:c>
      <x:c r="F899" s="103" t="str">
        <x:v>Source portal is identified, but edition/revision and property record locator remain unresolved.</x:v>
      </x:c>
    </x:row>
    <x:row r="900">
      <x:c r="A900" s="54" t="n">
        <x:v>3003</x:v>
      </x:c>
      <x:c r="B900" s="54" t="n">
        <x:v>15</x:v>
      </x:c>
      <x:c r="C900" s="54" t="n">
        <x:v>5</x:v>
      </x:c>
      <x:c r="D900" s="54" t="n">
        <x:v>1</x:v>
      </x:c>
      <x:c r="E900" s="103" t="str">
        <x:v>Material-row source portal</x:v>
      </x:c>
      <x:c r="F900" s="103" t="str">
        <x:v>Source portal is identified, but edition/revision and property record locator remain unresolved.</x:v>
      </x:c>
    </x:row>
    <x:row r="901">
      <x:c r="A901" s="54" t="n">
        <x:v>3003</x:v>
      </x:c>
      <x:c r="B901" s="54" t="n">
        <x:v>16</x:v>
      </x:c>
      <x:c r="C901" s="54" t="n">
        <x:v>5</x:v>
      </x:c>
      <x:c r="D901" s="54" t="n">
        <x:v>1</x:v>
      </x:c>
      <x:c r="E901" s="103" t="str">
        <x:v>Material-row source portal</x:v>
      </x:c>
      <x:c r="F901" s="103" t="str">
        <x:v>Source portal is identified, but edition/revision and property record locator remain unresolved.</x:v>
      </x:c>
    </x:row>
    <x:row r="902">
      <x:c r="A902" s="54" t="n">
        <x:v>3003</x:v>
      </x:c>
      <x:c r="B902" s="54" t="n">
        <x:v>18</x:v>
      </x:c>
      <x:c r="C902" s="54" t="n">
        <x:v>5</x:v>
      </x:c>
      <x:c r="D902" s="54" t="n">
        <x:v>1</x:v>
      </x:c>
      <x:c r="E902" s="103" t="str">
        <x:v>Formula-derived from E and Poisson ratio; input records inherit the material-row source</x:v>
      </x:c>
      <x:c r="F902" s="103" t="str">
        <x:v>Source portal is identified, but edition/revision and property record locator remain unresolved.</x:v>
      </x:c>
    </x:row>
    <x:row r="903">
      <x:c r="A903" s="54" t="n">
        <x:v>3004</x:v>
      </x:c>
      <x:c r="B903" s="54" t="n">
        <x:v>1</x:v>
      </x:c>
      <x:c r="C903" s="54" t="n">
        <x:v>5</x:v>
      </x:c>
      <x:c r="D903" s="54" t="n">
        <x:v>1</x:v>
      </x:c>
      <x:c r="E903" s="103" t="str">
        <x:v>Material-row source portal</x:v>
      </x:c>
      <x:c r="F903" s="103" t="str">
        <x:v>Source portal is identified, but edition/revision and property record locator remain unresolved.</x:v>
      </x:c>
    </x:row>
    <x:row r="904">
      <x:c r="A904" s="54" t="n">
        <x:v>3004</x:v>
      </x:c>
      <x:c r="B904" s="54" t="n">
        <x:v>2</x:v>
      </x:c>
      <x:c r="C904" s="54" t="n">
        <x:v>5</x:v>
      </x:c>
      <x:c r="D904" s="54" t="n">
        <x:v>1</x:v>
      </x:c>
      <x:c r="E904" s="103" t="str">
        <x:v>Material-row source portal</x:v>
      </x:c>
      <x:c r="F904" s="103" t="str">
        <x:v>Source portal is identified, but edition/revision and property record locator remain unresolved.</x:v>
      </x:c>
    </x:row>
    <x:row r="905">
      <x:c r="A905" s="54" t="n">
        <x:v>3004</x:v>
      </x:c>
      <x:c r="B905" s="54" t="n">
        <x:v>3</x:v>
      </x:c>
      <x:c r="C905" s="54" t="n">
        <x:v>5</x:v>
      </x:c>
      <x:c r="D905" s="54" t="n">
        <x:v>1</x:v>
      </x:c>
      <x:c r="E905" s="103" t="str">
        <x:v>Formula-derived from E and Poisson ratio; input records inherit the material-row source</x:v>
      </x:c>
      <x:c r="F905" s="103" t="str">
        <x:v>Source portal is identified, but edition/revision and property record locator remain unresolved.</x:v>
      </x:c>
    </x:row>
    <x:row r="906">
      <x:c r="A906" s="54" t="n">
        <x:v>3004</x:v>
      </x:c>
      <x:c r="B906" s="54" t="n">
        <x:v>4</x:v>
      </x:c>
      <x:c r="C906" s="54" t="n">
        <x:v>5</x:v>
      </x:c>
      <x:c r="D906" s="54" t="n">
        <x:v>1</x:v>
      </x:c>
      <x:c r="E906" s="103" t="str">
        <x:v>Material-row source portal</x:v>
      </x:c>
      <x:c r="F906" s="103" t="str">
        <x:v>Source portal is identified, but edition/revision and property record locator remain unresolved.</x:v>
      </x:c>
    </x:row>
    <x:row r="907">
      <x:c r="A907" s="54" t="n">
        <x:v>3004</x:v>
      </x:c>
      <x:c r="B907" s="54" t="n">
        <x:v>5</x:v>
      </x:c>
      <x:c r="C907" s="54" t="n">
        <x:v>5</x:v>
      </x:c>
      <x:c r="D907" s="54" t="n">
        <x:v>1</x:v>
      </x:c>
      <x:c r="E907" s="103" t="str">
        <x:v>Material-row source portal</x:v>
      </x:c>
      <x:c r="F907" s="103" t="str">
        <x:v>Source portal is identified, but edition/revision and property record locator remain unresolved.</x:v>
      </x:c>
    </x:row>
    <x:row r="908">
      <x:c r="A908" s="54" t="n">
        <x:v>3004</x:v>
      </x:c>
      <x:c r="B908" s="54" t="n">
        <x:v>6</x:v>
      </x:c>
      <x:c r="C908" s="54" t="n">
        <x:v>5</x:v>
      </x:c>
      <x:c r="D908" s="54" t="n">
        <x:v>1</x:v>
      </x:c>
      <x:c r="E908" s="103" t="str">
        <x:v>Material-row source portal</x:v>
      </x:c>
      <x:c r="F908" s="103" t="str">
        <x:v>Source portal is identified, but edition/revision and property record locator remain unresolved.</x:v>
      </x:c>
    </x:row>
    <x:row r="909">
      <x:c r="A909" s="54" t="n">
        <x:v>3004</x:v>
      </x:c>
      <x:c r="B909" s="54" t="n">
        <x:v>7</x:v>
      </x:c>
      <x:c r="C909" s="54" t="n">
        <x:v>5</x:v>
      </x:c>
      <x:c r="D909" s="54" t="n">
        <x:v>1</x:v>
      </x:c>
      <x:c r="E909" s="103" t="str">
        <x:v>Material-row source portal</x:v>
      </x:c>
      <x:c r="F909" s="103" t="str">
        <x:v>Source portal is identified, but edition/revision and property record locator remain unresolved.</x:v>
      </x:c>
    </x:row>
    <x:row r="910">
      <x:c r="A910" s="54" t="n">
        <x:v>3004</x:v>
      </x:c>
      <x:c r="B910" s="54" t="n">
        <x:v>8</x:v>
      </x:c>
      <x:c r="C910" s="54" t="n">
        <x:v>5</x:v>
      </x:c>
      <x:c r="D910" s="54" t="n">
        <x:v>1</x:v>
      </x:c>
      <x:c r="E910" s="103" t="str">
        <x:v>Material-row source portal</x:v>
      </x:c>
      <x:c r="F910" s="103" t="str">
        <x:v>Source portal is identified, but edition/revision and property record locator remain unresolved.</x:v>
      </x:c>
    </x:row>
    <x:row r="911">
      <x:c r="A911" s="54" t="n">
        <x:v>3004</x:v>
      </x:c>
      <x:c r="B911" s="54" t="n">
        <x:v>9</x:v>
      </x:c>
      <x:c r="C911" s="54" t="n">
        <x:v>5</x:v>
      </x:c>
      <x:c r="D911" s="54" t="n">
        <x:v>1</x:v>
      </x:c>
      <x:c r="E911" s="103" t="str">
        <x:v>Material-row source portal</x:v>
      </x:c>
      <x:c r="F911" s="103" t="str">
        <x:v>Source portal is identified, but edition/revision and property record locator remain unresolved.</x:v>
      </x:c>
    </x:row>
    <x:row r="912">
      <x:c r="A912" s="54" t="n">
        <x:v>3004</x:v>
      </x:c>
      <x:c r="B912" s="54" t="n">
        <x:v>10</x:v>
      </x:c>
      <x:c r="C912" s="54" t="n">
        <x:v>5</x:v>
      </x:c>
      <x:c r="D912" s="54" t="n">
        <x:v>1</x:v>
      </x:c>
      <x:c r="E912" s="103" t="str">
        <x:v>Material-row source portal</x:v>
      </x:c>
      <x:c r="F912" s="103" t="str">
        <x:v>Source portal is identified, but edition/revision and property record locator remain unresolved.</x:v>
      </x:c>
    </x:row>
    <x:row r="913">
      <x:c r="A913" s="54" t="n">
        <x:v>3004</x:v>
      </x:c>
      <x:c r="B913" s="54" t="n">
        <x:v>11</x:v>
      </x:c>
      <x:c r="C913" s="54" t="n">
        <x:v>5</x:v>
      </x:c>
      <x:c r="D913" s="54" t="n">
        <x:v>1</x:v>
      </x:c>
      <x:c r="E913" s="103" t="str">
        <x:v>Material-row source portal</x:v>
      </x:c>
      <x:c r="F913" s="103" t="str">
        <x:v>Source portal is identified, but edition/revision and property record locator remain unresolved.</x:v>
      </x:c>
    </x:row>
    <x:row r="914">
      <x:c r="A914" s="54" t="n">
        <x:v>3004</x:v>
      </x:c>
      <x:c r="B914" s="54" t="n">
        <x:v>12</x:v>
      </x:c>
      <x:c r="C914" s="54" t="n">
        <x:v>5</x:v>
      </x:c>
      <x:c r="D914" s="54" t="n">
        <x:v>1</x:v>
      </x:c>
      <x:c r="E914" s="103" t="str">
        <x:v>Material-row source portal</x:v>
      </x:c>
      <x:c r="F914" s="103" t="str">
        <x:v>Source portal is identified, but edition/revision and property record locator remain unresolved.</x:v>
      </x:c>
    </x:row>
    <x:row r="915">
      <x:c r="A915" s="54" t="n">
        <x:v>3004</x:v>
      </x:c>
      <x:c r="B915" s="54" t="n">
        <x:v>13</x:v>
      </x:c>
      <x:c r="C915" s="54" t="n">
        <x:v>5</x:v>
      </x:c>
      <x:c r="D915" s="54" t="n">
        <x:v>1</x:v>
      </x:c>
      <x:c r="E915" s="103" t="str">
        <x:v>Material-row source portal</x:v>
      </x:c>
      <x:c r="F915" s="103" t="str">
        <x:v>Source portal is identified, but edition/revision and property record locator remain unresolved.</x:v>
      </x:c>
    </x:row>
    <x:row r="916">
      <x:c r="A916" s="54" t="n">
        <x:v>3004</x:v>
      </x:c>
      <x:c r="B916" s="54" t="n">
        <x:v>14</x:v>
      </x:c>
      <x:c r="C916" s="54" t="n">
        <x:v>5</x:v>
      </x:c>
      <x:c r="D916" s="54" t="n">
        <x:v>1</x:v>
      </x:c>
      <x:c r="E916" s="103" t="str">
        <x:v>Material-row source portal</x:v>
      </x:c>
      <x:c r="F916" s="103" t="str">
        <x:v>Source portal is identified, but edition/revision and property record locator remain unresolved.</x:v>
      </x:c>
    </x:row>
    <x:row r="917">
      <x:c r="A917" s="54" t="n">
        <x:v>3004</x:v>
      </x:c>
      <x:c r="B917" s="54" t="n">
        <x:v>15</x:v>
      </x:c>
      <x:c r="C917" s="54" t="n">
        <x:v>5</x:v>
      </x:c>
      <x:c r="D917" s="54" t="n">
        <x:v>1</x:v>
      </x:c>
      <x:c r="E917" s="103" t="str">
        <x:v>Material-row source portal</x:v>
      </x:c>
      <x:c r="F917" s="103" t="str">
        <x:v>Source portal is identified, but edition/revision and property record locator remain unresolved.</x:v>
      </x:c>
    </x:row>
    <x:row r="918">
      <x:c r="A918" s="54" t="n">
        <x:v>3004</x:v>
      </x:c>
      <x:c r="B918" s="54" t="n">
        <x:v>16</x:v>
      </x:c>
      <x:c r="C918" s="54" t="n">
        <x:v>5</x:v>
      </x:c>
      <x:c r="D918" s="54" t="n">
        <x:v>1</x:v>
      </x:c>
      <x:c r="E918" s="103" t="str">
        <x:v>Material-row source portal</x:v>
      </x:c>
      <x:c r="F918" s="103" t="str">
        <x:v>Source portal is identified, but edition/revision and property record locator remain unresolved.</x:v>
      </x:c>
    </x:row>
    <x:row r="919">
      <x:c r="A919" s="54" t="n">
        <x:v>3004</x:v>
      </x:c>
      <x:c r="B919" s="54" t="n">
        <x:v>18</x:v>
      </x:c>
      <x:c r="C919" s="54" t="n">
        <x:v>5</x:v>
      </x:c>
      <x:c r="D919" s="54" t="n">
        <x:v>1</x:v>
      </x:c>
      <x:c r="E919" s="103" t="str">
        <x:v>Formula-derived from E and Poisson ratio; input records inherit the material-row source</x:v>
      </x:c>
      <x:c r="F919" s="103" t="str">
        <x:v>Source portal is identified, but edition/revision and property record locator remain unresolved.</x:v>
      </x:c>
    </x:row>
    <x:row r="920">
      <x:c r="A920" s="54" t="n">
        <x:v>3005</x:v>
      </x:c>
      <x:c r="B920" s="54" t="n">
        <x:v>1</x:v>
      </x:c>
      <x:c r="C920" s="54" t="n">
        <x:v>5</x:v>
      </x:c>
      <x:c r="D920" s="54" t="n">
        <x:v>1</x:v>
      </x:c>
      <x:c r="E920" s="103" t="str">
        <x:v>Material-row source portal</x:v>
      </x:c>
      <x:c r="F920" s="103" t="str">
        <x:v>Source portal is identified, but edition/revision and property record locator remain unresolved.</x:v>
      </x:c>
    </x:row>
    <x:row r="921">
      <x:c r="A921" s="54" t="n">
        <x:v>3005</x:v>
      </x:c>
      <x:c r="B921" s="54" t="n">
        <x:v>2</x:v>
      </x:c>
      <x:c r="C921" s="54" t="n">
        <x:v>5</x:v>
      </x:c>
      <x:c r="D921" s="54" t="n">
        <x:v>1</x:v>
      </x:c>
      <x:c r="E921" s="103" t="str">
        <x:v>Material-row source portal</x:v>
      </x:c>
      <x:c r="F921" s="103" t="str">
        <x:v>Source portal is identified, but edition/revision and property record locator remain unresolved.</x:v>
      </x:c>
    </x:row>
    <x:row r="922">
      <x:c r="A922" s="54" t="n">
        <x:v>3005</x:v>
      </x:c>
      <x:c r="B922" s="54" t="n">
        <x:v>3</x:v>
      </x:c>
      <x:c r="C922" s="54" t="n">
        <x:v>5</x:v>
      </x:c>
      <x:c r="D922" s="54" t="n">
        <x:v>1</x:v>
      </x:c>
      <x:c r="E922" s="103" t="str">
        <x:v>Formula-derived from E and Poisson ratio; input records inherit the material-row source</x:v>
      </x:c>
      <x:c r="F922" s="103" t="str">
        <x:v>Source portal is identified, but edition/revision and property record locator remain unresolved.</x:v>
      </x:c>
    </x:row>
    <x:row r="923">
      <x:c r="A923" s="54" t="n">
        <x:v>3005</x:v>
      </x:c>
      <x:c r="B923" s="54" t="n">
        <x:v>4</x:v>
      </x:c>
      <x:c r="C923" s="54" t="n">
        <x:v>5</x:v>
      </x:c>
      <x:c r="D923" s="54" t="n">
        <x:v>1</x:v>
      </x:c>
      <x:c r="E923" s="103" t="str">
        <x:v>Material-row source portal</x:v>
      </x:c>
      <x:c r="F923" s="103" t="str">
        <x:v>Source portal is identified, but edition/revision and property record locator remain unresolved.</x:v>
      </x:c>
    </x:row>
    <x:row r="924">
      <x:c r="A924" s="54" t="n">
        <x:v>3005</x:v>
      </x:c>
      <x:c r="B924" s="54" t="n">
        <x:v>5</x:v>
      </x:c>
      <x:c r="C924" s="54" t="n">
        <x:v>5</x:v>
      </x:c>
      <x:c r="D924" s="54" t="n">
        <x:v>1</x:v>
      </x:c>
      <x:c r="E924" s="103" t="str">
        <x:v>Material-row source portal</x:v>
      </x:c>
      <x:c r="F924" s="103" t="str">
        <x:v>Source portal is identified, but edition/revision and property record locator remain unresolved.</x:v>
      </x:c>
    </x:row>
    <x:row r="925">
      <x:c r="A925" s="54" t="n">
        <x:v>3005</x:v>
      </x:c>
      <x:c r="B925" s="54" t="n">
        <x:v>6</x:v>
      </x:c>
      <x:c r="C925" s="54" t="n">
        <x:v>5</x:v>
      </x:c>
      <x:c r="D925" s="54" t="n">
        <x:v>1</x:v>
      </x:c>
      <x:c r="E925" s="103" t="str">
        <x:v>Material-row source portal</x:v>
      </x:c>
      <x:c r="F925" s="103" t="str">
        <x:v>Source portal is identified, but edition/revision and property record locator remain unresolved.</x:v>
      </x:c>
    </x:row>
    <x:row r="926">
      <x:c r="A926" s="54" t="n">
        <x:v>3005</x:v>
      </x:c>
      <x:c r="B926" s="54" t="n">
        <x:v>7</x:v>
      </x:c>
      <x:c r="C926" s="54" t="n">
        <x:v>5</x:v>
      </x:c>
      <x:c r="D926" s="54" t="n">
        <x:v>1</x:v>
      </x:c>
      <x:c r="E926" s="103" t="str">
        <x:v>Material-row source portal</x:v>
      </x:c>
      <x:c r="F926" s="103" t="str">
        <x:v>Source portal is identified, but edition/revision and property record locator remain unresolved.</x:v>
      </x:c>
    </x:row>
    <x:row r="927">
      <x:c r="A927" s="54" t="n">
        <x:v>3005</x:v>
      </x:c>
      <x:c r="B927" s="54" t="n">
        <x:v>8</x:v>
      </x:c>
      <x:c r="C927" s="54" t="n">
        <x:v>5</x:v>
      </x:c>
      <x:c r="D927" s="54" t="n">
        <x:v>1</x:v>
      </x:c>
      <x:c r="E927" s="103" t="str">
        <x:v>Material-row source portal</x:v>
      </x:c>
      <x:c r="F927" s="103" t="str">
        <x:v>Source portal is identified, but edition/revision and property record locator remain unresolved.</x:v>
      </x:c>
    </x:row>
    <x:row r="928">
      <x:c r="A928" s="54" t="n">
        <x:v>3005</x:v>
      </x:c>
      <x:c r="B928" s="54" t="n">
        <x:v>9</x:v>
      </x:c>
      <x:c r="C928" s="54" t="n">
        <x:v>5</x:v>
      </x:c>
      <x:c r="D928" s="54" t="n">
        <x:v>1</x:v>
      </x:c>
      <x:c r="E928" s="103" t="str">
        <x:v>Material-row source portal</x:v>
      </x:c>
      <x:c r="F928" s="103" t="str">
        <x:v>Source portal is identified, but edition/revision and property record locator remain unresolved.</x:v>
      </x:c>
    </x:row>
    <x:row r="929">
      <x:c r="A929" s="54" t="n">
        <x:v>3005</x:v>
      </x:c>
      <x:c r="B929" s="54" t="n">
        <x:v>10</x:v>
      </x:c>
      <x:c r="C929" s="54" t="n">
        <x:v>5</x:v>
      </x:c>
      <x:c r="D929" s="54" t="n">
        <x:v>1</x:v>
      </x:c>
      <x:c r="E929" s="103" t="str">
        <x:v>Material-row source portal</x:v>
      </x:c>
      <x:c r="F929" s="103" t="str">
        <x:v>Source portal is identified, but edition/revision and property record locator remain unresolved.</x:v>
      </x:c>
    </x:row>
    <x:row r="930">
      <x:c r="A930" s="54" t="n">
        <x:v>3005</x:v>
      </x:c>
      <x:c r="B930" s="54" t="n">
        <x:v>11</x:v>
      </x:c>
      <x:c r="C930" s="54" t="n">
        <x:v>5</x:v>
      </x:c>
      <x:c r="D930" s="54" t="n">
        <x:v>1</x:v>
      </x:c>
      <x:c r="E930" s="103" t="str">
        <x:v>Material-row source portal</x:v>
      </x:c>
      <x:c r="F930" s="103" t="str">
        <x:v>Source portal is identified, but edition/revision and property record locator remain unresolved.</x:v>
      </x:c>
    </x:row>
    <x:row r="931">
      <x:c r="A931" s="54" t="n">
        <x:v>3005</x:v>
      </x:c>
      <x:c r="B931" s="54" t="n">
        <x:v>12</x:v>
      </x:c>
      <x:c r="C931" s="54" t="n">
        <x:v>5</x:v>
      </x:c>
      <x:c r="D931" s="54" t="n">
        <x:v>1</x:v>
      </x:c>
      <x:c r="E931" s="103" t="str">
        <x:v>Material-row source portal</x:v>
      </x:c>
      <x:c r="F931" s="103" t="str">
        <x:v>Source portal is identified, but edition/revision and property record locator remain unresolved.</x:v>
      </x:c>
    </x:row>
    <x:row r="932">
      <x:c r="A932" s="54" t="n">
        <x:v>3005</x:v>
      </x:c>
      <x:c r="B932" s="54" t="n">
        <x:v>13</x:v>
      </x:c>
      <x:c r="C932" s="54" t="n">
        <x:v>5</x:v>
      </x:c>
      <x:c r="D932" s="54" t="n">
        <x:v>1</x:v>
      </x:c>
      <x:c r="E932" s="103" t="str">
        <x:v>Material-row source portal</x:v>
      </x:c>
      <x:c r="F932" s="103" t="str">
        <x:v>Source portal is identified, but edition/revision and property record locator remain unresolved.</x:v>
      </x:c>
    </x:row>
    <x:row r="933">
      <x:c r="A933" s="54" t="n">
        <x:v>3005</x:v>
      </x:c>
      <x:c r="B933" s="54" t="n">
        <x:v>14</x:v>
      </x:c>
      <x:c r="C933" s="54" t="n">
        <x:v>5</x:v>
      </x:c>
      <x:c r="D933" s="54" t="n">
        <x:v>1</x:v>
      </x:c>
      <x:c r="E933" s="103" t="str">
        <x:v>Material-row source portal</x:v>
      </x:c>
      <x:c r="F933" s="103" t="str">
        <x:v>Source portal is identified, but edition/revision and property record locator remain unresolved.</x:v>
      </x:c>
    </x:row>
    <x:row r="934">
      <x:c r="A934" s="54" t="n">
        <x:v>3005</x:v>
      </x:c>
      <x:c r="B934" s="54" t="n">
        <x:v>15</x:v>
      </x:c>
      <x:c r="C934" s="54" t="n">
        <x:v>5</x:v>
      </x:c>
      <x:c r="D934" s="54" t="n">
        <x:v>1</x:v>
      </x:c>
      <x:c r="E934" s="103" t="str">
        <x:v>Material-row source portal</x:v>
      </x:c>
      <x:c r="F934" s="103" t="str">
        <x:v>Source portal is identified, but edition/revision and property record locator remain unresolved.</x:v>
      </x:c>
    </x:row>
    <x:row r="935">
      <x:c r="A935" s="54" t="n">
        <x:v>3005</x:v>
      </x:c>
      <x:c r="B935" s="54" t="n">
        <x:v>16</x:v>
      </x:c>
      <x:c r="C935" s="54" t="n">
        <x:v>5</x:v>
      </x:c>
      <x:c r="D935" s="54" t="n">
        <x:v>1</x:v>
      </x:c>
      <x:c r="E935" s="103" t="str">
        <x:v>Material-row source portal</x:v>
      </x:c>
      <x:c r="F935" s="103" t="str">
        <x:v>Source portal is identified, but edition/revision and property record locator remain unresolved.</x:v>
      </x:c>
    </x:row>
    <x:row r="936">
      <x:c r="A936" s="54" t="n">
        <x:v>3005</x:v>
      </x:c>
      <x:c r="B936" s="54" t="n">
        <x:v>18</x:v>
      </x:c>
      <x:c r="C936" s="54" t="n">
        <x:v>5</x:v>
      </x:c>
      <x:c r="D936" s="54" t="n">
        <x:v>1</x:v>
      </x:c>
      <x:c r="E936" s="103" t="str">
        <x:v>Formula-derived from E and Poisson ratio; input records inherit the material-row source</x:v>
      </x:c>
      <x:c r="F936" s="103" t="str">
        <x:v>Source portal is identified, but edition/revision and property record locator remain unresolved.</x:v>
      </x:c>
    </x:row>
    <x:row r="937">
      <x:c r="A937" s="54" t="n">
        <x:v>3006</x:v>
      </x:c>
      <x:c r="B937" s="54" t="n">
        <x:v>1</x:v>
      </x:c>
      <x:c r="C937" s="54" t="n">
        <x:v>5</x:v>
      </x:c>
      <x:c r="D937" s="54" t="n">
        <x:v>1</x:v>
      </x:c>
      <x:c r="E937" s="103" t="str">
        <x:v>Material-row source portal</x:v>
      </x:c>
      <x:c r="F937" s="103" t="str">
        <x:v>Source portal is identified, but edition/revision and property record locator remain unresolved.</x:v>
      </x:c>
    </x:row>
    <x:row r="938">
      <x:c r="A938" s="54" t="n">
        <x:v>3006</x:v>
      </x:c>
      <x:c r="B938" s="54" t="n">
        <x:v>2</x:v>
      </x:c>
      <x:c r="C938" s="54" t="n">
        <x:v>5</x:v>
      </x:c>
      <x:c r="D938" s="54" t="n">
        <x:v>1</x:v>
      </x:c>
      <x:c r="E938" s="103" t="str">
        <x:v>Material-row source portal</x:v>
      </x:c>
      <x:c r="F938" s="103" t="str">
        <x:v>Source portal is identified, but edition/revision and property record locator remain unresolved.</x:v>
      </x:c>
    </x:row>
    <x:row r="939">
      <x:c r="A939" s="54" t="n">
        <x:v>3006</x:v>
      </x:c>
      <x:c r="B939" s="54" t="n">
        <x:v>3</x:v>
      </x:c>
      <x:c r="C939" s="54" t="n">
        <x:v>5</x:v>
      </x:c>
      <x:c r="D939" s="54" t="n">
        <x:v>1</x:v>
      </x:c>
      <x:c r="E939" s="103" t="str">
        <x:v>Formula-derived from E and Poisson ratio; input records inherit the material-row source</x:v>
      </x:c>
      <x:c r="F939" s="103" t="str">
        <x:v>Source portal is identified, but edition/revision and property record locator remain unresolved.</x:v>
      </x:c>
    </x:row>
    <x:row r="940">
      <x:c r="A940" s="54" t="n">
        <x:v>3006</x:v>
      </x:c>
      <x:c r="B940" s="54" t="n">
        <x:v>4</x:v>
      </x:c>
      <x:c r="C940" s="54" t="n">
        <x:v>5</x:v>
      </x:c>
      <x:c r="D940" s="54" t="n">
        <x:v>1</x:v>
      </x:c>
      <x:c r="E940" s="103" t="str">
        <x:v>Material-row source portal</x:v>
      </x:c>
      <x:c r="F940" s="103" t="str">
        <x:v>Source portal is identified, but edition/revision and property record locator remain unresolved.</x:v>
      </x:c>
    </x:row>
    <x:row r="941">
      <x:c r="A941" s="54" t="n">
        <x:v>3006</x:v>
      </x:c>
      <x:c r="B941" s="54" t="n">
        <x:v>5</x:v>
      </x:c>
      <x:c r="C941" s="54" t="n">
        <x:v>5</x:v>
      </x:c>
      <x:c r="D941" s="54" t="n">
        <x:v>1</x:v>
      </x:c>
      <x:c r="E941" s="103" t="str">
        <x:v>Material-row source portal</x:v>
      </x:c>
      <x:c r="F941" s="103" t="str">
        <x:v>Source portal is identified, but edition/revision and property record locator remain unresolved.</x:v>
      </x:c>
    </x:row>
    <x:row r="942">
      <x:c r="A942" s="54" t="n">
        <x:v>3006</x:v>
      </x:c>
      <x:c r="B942" s="54" t="n">
        <x:v>6</x:v>
      </x:c>
      <x:c r="C942" s="54" t="n">
        <x:v>5</x:v>
      </x:c>
      <x:c r="D942" s="54" t="n">
        <x:v>1</x:v>
      </x:c>
      <x:c r="E942" s="103" t="str">
        <x:v>Material-row source portal</x:v>
      </x:c>
      <x:c r="F942" s="103" t="str">
        <x:v>Source portal is identified, but edition/revision and property record locator remain unresolved.</x:v>
      </x:c>
    </x:row>
    <x:row r="943">
      <x:c r="A943" s="54" t="n">
        <x:v>3006</x:v>
      </x:c>
      <x:c r="B943" s="54" t="n">
        <x:v>7</x:v>
      </x:c>
      <x:c r="C943" s="54" t="n">
        <x:v>5</x:v>
      </x:c>
      <x:c r="D943" s="54" t="n">
        <x:v>1</x:v>
      </x:c>
      <x:c r="E943" s="103" t="str">
        <x:v>Material-row source portal</x:v>
      </x:c>
      <x:c r="F943" s="103" t="str">
        <x:v>Source portal is identified, but edition/revision and property record locator remain unresolved.</x:v>
      </x:c>
    </x:row>
    <x:row r="944">
      <x:c r="A944" s="54" t="n">
        <x:v>3006</x:v>
      </x:c>
      <x:c r="B944" s="54" t="n">
        <x:v>8</x:v>
      </x:c>
      <x:c r="C944" s="54" t="n">
        <x:v>5</x:v>
      </x:c>
      <x:c r="D944" s="54" t="n">
        <x:v>1</x:v>
      </x:c>
      <x:c r="E944" s="103" t="str">
        <x:v>Material-row source portal</x:v>
      </x:c>
      <x:c r="F944" s="103" t="str">
        <x:v>Source portal is identified, but edition/revision and property record locator remain unresolved.</x:v>
      </x:c>
    </x:row>
    <x:row r="945">
      <x:c r="A945" s="54" t="n">
        <x:v>3006</x:v>
      </x:c>
      <x:c r="B945" s="54" t="n">
        <x:v>9</x:v>
      </x:c>
      <x:c r="C945" s="54" t="n">
        <x:v>5</x:v>
      </x:c>
      <x:c r="D945" s="54" t="n">
        <x:v>1</x:v>
      </x:c>
      <x:c r="E945" s="103" t="str">
        <x:v>Material-row source portal</x:v>
      </x:c>
      <x:c r="F945" s="103" t="str">
        <x:v>Source portal is identified, but edition/revision and property record locator remain unresolved.</x:v>
      </x:c>
    </x:row>
    <x:row r="946">
      <x:c r="A946" s="54" t="n">
        <x:v>3006</x:v>
      </x:c>
      <x:c r="B946" s="54" t="n">
        <x:v>10</x:v>
      </x:c>
      <x:c r="C946" s="54" t="n">
        <x:v>5</x:v>
      </x:c>
      <x:c r="D946" s="54" t="n">
        <x:v>1</x:v>
      </x:c>
      <x:c r="E946" s="103" t="str">
        <x:v>Material-row source portal</x:v>
      </x:c>
      <x:c r="F946" s="103" t="str">
        <x:v>Source portal is identified, but edition/revision and property record locator remain unresolved.</x:v>
      </x:c>
    </x:row>
    <x:row r="947">
      <x:c r="A947" s="54" t="n">
        <x:v>3006</x:v>
      </x:c>
      <x:c r="B947" s="54" t="n">
        <x:v>11</x:v>
      </x:c>
      <x:c r="C947" s="54" t="n">
        <x:v>5</x:v>
      </x:c>
      <x:c r="D947" s="54" t="n">
        <x:v>1</x:v>
      </x:c>
      <x:c r="E947" s="103" t="str">
        <x:v>Material-row source portal</x:v>
      </x:c>
      <x:c r="F947" s="103" t="str">
        <x:v>Source portal is identified, but edition/revision and property record locator remain unresolved.</x:v>
      </x:c>
    </x:row>
    <x:row r="948">
      <x:c r="A948" s="54" t="n">
        <x:v>3006</x:v>
      </x:c>
      <x:c r="B948" s="54" t="n">
        <x:v>12</x:v>
      </x:c>
      <x:c r="C948" s="54" t="n">
        <x:v>5</x:v>
      </x:c>
      <x:c r="D948" s="54" t="n">
        <x:v>1</x:v>
      </x:c>
      <x:c r="E948" s="103" t="str">
        <x:v>Material-row source portal</x:v>
      </x:c>
      <x:c r="F948" s="103" t="str">
        <x:v>Source portal is identified, but edition/revision and property record locator remain unresolved.</x:v>
      </x:c>
    </x:row>
    <x:row r="949">
      <x:c r="A949" s="54" t="n">
        <x:v>3006</x:v>
      </x:c>
      <x:c r="B949" s="54" t="n">
        <x:v>13</x:v>
      </x:c>
      <x:c r="C949" s="54" t="n">
        <x:v>5</x:v>
      </x:c>
      <x:c r="D949" s="54" t="n">
        <x:v>1</x:v>
      </x:c>
      <x:c r="E949" s="103" t="str">
        <x:v>Material-row source portal</x:v>
      </x:c>
      <x:c r="F949" s="103" t="str">
        <x:v>Source portal is identified, but edition/revision and property record locator remain unresolved.</x:v>
      </x:c>
    </x:row>
    <x:row r="950">
      <x:c r="A950" s="54" t="n">
        <x:v>3006</x:v>
      </x:c>
      <x:c r="B950" s="54" t="n">
        <x:v>14</x:v>
      </x:c>
      <x:c r="C950" s="54" t="n">
        <x:v>5</x:v>
      </x:c>
      <x:c r="D950" s="54" t="n">
        <x:v>1</x:v>
      </x:c>
      <x:c r="E950" s="103" t="str">
        <x:v>Material-row source portal</x:v>
      </x:c>
      <x:c r="F950" s="103" t="str">
        <x:v>Source portal is identified, but edition/revision and property record locator remain unresolved.</x:v>
      </x:c>
    </x:row>
    <x:row r="951">
      <x:c r="A951" s="54" t="n">
        <x:v>3006</x:v>
      </x:c>
      <x:c r="B951" s="54" t="n">
        <x:v>15</x:v>
      </x:c>
      <x:c r="C951" s="54" t="n">
        <x:v>5</x:v>
      </x:c>
      <x:c r="D951" s="54" t="n">
        <x:v>1</x:v>
      </x:c>
      <x:c r="E951" s="103" t="str">
        <x:v>Material-row source portal</x:v>
      </x:c>
      <x:c r="F951" s="103" t="str">
        <x:v>Source portal is identified, but edition/revision and property record locator remain unresolved.</x:v>
      </x:c>
    </x:row>
    <x:row r="952">
      <x:c r="A952" s="54" t="n">
        <x:v>3006</x:v>
      </x:c>
      <x:c r="B952" s="54" t="n">
        <x:v>16</x:v>
      </x:c>
      <x:c r="C952" s="54" t="n">
        <x:v>5</x:v>
      </x:c>
      <x:c r="D952" s="54" t="n">
        <x:v>1</x:v>
      </x:c>
      <x:c r="E952" s="103" t="str">
        <x:v>Material-row source portal</x:v>
      </x:c>
      <x:c r="F952" s="103" t="str">
        <x:v>Source portal is identified, but edition/revision and property record locator remain unresolved.</x:v>
      </x:c>
    </x:row>
    <x:row r="953">
      <x:c r="A953" s="54" t="n">
        <x:v>3006</x:v>
      </x:c>
      <x:c r="B953" s="54" t="n">
        <x:v>18</x:v>
      </x:c>
      <x:c r="C953" s="54" t="n">
        <x:v>5</x:v>
      </x:c>
      <x:c r="D953" s="54" t="n">
        <x:v>1</x:v>
      </x:c>
      <x:c r="E953" s="103" t="str">
        <x:v>Formula-derived from E and Poisson ratio; input records inherit the material-row source</x:v>
      </x:c>
      <x:c r="F953" s="103" t="str">
        <x:v>Source portal is identified, but edition/revision and property record locator remain unresolved.</x:v>
      </x:c>
    </x:row>
    <x:row r="954">
      <x:c r="A954" s="54" t="n">
        <x:v>3007</x:v>
      </x:c>
      <x:c r="B954" s="54" t="n">
        <x:v>1</x:v>
      </x:c>
      <x:c r="C954" s="54" t="n">
        <x:v>5</x:v>
      </x:c>
      <x:c r="D954" s="54" t="n">
        <x:v>1</x:v>
      </x:c>
      <x:c r="E954" s="103" t="str">
        <x:v>Material-row source portal</x:v>
      </x:c>
      <x:c r="F954" s="103" t="str">
        <x:v>Source portal is identified, but edition/revision and property record locator remain unresolved.</x:v>
      </x:c>
    </x:row>
    <x:row r="955">
      <x:c r="A955" s="54" t="n">
        <x:v>3007</x:v>
      </x:c>
      <x:c r="B955" s="54" t="n">
        <x:v>2</x:v>
      </x:c>
      <x:c r="C955" s="54" t="n">
        <x:v>5</x:v>
      </x:c>
      <x:c r="D955" s="54" t="n">
        <x:v>1</x:v>
      </x:c>
      <x:c r="E955" s="103" t="str">
        <x:v>Material-row source portal</x:v>
      </x:c>
      <x:c r="F955" s="103" t="str">
        <x:v>Source portal is identified, but edition/revision and property record locator remain unresolved.</x:v>
      </x:c>
    </x:row>
    <x:row r="956">
      <x:c r="A956" s="54" t="n">
        <x:v>3007</x:v>
      </x:c>
      <x:c r="B956" s="54" t="n">
        <x:v>3</x:v>
      </x:c>
      <x:c r="C956" s="54" t="n">
        <x:v>5</x:v>
      </x:c>
      <x:c r="D956" s="54" t="n">
        <x:v>1</x:v>
      </x:c>
      <x:c r="E956" s="103" t="str">
        <x:v>Formula-derived from E and Poisson ratio; input records inherit the material-row source</x:v>
      </x:c>
      <x:c r="F956" s="103" t="str">
        <x:v>Source portal is identified, but edition/revision and property record locator remain unresolved.</x:v>
      </x:c>
    </x:row>
    <x:row r="957">
      <x:c r="A957" s="54" t="n">
        <x:v>3007</x:v>
      </x:c>
      <x:c r="B957" s="54" t="n">
        <x:v>4</x:v>
      </x:c>
      <x:c r="C957" s="54" t="n">
        <x:v>5</x:v>
      </x:c>
      <x:c r="D957" s="54" t="n">
        <x:v>1</x:v>
      </x:c>
      <x:c r="E957" s="103" t="str">
        <x:v>Material-row source portal</x:v>
      </x:c>
      <x:c r="F957" s="103" t="str">
        <x:v>Source portal is identified, but edition/revision and property record locator remain unresolved.</x:v>
      </x:c>
    </x:row>
    <x:row r="958">
      <x:c r="A958" s="54" t="n">
        <x:v>3007</x:v>
      </x:c>
      <x:c r="B958" s="54" t="n">
        <x:v>5</x:v>
      </x:c>
      <x:c r="C958" s="54" t="n">
        <x:v>5</x:v>
      </x:c>
      <x:c r="D958" s="54" t="n">
        <x:v>1</x:v>
      </x:c>
      <x:c r="E958" s="103" t="str">
        <x:v>Material-row source portal</x:v>
      </x:c>
      <x:c r="F958" s="103" t="str">
        <x:v>Source portal is identified, but edition/revision and property record locator remain unresolved.</x:v>
      </x:c>
    </x:row>
    <x:row r="959">
      <x:c r="A959" s="54" t="n">
        <x:v>3007</x:v>
      </x:c>
      <x:c r="B959" s="54" t="n">
        <x:v>6</x:v>
      </x:c>
      <x:c r="C959" s="54" t="n">
        <x:v>5</x:v>
      </x:c>
      <x:c r="D959" s="54" t="n">
        <x:v>1</x:v>
      </x:c>
      <x:c r="E959" s="103" t="str">
        <x:v>Material-row source portal</x:v>
      </x:c>
      <x:c r="F959" s="103" t="str">
        <x:v>Source portal is identified, but edition/revision and property record locator remain unresolved.</x:v>
      </x:c>
    </x:row>
    <x:row r="960">
      <x:c r="A960" s="54" t="n">
        <x:v>3007</x:v>
      </x:c>
      <x:c r="B960" s="54" t="n">
        <x:v>7</x:v>
      </x:c>
      <x:c r="C960" s="54" t="n">
        <x:v>5</x:v>
      </x:c>
      <x:c r="D960" s="54" t="n">
        <x:v>1</x:v>
      </x:c>
      <x:c r="E960" s="103" t="str">
        <x:v>Material-row source portal</x:v>
      </x:c>
      <x:c r="F960" s="103" t="str">
        <x:v>Source portal is identified, but edition/revision and property record locator remain unresolved.</x:v>
      </x:c>
    </x:row>
    <x:row r="961">
      <x:c r="A961" s="54" t="n">
        <x:v>3007</x:v>
      </x:c>
      <x:c r="B961" s="54" t="n">
        <x:v>8</x:v>
      </x:c>
      <x:c r="C961" s="54" t="n">
        <x:v>5</x:v>
      </x:c>
      <x:c r="D961" s="54" t="n">
        <x:v>1</x:v>
      </x:c>
      <x:c r="E961" s="103" t="str">
        <x:v>Material-row source portal</x:v>
      </x:c>
      <x:c r="F961" s="103" t="str">
        <x:v>Source portal is identified, but edition/revision and property record locator remain unresolved.</x:v>
      </x:c>
    </x:row>
    <x:row r="962">
      <x:c r="A962" s="54" t="n">
        <x:v>3007</x:v>
      </x:c>
      <x:c r="B962" s="54" t="n">
        <x:v>9</x:v>
      </x:c>
      <x:c r="C962" s="54" t="n">
        <x:v>5</x:v>
      </x:c>
      <x:c r="D962" s="54" t="n">
        <x:v>1</x:v>
      </x:c>
      <x:c r="E962" s="103" t="str">
        <x:v>Material-row source portal</x:v>
      </x:c>
      <x:c r="F962" s="103" t="str">
        <x:v>Source portal is identified, but edition/revision and property record locator remain unresolved.</x:v>
      </x:c>
    </x:row>
    <x:row r="963">
      <x:c r="A963" s="54" t="n">
        <x:v>3007</x:v>
      </x:c>
      <x:c r="B963" s="54" t="n">
        <x:v>10</x:v>
      </x:c>
      <x:c r="C963" s="54" t="n">
        <x:v>5</x:v>
      </x:c>
      <x:c r="D963" s="54" t="n">
        <x:v>1</x:v>
      </x:c>
      <x:c r="E963" s="103" t="str">
        <x:v>Material-row source portal</x:v>
      </x:c>
      <x:c r="F963" s="103" t="str">
        <x:v>Source portal is identified, but edition/revision and property record locator remain unresolved.</x:v>
      </x:c>
    </x:row>
    <x:row r="964">
      <x:c r="A964" s="54" t="n">
        <x:v>3007</x:v>
      </x:c>
      <x:c r="B964" s="54" t="n">
        <x:v>11</x:v>
      </x:c>
      <x:c r="C964" s="54" t="n">
        <x:v>5</x:v>
      </x:c>
      <x:c r="D964" s="54" t="n">
        <x:v>1</x:v>
      </x:c>
      <x:c r="E964" s="103" t="str">
        <x:v>Material-row source portal</x:v>
      </x:c>
      <x:c r="F964" s="103" t="str">
        <x:v>Source portal is identified, but edition/revision and property record locator remain unresolved.</x:v>
      </x:c>
    </x:row>
    <x:row r="965">
      <x:c r="A965" s="54" t="n">
        <x:v>3007</x:v>
      </x:c>
      <x:c r="B965" s="54" t="n">
        <x:v>12</x:v>
      </x:c>
      <x:c r="C965" s="54" t="n">
        <x:v>5</x:v>
      </x:c>
      <x:c r="D965" s="54" t="n">
        <x:v>1</x:v>
      </x:c>
      <x:c r="E965" s="103" t="str">
        <x:v>Material-row source portal</x:v>
      </x:c>
      <x:c r="F965" s="103" t="str">
        <x:v>Source portal is identified, but edition/revision and property record locator remain unresolved.</x:v>
      </x:c>
    </x:row>
    <x:row r="966">
      <x:c r="A966" s="54" t="n">
        <x:v>3007</x:v>
      </x:c>
      <x:c r="B966" s="54" t="n">
        <x:v>13</x:v>
      </x:c>
      <x:c r="C966" s="54" t="n">
        <x:v>5</x:v>
      </x:c>
      <x:c r="D966" s="54" t="n">
        <x:v>1</x:v>
      </x:c>
      <x:c r="E966" s="103" t="str">
        <x:v>Material-row source portal</x:v>
      </x:c>
      <x:c r="F966" s="103" t="str">
        <x:v>Source portal is identified, but edition/revision and property record locator remain unresolved.</x:v>
      </x:c>
    </x:row>
    <x:row r="967">
      <x:c r="A967" s="54" t="n">
        <x:v>3007</x:v>
      </x:c>
      <x:c r="B967" s="54" t="n">
        <x:v>14</x:v>
      </x:c>
      <x:c r="C967" s="54" t="n">
        <x:v>5</x:v>
      </x:c>
      <x:c r="D967" s="54" t="n">
        <x:v>1</x:v>
      </x:c>
      <x:c r="E967" s="103" t="str">
        <x:v>Material-row source portal</x:v>
      </x:c>
      <x:c r="F967" s="103" t="str">
        <x:v>Source portal is identified, but edition/revision and property record locator remain unresolved.</x:v>
      </x:c>
    </x:row>
    <x:row r="968">
      <x:c r="A968" s="54" t="n">
        <x:v>3007</x:v>
      </x:c>
      <x:c r="B968" s="54" t="n">
        <x:v>15</x:v>
      </x:c>
      <x:c r="C968" s="54" t="n">
        <x:v>5</x:v>
      </x:c>
      <x:c r="D968" s="54" t="n">
        <x:v>1</x:v>
      </x:c>
      <x:c r="E968" s="103" t="str">
        <x:v>Material-row source portal</x:v>
      </x:c>
      <x:c r="F968" s="103" t="str">
        <x:v>Source portal is identified, but edition/revision and property record locator remain unresolved.</x:v>
      </x:c>
    </x:row>
    <x:row r="969">
      <x:c r="A969" s="54" t="n">
        <x:v>3007</x:v>
      </x:c>
      <x:c r="B969" s="54" t="n">
        <x:v>16</x:v>
      </x:c>
      <x:c r="C969" s="54" t="n">
        <x:v>5</x:v>
      </x:c>
      <x:c r="D969" s="54" t="n">
        <x:v>1</x:v>
      </x:c>
      <x:c r="E969" s="103" t="str">
        <x:v>Material-row source portal</x:v>
      </x:c>
      <x:c r="F969" s="103" t="str">
        <x:v>Source portal is identified, but edition/revision and property record locator remain unresolved.</x:v>
      </x:c>
    </x:row>
    <x:row r="970">
      <x:c r="A970" s="54" t="n">
        <x:v>3007</x:v>
      </x:c>
      <x:c r="B970" s="54" t="n">
        <x:v>18</x:v>
      </x:c>
      <x:c r="C970" s="54" t="n">
        <x:v>5</x:v>
      </x:c>
      <x:c r="D970" s="54" t="n">
        <x:v>1</x:v>
      </x:c>
      <x:c r="E970" s="103" t="str">
        <x:v>Formula-derived from E and Poisson ratio; input records inherit the material-row source</x:v>
      </x:c>
      <x:c r="F970" s="103" t="str">
        <x:v>Source portal is identified, but edition/revision and property record locator remain unresolved.</x:v>
      </x:c>
    </x:row>
    <x:row r="971">
      <x:c r="A971" s="54" t="n">
        <x:v>3008</x:v>
      </x:c>
      <x:c r="B971" s="54" t="n">
        <x:v>1</x:v>
      </x:c>
      <x:c r="C971" s="54" t="n">
        <x:v>5</x:v>
      </x:c>
      <x:c r="D971" s="54" t="n">
        <x:v>1</x:v>
      </x:c>
      <x:c r="E971" s="103" t="str">
        <x:v>Material-row source portal</x:v>
      </x:c>
      <x:c r="F971" s="103" t="str">
        <x:v>Source portal is identified, but edition/revision and property record locator remain unresolved.</x:v>
      </x:c>
    </x:row>
    <x:row r="972">
      <x:c r="A972" s="54" t="n">
        <x:v>3008</x:v>
      </x:c>
      <x:c r="B972" s="54" t="n">
        <x:v>2</x:v>
      </x:c>
      <x:c r="C972" s="54" t="n">
        <x:v>5</x:v>
      </x:c>
      <x:c r="D972" s="54" t="n">
        <x:v>1</x:v>
      </x:c>
      <x:c r="E972" s="103" t="str">
        <x:v>Material-row source portal</x:v>
      </x:c>
      <x:c r="F972" s="103" t="str">
        <x:v>Source portal is identified, but edition/revision and property record locator remain unresolved.</x:v>
      </x:c>
    </x:row>
    <x:row r="973">
      <x:c r="A973" s="54" t="n">
        <x:v>3008</x:v>
      </x:c>
      <x:c r="B973" s="54" t="n">
        <x:v>3</x:v>
      </x:c>
      <x:c r="C973" s="54" t="n">
        <x:v>5</x:v>
      </x:c>
      <x:c r="D973" s="54" t="n">
        <x:v>1</x:v>
      </x:c>
      <x:c r="E973" s="103" t="str">
        <x:v>Formula-derived from E and Poisson ratio; input records inherit the material-row source</x:v>
      </x:c>
      <x:c r="F973" s="103" t="str">
        <x:v>Source portal is identified, but edition/revision and property record locator remain unresolved.</x:v>
      </x:c>
    </x:row>
    <x:row r="974">
      <x:c r="A974" s="54" t="n">
        <x:v>3008</x:v>
      </x:c>
      <x:c r="B974" s="54" t="n">
        <x:v>4</x:v>
      </x:c>
      <x:c r="C974" s="54" t="n">
        <x:v>5</x:v>
      </x:c>
      <x:c r="D974" s="54" t="n">
        <x:v>1</x:v>
      </x:c>
      <x:c r="E974" s="103" t="str">
        <x:v>Material-row source portal</x:v>
      </x:c>
      <x:c r="F974" s="103" t="str">
        <x:v>Source portal is identified, but edition/revision and property record locator remain unresolved.</x:v>
      </x:c>
    </x:row>
    <x:row r="975">
      <x:c r="A975" s="54" t="n">
        <x:v>3008</x:v>
      </x:c>
      <x:c r="B975" s="54" t="n">
        <x:v>5</x:v>
      </x:c>
      <x:c r="C975" s="54" t="n">
        <x:v>5</x:v>
      </x:c>
      <x:c r="D975" s="54" t="n">
        <x:v>1</x:v>
      </x:c>
      <x:c r="E975" s="103" t="str">
        <x:v>Material-row source portal</x:v>
      </x:c>
      <x:c r="F975" s="103" t="str">
        <x:v>Source portal is identified, but edition/revision and property record locator remain unresolved.</x:v>
      </x:c>
    </x:row>
    <x:row r="976">
      <x:c r="A976" s="54" t="n">
        <x:v>3008</x:v>
      </x:c>
      <x:c r="B976" s="54" t="n">
        <x:v>6</x:v>
      </x:c>
      <x:c r="C976" s="54" t="n">
        <x:v>5</x:v>
      </x:c>
      <x:c r="D976" s="54" t="n">
        <x:v>1</x:v>
      </x:c>
      <x:c r="E976" s="103" t="str">
        <x:v>Material-row source portal</x:v>
      </x:c>
      <x:c r="F976" s="103" t="str">
        <x:v>Source portal is identified, but edition/revision and property record locator remain unresolved.</x:v>
      </x:c>
    </x:row>
    <x:row r="977">
      <x:c r="A977" s="54" t="n">
        <x:v>3008</x:v>
      </x:c>
      <x:c r="B977" s="54" t="n">
        <x:v>7</x:v>
      </x:c>
      <x:c r="C977" s="54" t="n">
        <x:v>5</x:v>
      </x:c>
      <x:c r="D977" s="54" t="n">
        <x:v>1</x:v>
      </x:c>
      <x:c r="E977" s="103" t="str">
        <x:v>Material-row source portal</x:v>
      </x:c>
      <x:c r="F977" s="103" t="str">
        <x:v>Source portal is identified, but edition/revision and property record locator remain unresolved.</x:v>
      </x:c>
    </x:row>
    <x:row r="978">
      <x:c r="A978" s="54" t="n">
        <x:v>3008</x:v>
      </x:c>
      <x:c r="B978" s="54" t="n">
        <x:v>8</x:v>
      </x:c>
      <x:c r="C978" s="54" t="n">
        <x:v>5</x:v>
      </x:c>
      <x:c r="D978" s="54" t="n">
        <x:v>1</x:v>
      </x:c>
      <x:c r="E978" s="103" t="str">
        <x:v>Material-row source portal</x:v>
      </x:c>
      <x:c r="F978" s="103" t="str">
        <x:v>Source portal is identified, but edition/revision and property record locator remain unresolved.</x:v>
      </x:c>
    </x:row>
    <x:row r="979">
      <x:c r="A979" s="54" t="n">
        <x:v>3008</x:v>
      </x:c>
      <x:c r="B979" s="54" t="n">
        <x:v>9</x:v>
      </x:c>
      <x:c r="C979" s="54" t="n">
        <x:v>5</x:v>
      </x:c>
      <x:c r="D979" s="54" t="n">
        <x:v>1</x:v>
      </x:c>
      <x:c r="E979" s="103" t="str">
        <x:v>Material-row source portal</x:v>
      </x:c>
      <x:c r="F979" s="103" t="str">
        <x:v>Source portal is identified, but edition/revision and property record locator remain unresolved.</x:v>
      </x:c>
    </x:row>
    <x:row r="980">
      <x:c r="A980" s="54" t="n">
        <x:v>3008</x:v>
      </x:c>
      <x:c r="B980" s="54" t="n">
        <x:v>10</x:v>
      </x:c>
      <x:c r="C980" s="54" t="n">
        <x:v>5</x:v>
      </x:c>
      <x:c r="D980" s="54" t="n">
        <x:v>1</x:v>
      </x:c>
      <x:c r="E980" s="103" t="str">
        <x:v>Material-row source portal</x:v>
      </x:c>
      <x:c r="F980" s="103" t="str">
        <x:v>Source portal is identified, but edition/revision and property record locator remain unresolved.</x:v>
      </x:c>
    </x:row>
    <x:row r="981">
      <x:c r="A981" s="54" t="n">
        <x:v>3008</x:v>
      </x:c>
      <x:c r="B981" s="54" t="n">
        <x:v>11</x:v>
      </x:c>
      <x:c r="C981" s="54" t="n">
        <x:v>5</x:v>
      </x:c>
      <x:c r="D981" s="54" t="n">
        <x:v>1</x:v>
      </x:c>
      <x:c r="E981" s="103" t="str">
        <x:v>Material-row source portal</x:v>
      </x:c>
      <x:c r="F981" s="103" t="str">
        <x:v>Source portal is identified, but edition/revision and property record locator remain unresolved.</x:v>
      </x:c>
    </x:row>
    <x:row r="982">
      <x:c r="A982" s="54" t="n">
        <x:v>3008</x:v>
      </x:c>
      <x:c r="B982" s="54" t="n">
        <x:v>12</x:v>
      </x:c>
      <x:c r="C982" s="54" t="n">
        <x:v>5</x:v>
      </x:c>
      <x:c r="D982" s="54" t="n">
        <x:v>1</x:v>
      </x:c>
      <x:c r="E982" s="103" t="str">
        <x:v>Material-row source portal</x:v>
      </x:c>
      <x:c r="F982" s="103" t="str">
        <x:v>Source portal is identified, but edition/revision and property record locator remain unresolved.</x:v>
      </x:c>
    </x:row>
    <x:row r="983">
      <x:c r="A983" s="54" t="n">
        <x:v>3008</x:v>
      </x:c>
      <x:c r="B983" s="54" t="n">
        <x:v>13</x:v>
      </x:c>
      <x:c r="C983" s="54" t="n">
        <x:v>5</x:v>
      </x:c>
      <x:c r="D983" s="54" t="n">
        <x:v>1</x:v>
      </x:c>
      <x:c r="E983" s="103" t="str">
        <x:v>Material-row source portal</x:v>
      </x:c>
      <x:c r="F983" s="103" t="str">
        <x:v>Source portal is identified, but edition/revision and property record locator remain unresolved.</x:v>
      </x:c>
    </x:row>
    <x:row r="984">
      <x:c r="A984" s="54" t="n">
        <x:v>3008</x:v>
      </x:c>
      <x:c r="B984" s="54" t="n">
        <x:v>14</x:v>
      </x:c>
      <x:c r="C984" s="54" t="n">
        <x:v>5</x:v>
      </x:c>
      <x:c r="D984" s="54" t="n">
        <x:v>1</x:v>
      </x:c>
      <x:c r="E984" s="103" t="str">
        <x:v>Material-row source portal</x:v>
      </x:c>
      <x:c r="F984" s="103" t="str">
        <x:v>Source portal is identified, but edition/revision and property record locator remain unresolved.</x:v>
      </x:c>
    </x:row>
    <x:row r="985">
      <x:c r="A985" s="54" t="n">
        <x:v>3008</x:v>
      </x:c>
      <x:c r="B985" s="54" t="n">
        <x:v>15</x:v>
      </x:c>
      <x:c r="C985" s="54" t="n">
        <x:v>5</x:v>
      </x:c>
      <x:c r="D985" s="54" t="n">
        <x:v>1</x:v>
      </x:c>
      <x:c r="E985" s="103" t="str">
        <x:v>Material-row source portal</x:v>
      </x:c>
      <x:c r="F985" s="103" t="str">
        <x:v>Source portal is identified, but edition/revision and property record locator remain unresolved.</x:v>
      </x:c>
    </x:row>
    <x:row r="986">
      <x:c r="A986" s="54" t="n">
        <x:v>3008</x:v>
      </x:c>
      <x:c r="B986" s="54" t="n">
        <x:v>16</x:v>
      </x:c>
      <x:c r="C986" s="54" t="n">
        <x:v>5</x:v>
      </x:c>
      <x:c r="D986" s="54" t="n">
        <x:v>1</x:v>
      </x:c>
      <x:c r="E986" s="103" t="str">
        <x:v>Material-row source portal</x:v>
      </x:c>
      <x:c r="F986" s="103" t="str">
        <x:v>Source portal is identified, but edition/revision and property record locator remain unresolved.</x:v>
      </x:c>
    </x:row>
    <x:row r="987">
      <x:c r="A987" s="54" t="n">
        <x:v>3008</x:v>
      </x:c>
      <x:c r="B987" s="54" t="n">
        <x:v>18</x:v>
      </x:c>
      <x:c r="C987" s="54" t="n">
        <x:v>5</x:v>
      </x:c>
      <x:c r="D987" s="54" t="n">
        <x:v>1</x:v>
      </x:c>
      <x:c r="E987" s="103" t="str">
        <x:v>Formula-derived from E and Poisson ratio; input records inherit the material-row source</x:v>
      </x:c>
      <x:c r="F987" s="103" t="str">
        <x:v>Source portal is identified, but edition/revision and property record locator remain unresolved.</x:v>
      </x:c>
    </x:row>
    <x:row r="988">
      <x:c r="A988" s="54" t="n">
        <x:v>3009</x:v>
      </x:c>
      <x:c r="B988" s="54" t="n">
        <x:v>1</x:v>
      </x:c>
      <x:c r="C988" s="54" t="n">
        <x:v>5</x:v>
      </x:c>
      <x:c r="D988" s="54" t="n">
        <x:v>1</x:v>
      </x:c>
      <x:c r="E988" s="103" t="str">
        <x:v>Material-row source portal</x:v>
      </x:c>
      <x:c r="F988" s="103" t="str">
        <x:v>Source portal is identified, but edition/revision and property record locator remain unresolved.</x:v>
      </x:c>
    </x:row>
    <x:row r="989">
      <x:c r="A989" s="54" t="n">
        <x:v>3009</x:v>
      </x:c>
      <x:c r="B989" s="54" t="n">
        <x:v>2</x:v>
      </x:c>
      <x:c r="C989" s="54" t="n">
        <x:v>5</x:v>
      </x:c>
      <x:c r="D989" s="54" t="n">
        <x:v>1</x:v>
      </x:c>
      <x:c r="E989" s="103" t="str">
        <x:v>Material-row source portal</x:v>
      </x:c>
      <x:c r="F989" s="103" t="str">
        <x:v>Source portal is identified, but edition/revision and property record locator remain unresolved.</x:v>
      </x:c>
    </x:row>
    <x:row r="990">
      <x:c r="A990" s="54" t="n">
        <x:v>3009</x:v>
      </x:c>
      <x:c r="B990" s="54" t="n">
        <x:v>3</x:v>
      </x:c>
      <x:c r="C990" s="54" t="n">
        <x:v>5</x:v>
      </x:c>
      <x:c r="D990" s="54" t="n">
        <x:v>1</x:v>
      </x:c>
      <x:c r="E990" s="103" t="str">
        <x:v>Formula-derived from E and Poisson ratio; input records inherit the material-row source</x:v>
      </x:c>
      <x:c r="F990" s="103" t="str">
        <x:v>Source portal is identified, but edition/revision and property record locator remain unresolved.</x:v>
      </x:c>
    </x:row>
    <x:row r="991">
      <x:c r="A991" s="54" t="n">
        <x:v>3009</x:v>
      </x:c>
      <x:c r="B991" s="54" t="n">
        <x:v>4</x:v>
      </x:c>
      <x:c r="C991" s="54" t="n">
        <x:v>5</x:v>
      </x:c>
      <x:c r="D991" s="54" t="n">
        <x:v>1</x:v>
      </x:c>
      <x:c r="E991" s="103" t="str">
        <x:v>Material-row source portal</x:v>
      </x:c>
      <x:c r="F991" s="103" t="str">
        <x:v>Source portal is identified, but edition/revision and property record locator remain unresolved.</x:v>
      </x:c>
    </x:row>
    <x:row r="992">
      <x:c r="A992" s="54" t="n">
        <x:v>3009</x:v>
      </x:c>
      <x:c r="B992" s="54" t="n">
        <x:v>5</x:v>
      </x:c>
      <x:c r="C992" s="54" t="n">
        <x:v>5</x:v>
      </x:c>
      <x:c r="D992" s="54" t="n">
        <x:v>1</x:v>
      </x:c>
      <x:c r="E992" s="103" t="str">
        <x:v>Material-row source portal</x:v>
      </x:c>
      <x:c r="F992" s="103" t="str">
        <x:v>Source portal is identified, but edition/revision and property record locator remain unresolved.</x:v>
      </x:c>
    </x:row>
    <x:row r="993">
      <x:c r="A993" s="54" t="n">
        <x:v>3009</x:v>
      </x:c>
      <x:c r="B993" s="54" t="n">
        <x:v>6</x:v>
      </x:c>
      <x:c r="C993" s="54" t="n">
        <x:v>5</x:v>
      </x:c>
      <x:c r="D993" s="54" t="n">
        <x:v>1</x:v>
      </x:c>
      <x:c r="E993" s="103" t="str">
        <x:v>Material-row source portal</x:v>
      </x:c>
      <x:c r="F993" s="103" t="str">
        <x:v>Source portal is identified, but edition/revision and property record locator remain unresolved.</x:v>
      </x:c>
    </x:row>
    <x:row r="994">
      <x:c r="A994" s="54" t="n">
        <x:v>3009</x:v>
      </x:c>
      <x:c r="B994" s="54" t="n">
        <x:v>7</x:v>
      </x:c>
      <x:c r="C994" s="54" t="n">
        <x:v>5</x:v>
      </x:c>
      <x:c r="D994" s="54" t="n">
        <x:v>1</x:v>
      </x:c>
      <x:c r="E994" s="103" t="str">
        <x:v>Material-row source portal</x:v>
      </x:c>
      <x:c r="F994" s="103" t="str">
        <x:v>Source portal is identified, but edition/revision and property record locator remain unresolved.</x:v>
      </x:c>
    </x:row>
    <x:row r="995">
      <x:c r="A995" s="54" t="n">
        <x:v>3009</x:v>
      </x:c>
      <x:c r="B995" s="54" t="n">
        <x:v>8</x:v>
      </x:c>
      <x:c r="C995" s="54" t="n">
        <x:v>5</x:v>
      </x:c>
      <x:c r="D995" s="54" t="n">
        <x:v>1</x:v>
      </x:c>
      <x:c r="E995" s="103" t="str">
        <x:v>Material-row source portal</x:v>
      </x:c>
      <x:c r="F995" s="103" t="str">
        <x:v>Source portal is identified, but edition/revision and property record locator remain unresolved.</x:v>
      </x:c>
    </x:row>
    <x:row r="996">
      <x:c r="A996" s="54" t="n">
        <x:v>3009</x:v>
      </x:c>
      <x:c r="B996" s="54" t="n">
        <x:v>9</x:v>
      </x:c>
      <x:c r="C996" s="54" t="n">
        <x:v>5</x:v>
      </x:c>
      <x:c r="D996" s="54" t="n">
        <x:v>1</x:v>
      </x:c>
      <x:c r="E996" s="103" t="str">
        <x:v>Material-row source portal</x:v>
      </x:c>
      <x:c r="F996" s="103" t="str">
        <x:v>Source portal is identified, but edition/revision and property record locator remain unresolved.</x:v>
      </x:c>
    </x:row>
    <x:row r="997">
      <x:c r="A997" s="54" t="n">
        <x:v>3009</x:v>
      </x:c>
      <x:c r="B997" s="54" t="n">
        <x:v>10</x:v>
      </x:c>
      <x:c r="C997" s="54" t="n">
        <x:v>5</x:v>
      </x:c>
      <x:c r="D997" s="54" t="n">
        <x:v>1</x:v>
      </x:c>
      <x:c r="E997" s="103" t="str">
        <x:v>Material-row source portal</x:v>
      </x:c>
      <x:c r="F997" s="103" t="str">
        <x:v>Source portal is identified, but edition/revision and property record locator remain unresolved.</x:v>
      </x:c>
    </x:row>
    <x:row r="998">
      <x:c r="A998" s="54" t="n">
        <x:v>3009</x:v>
      </x:c>
      <x:c r="B998" s="54" t="n">
        <x:v>11</x:v>
      </x:c>
      <x:c r="C998" s="54" t="n">
        <x:v>5</x:v>
      </x:c>
      <x:c r="D998" s="54" t="n">
        <x:v>1</x:v>
      </x:c>
      <x:c r="E998" s="103" t="str">
        <x:v>Material-row source portal</x:v>
      </x:c>
      <x:c r="F998" s="103" t="str">
        <x:v>Source portal is identified, but edition/revision and property record locator remain unresolved.</x:v>
      </x:c>
    </x:row>
    <x:row r="999">
      <x:c r="A999" s="54" t="n">
        <x:v>3009</x:v>
      </x:c>
      <x:c r="B999" s="54" t="n">
        <x:v>12</x:v>
      </x:c>
      <x:c r="C999" s="54" t="n">
        <x:v>5</x:v>
      </x:c>
      <x:c r="D999" s="54" t="n">
        <x:v>1</x:v>
      </x:c>
      <x:c r="E999" s="103" t="str">
        <x:v>Material-row source portal</x:v>
      </x:c>
      <x:c r="F999" s="103" t="str">
        <x:v>Source portal is identified, but edition/revision and property record locator remain unresolved.</x:v>
      </x:c>
    </x:row>
    <x:row r="1000">
      <x:c r="A1000" s="54" t="n">
        <x:v>3009</x:v>
      </x:c>
      <x:c r="B1000" s="54" t="n">
        <x:v>13</x:v>
      </x:c>
      <x:c r="C1000" s="54" t="n">
        <x:v>5</x:v>
      </x:c>
      <x:c r="D1000" s="54" t="n">
        <x:v>1</x:v>
      </x:c>
      <x:c r="E1000" s="103" t="str">
        <x:v>Material-row source portal</x:v>
      </x:c>
      <x:c r="F1000" s="103" t="str">
        <x:v>Source portal is identified, but edition/revision and property record locator remain unresolved.</x:v>
      </x:c>
    </x:row>
    <x:row r="1001">
      <x:c r="A1001" s="54" t="n">
        <x:v>3009</x:v>
      </x:c>
      <x:c r="B1001" s="54" t="n">
        <x:v>14</x:v>
      </x:c>
      <x:c r="C1001" s="54" t="n">
        <x:v>5</x:v>
      </x:c>
      <x:c r="D1001" s="54" t="n">
        <x:v>1</x:v>
      </x:c>
      <x:c r="E1001" s="103" t="str">
        <x:v>Material-row source portal</x:v>
      </x:c>
      <x:c r="F1001" s="103" t="str">
        <x:v>Source portal is identified, but edition/revision and property record locator remain unresolved.</x:v>
      </x:c>
    </x:row>
    <x:row r="1002">
      <x:c r="A1002" s="54" t="n">
        <x:v>3009</x:v>
      </x:c>
      <x:c r="B1002" s="54" t="n">
        <x:v>15</x:v>
      </x:c>
      <x:c r="C1002" s="54" t="n">
        <x:v>5</x:v>
      </x:c>
      <x:c r="D1002" s="54" t="n">
        <x:v>1</x:v>
      </x:c>
      <x:c r="E1002" s="103" t="str">
        <x:v>Material-row source portal</x:v>
      </x:c>
      <x:c r="F1002" s="103" t="str">
        <x:v>Source portal is identified, but edition/revision and property record locator remain unresolved.</x:v>
      </x:c>
    </x:row>
    <x:row r="1003">
      <x:c r="A1003" s="54" t="n">
        <x:v>3009</x:v>
      </x:c>
      <x:c r="B1003" s="54" t="n">
        <x:v>16</x:v>
      </x:c>
      <x:c r="C1003" s="54" t="n">
        <x:v>5</x:v>
      </x:c>
      <x:c r="D1003" s="54" t="n">
        <x:v>1</x:v>
      </x:c>
      <x:c r="E1003" s="103" t="str">
        <x:v>Material-row source portal</x:v>
      </x:c>
      <x:c r="F1003" s="103" t="str">
        <x:v>Source portal is identified, but edition/revision and property record locator remain unresolved.</x:v>
      </x:c>
    </x:row>
    <x:row r="1004">
      <x:c r="A1004" s="54" t="n">
        <x:v>3009</x:v>
      </x:c>
      <x:c r="B1004" s="54" t="n">
        <x:v>18</x:v>
      </x:c>
      <x:c r="C1004" s="54" t="n">
        <x:v>5</x:v>
      </x:c>
      <x:c r="D1004" s="54" t="n">
        <x:v>1</x:v>
      </x:c>
      <x:c r="E1004" s="103" t="str">
        <x:v>Formula-derived from E and Poisson ratio; input records inherit the material-row source</x:v>
      </x:c>
      <x:c r="F1004" s="103" t="str">
        <x:v>Source portal is identified, but edition/revision and property record locator remain unresolved.</x:v>
      </x:c>
    </x:row>
    <x:row r="1005">
      <x:c r="A1005" s="54" t="n">
        <x:v>3010</x:v>
      </x:c>
      <x:c r="B1005" s="54" t="n">
        <x:v>1</x:v>
      </x:c>
      <x:c r="C1005" s="54" t="n">
        <x:v>5</x:v>
      </x:c>
      <x:c r="D1005" s="54" t="n">
        <x:v>1</x:v>
      </x:c>
      <x:c r="E1005" s="103" t="str">
        <x:v>Material-row source portal</x:v>
      </x:c>
      <x:c r="F1005" s="103" t="str">
        <x:v>Source portal is identified, but edition/revision and property record locator remain unresolved.</x:v>
      </x:c>
    </x:row>
    <x:row r="1006">
      <x:c r="A1006" s="54" t="n">
        <x:v>3010</x:v>
      </x:c>
      <x:c r="B1006" s="54" t="n">
        <x:v>2</x:v>
      </x:c>
      <x:c r="C1006" s="54" t="n">
        <x:v>5</x:v>
      </x:c>
      <x:c r="D1006" s="54" t="n">
        <x:v>1</x:v>
      </x:c>
      <x:c r="E1006" s="103" t="str">
        <x:v>Material-row source portal</x:v>
      </x:c>
      <x:c r="F1006" s="103" t="str">
        <x:v>Source portal is identified, but edition/revision and property record locator remain unresolved.</x:v>
      </x:c>
    </x:row>
    <x:row r="1007">
      <x:c r="A1007" s="54" t="n">
        <x:v>3010</x:v>
      </x:c>
      <x:c r="B1007" s="54" t="n">
        <x:v>3</x:v>
      </x:c>
      <x:c r="C1007" s="54" t="n">
        <x:v>5</x:v>
      </x:c>
      <x:c r="D1007" s="54" t="n">
        <x:v>1</x:v>
      </x:c>
      <x:c r="E1007" s="103" t="str">
        <x:v>Formula-derived from E and Poisson ratio; input records inherit the material-row source</x:v>
      </x:c>
      <x:c r="F1007" s="103" t="str">
        <x:v>Source portal is identified, but edition/revision and property record locator remain unresolved.</x:v>
      </x:c>
    </x:row>
    <x:row r="1008">
      <x:c r="A1008" s="54" t="n">
        <x:v>3010</x:v>
      </x:c>
      <x:c r="B1008" s="54" t="n">
        <x:v>4</x:v>
      </x:c>
      <x:c r="C1008" s="54" t="n">
        <x:v>5</x:v>
      </x:c>
      <x:c r="D1008" s="54" t="n">
        <x:v>1</x:v>
      </x:c>
      <x:c r="E1008" s="103" t="str">
        <x:v>Material-row source portal</x:v>
      </x:c>
      <x:c r="F1008" s="103" t="str">
        <x:v>Source portal is identified, but edition/revision and property record locator remain unresolved.</x:v>
      </x:c>
    </x:row>
    <x:row r="1009">
      <x:c r="A1009" s="54" t="n">
        <x:v>3010</x:v>
      </x:c>
      <x:c r="B1009" s="54" t="n">
        <x:v>5</x:v>
      </x:c>
      <x:c r="C1009" s="54" t="n">
        <x:v>5</x:v>
      </x:c>
      <x:c r="D1009" s="54" t="n">
        <x:v>1</x:v>
      </x:c>
      <x:c r="E1009" s="103" t="str">
        <x:v>Material-row source portal</x:v>
      </x:c>
      <x:c r="F1009" s="103" t="str">
        <x:v>Source portal is identified, but edition/revision and property record locator remain unresolved.</x:v>
      </x:c>
    </x:row>
    <x:row r="1010">
      <x:c r="A1010" s="54" t="n">
        <x:v>3010</x:v>
      </x:c>
      <x:c r="B1010" s="54" t="n">
        <x:v>6</x:v>
      </x:c>
      <x:c r="C1010" s="54" t="n">
        <x:v>5</x:v>
      </x:c>
      <x:c r="D1010" s="54" t="n">
        <x:v>1</x:v>
      </x:c>
      <x:c r="E1010" s="103" t="str">
        <x:v>Material-row source portal</x:v>
      </x:c>
      <x:c r="F1010" s="103" t="str">
        <x:v>Source portal is identified, but edition/revision and property record locator remain unresolved.</x:v>
      </x:c>
    </x:row>
    <x:row r="1011">
      <x:c r="A1011" s="54" t="n">
        <x:v>3010</x:v>
      </x:c>
      <x:c r="B1011" s="54" t="n">
        <x:v>7</x:v>
      </x:c>
      <x:c r="C1011" s="54" t="n">
        <x:v>5</x:v>
      </x:c>
      <x:c r="D1011" s="54" t="n">
        <x:v>1</x:v>
      </x:c>
      <x:c r="E1011" s="103" t="str">
        <x:v>Material-row source portal</x:v>
      </x:c>
      <x:c r="F1011" s="103" t="str">
        <x:v>Source portal is identified, but edition/revision and property record locator remain unresolved.</x:v>
      </x:c>
    </x:row>
    <x:row r="1012">
      <x:c r="A1012" s="54" t="n">
        <x:v>3010</x:v>
      </x:c>
      <x:c r="B1012" s="54" t="n">
        <x:v>8</x:v>
      </x:c>
      <x:c r="C1012" s="54" t="n">
        <x:v>5</x:v>
      </x:c>
      <x:c r="D1012" s="54" t="n">
        <x:v>1</x:v>
      </x:c>
      <x:c r="E1012" s="103" t="str">
        <x:v>Material-row source portal</x:v>
      </x:c>
      <x:c r="F1012" s="103" t="str">
        <x:v>Source portal is identified, but edition/revision and property record locator remain unresolved.</x:v>
      </x:c>
    </x:row>
    <x:row r="1013">
      <x:c r="A1013" s="54" t="n">
        <x:v>3010</x:v>
      </x:c>
      <x:c r="B1013" s="54" t="n">
        <x:v>9</x:v>
      </x:c>
      <x:c r="C1013" s="54" t="n">
        <x:v>5</x:v>
      </x:c>
      <x:c r="D1013" s="54" t="n">
        <x:v>1</x:v>
      </x:c>
      <x:c r="E1013" s="103" t="str">
        <x:v>Material-row source portal</x:v>
      </x:c>
      <x:c r="F1013" s="103" t="str">
        <x:v>Source portal is identified, but edition/revision and property record locator remain unresolved.</x:v>
      </x:c>
    </x:row>
    <x:row r="1014">
      <x:c r="A1014" s="54" t="n">
        <x:v>3010</x:v>
      </x:c>
      <x:c r="B1014" s="54" t="n">
        <x:v>10</x:v>
      </x:c>
      <x:c r="C1014" s="54" t="n">
        <x:v>5</x:v>
      </x:c>
      <x:c r="D1014" s="54" t="n">
        <x:v>1</x:v>
      </x:c>
      <x:c r="E1014" s="103" t="str">
        <x:v>Material-row source portal</x:v>
      </x:c>
      <x:c r="F1014" s="103" t="str">
        <x:v>Source portal is identified, but edition/revision and property record locator remain unresolved.</x:v>
      </x:c>
    </x:row>
    <x:row r="1015">
      <x:c r="A1015" s="54" t="n">
        <x:v>3010</x:v>
      </x:c>
      <x:c r="B1015" s="54" t="n">
        <x:v>11</x:v>
      </x:c>
      <x:c r="C1015" s="54" t="n">
        <x:v>5</x:v>
      </x:c>
      <x:c r="D1015" s="54" t="n">
        <x:v>1</x:v>
      </x:c>
      <x:c r="E1015" s="103" t="str">
        <x:v>Material-row source portal</x:v>
      </x:c>
      <x:c r="F1015" s="103" t="str">
        <x:v>Source portal is identified, but edition/revision and property record locator remain unresolved.</x:v>
      </x:c>
    </x:row>
    <x:row r="1016">
      <x:c r="A1016" s="54" t="n">
        <x:v>3010</x:v>
      </x:c>
      <x:c r="B1016" s="54" t="n">
        <x:v>12</x:v>
      </x:c>
      <x:c r="C1016" s="54" t="n">
        <x:v>5</x:v>
      </x:c>
      <x:c r="D1016" s="54" t="n">
        <x:v>1</x:v>
      </x:c>
      <x:c r="E1016" s="103" t="str">
        <x:v>Material-row source portal</x:v>
      </x:c>
      <x:c r="F1016" s="103" t="str">
        <x:v>Source portal is identified, but edition/revision and property record locator remain unresolved.</x:v>
      </x:c>
    </x:row>
    <x:row r="1017">
      <x:c r="A1017" s="54" t="n">
        <x:v>3010</x:v>
      </x:c>
      <x:c r="B1017" s="54" t="n">
        <x:v>13</x:v>
      </x:c>
      <x:c r="C1017" s="54" t="n">
        <x:v>5</x:v>
      </x:c>
      <x:c r="D1017" s="54" t="n">
        <x:v>1</x:v>
      </x:c>
      <x:c r="E1017" s="103" t="str">
        <x:v>Material-row source portal</x:v>
      </x:c>
      <x:c r="F1017" s="103" t="str">
        <x:v>Source portal is identified, but edition/revision and property record locator remain unresolved.</x:v>
      </x:c>
    </x:row>
    <x:row r="1018">
      <x:c r="A1018" s="54" t="n">
        <x:v>3010</x:v>
      </x:c>
      <x:c r="B1018" s="54" t="n">
        <x:v>14</x:v>
      </x:c>
      <x:c r="C1018" s="54" t="n">
        <x:v>5</x:v>
      </x:c>
      <x:c r="D1018" s="54" t="n">
        <x:v>1</x:v>
      </x:c>
      <x:c r="E1018" s="103" t="str">
        <x:v>Material-row source portal</x:v>
      </x:c>
      <x:c r="F1018" s="103" t="str">
        <x:v>Source portal is identified, but edition/revision and property record locator remain unresolved.</x:v>
      </x:c>
    </x:row>
    <x:row r="1019">
      <x:c r="A1019" s="54" t="n">
        <x:v>3010</x:v>
      </x:c>
      <x:c r="B1019" s="54" t="n">
        <x:v>15</x:v>
      </x:c>
      <x:c r="C1019" s="54" t="n">
        <x:v>5</x:v>
      </x:c>
      <x:c r="D1019" s="54" t="n">
        <x:v>1</x:v>
      </x:c>
      <x:c r="E1019" s="103" t="str">
        <x:v>Material-row source portal</x:v>
      </x:c>
      <x:c r="F1019" s="103" t="str">
        <x:v>Source portal is identified, but edition/revision and property record locator remain unresolved.</x:v>
      </x:c>
    </x:row>
    <x:row r="1020">
      <x:c r="A1020" s="54" t="n">
        <x:v>3010</x:v>
      </x:c>
      <x:c r="B1020" s="54" t="n">
        <x:v>16</x:v>
      </x:c>
      <x:c r="C1020" s="54" t="n">
        <x:v>5</x:v>
      </x:c>
      <x:c r="D1020" s="54" t="n">
        <x:v>1</x:v>
      </x:c>
      <x:c r="E1020" s="103" t="str">
        <x:v>Material-row source portal</x:v>
      </x:c>
      <x:c r="F1020" s="103" t="str">
        <x:v>Source portal is identified, but edition/revision and property record locator remain unresolved.</x:v>
      </x:c>
    </x:row>
    <x:row r="1021">
      <x:c r="A1021" s="54" t="n">
        <x:v>3010</x:v>
      </x:c>
      <x:c r="B1021" s="54" t="n">
        <x:v>18</x:v>
      </x:c>
      <x:c r="C1021" s="54" t="n">
        <x:v>5</x:v>
      </x:c>
      <x:c r="D1021" s="54" t="n">
        <x:v>1</x:v>
      </x:c>
      <x:c r="E1021" s="103" t="str">
        <x:v>Formula-derived from E and Poisson ratio; input records inherit the material-row source</x:v>
      </x:c>
      <x:c r="F1021" s="103" t="str">
        <x:v>Source portal is identified, but edition/revision and property record locator remain unresolved.</x:v>
      </x:c>
    </x:row>
    <x:row r="1022">
      <x:c r="A1022" s="54" t="n">
        <x:v>3011</x:v>
      </x:c>
      <x:c r="B1022" s="54" t="n">
        <x:v>1</x:v>
      </x:c>
      <x:c r="C1022" s="54" t="n">
        <x:v>5</x:v>
      </x:c>
      <x:c r="D1022" s="54" t="n">
        <x:v>1</x:v>
      </x:c>
      <x:c r="E1022" s="103" t="str">
        <x:v>Material-row source portal</x:v>
      </x:c>
      <x:c r="F1022" s="103" t="str">
        <x:v>Source portal is identified, but edition/revision and property record locator remain unresolved.</x:v>
      </x:c>
    </x:row>
    <x:row r="1023">
      <x:c r="A1023" s="54" t="n">
        <x:v>3011</x:v>
      </x:c>
      <x:c r="B1023" s="54" t="n">
        <x:v>2</x:v>
      </x:c>
      <x:c r="C1023" s="54" t="n">
        <x:v>5</x:v>
      </x:c>
      <x:c r="D1023" s="54" t="n">
        <x:v>1</x:v>
      </x:c>
      <x:c r="E1023" s="103" t="str">
        <x:v>Material-row source portal</x:v>
      </x:c>
      <x:c r="F1023" s="103" t="str">
        <x:v>Source portal is identified, but edition/revision and property record locator remain unresolved.</x:v>
      </x:c>
    </x:row>
    <x:row r="1024">
      <x:c r="A1024" s="54" t="n">
        <x:v>3011</x:v>
      </x:c>
      <x:c r="B1024" s="54" t="n">
        <x:v>3</x:v>
      </x:c>
      <x:c r="C1024" s="54" t="n">
        <x:v>5</x:v>
      </x:c>
      <x:c r="D1024" s="54" t="n">
        <x:v>1</x:v>
      </x:c>
      <x:c r="E1024" s="103" t="str">
        <x:v>Formula-derived from E and Poisson ratio; input records inherit the material-row source</x:v>
      </x:c>
      <x:c r="F1024" s="103" t="str">
        <x:v>Source portal is identified, but edition/revision and property record locator remain unresolved.</x:v>
      </x:c>
    </x:row>
    <x:row r="1025">
      <x:c r="A1025" s="54" t="n">
        <x:v>3011</x:v>
      </x:c>
      <x:c r="B1025" s="54" t="n">
        <x:v>4</x:v>
      </x:c>
      <x:c r="C1025" s="54" t="n">
        <x:v>5</x:v>
      </x:c>
      <x:c r="D1025" s="54" t="n">
        <x:v>1</x:v>
      </x:c>
      <x:c r="E1025" s="103" t="str">
        <x:v>Material-row source portal</x:v>
      </x:c>
      <x:c r="F1025" s="103" t="str">
        <x:v>Source portal is identified, but edition/revision and property record locator remain unresolved.</x:v>
      </x:c>
    </x:row>
    <x:row r="1026">
      <x:c r="A1026" s="54" t="n">
        <x:v>3011</x:v>
      </x:c>
      <x:c r="B1026" s="54" t="n">
        <x:v>5</x:v>
      </x:c>
      <x:c r="C1026" s="54" t="n">
        <x:v>5</x:v>
      </x:c>
      <x:c r="D1026" s="54" t="n">
        <x:v>1</x:v>
      </x:c>
      <x:c r="E1026" s="103" t="str">
        <x:v>Material-row source portal</x:v>
      </x:c>
      <x:c r="F1026" s="103" t="str">
        <x:v>Source portal is identified, but edition/revision and property record locator remain unresolved.</x:v>
      </x:c>
    </x:row>
    <x:row r="1027">
      <x:c r="A1027" s="54" t="n">
        <x:v>3011</x:v>
      </x:c>
      <x:c r="B1027" s="54" t="n">
        <x:v>6</x:v>
      </x:c>
      <x:c r="C1027" s="54" t="n">
        <x:v>5</x:v>
      </x:c>
      <x:c r="D1027" s="54" t="n">
        <x:v>1</x:v>
      </x:c>
      <x:c r="E1027" s="103" t="str">
        <x:v>Material-row source portal</x:v>
      </x:c>
      <x:c r="F1027" s="103" t="str">
        <x:v>Source portal is identified, but edition/revision and property record locator remain unresolved.</x:v>
      </x:c>
    </x:row>
    <x:row r="1028">
      <x:c r="A1028" s="54" t="n">
        <x:v>3011</x:v>
      </x:c>
      <x:c r="B1028" s="54" t="n">
        <x:v>7</x:v>
      </x:c>
      <x:c r="C1028" s="54" t="n">
        <x:v>5</x:v>
      </x:c>
      <x:c r="D1028" s="54" t="n">
        <x:v>1</x:v>
      </x:c>
      <x:c r="E1028" s="103" t="str">
        <x:v>Material-row source portal</x:v>
      </x:c>
      <x:c r="F1028" s="103" t="str">
        <x:v>Source portal is identified, but edition/revision and property record locator remain unresolved.</x:v>
      </x:c>
    </x:row>
    <x:row r="1029">
      <x:c r="A1029" s="54" t="n">
        <x:v>3011</x:v>
      </x:c>
      <x:c r="B1029" s="54" t="n">
        <x:v>8</x:v>
      </x:c>
      <x:c r="C1029" s="54" t="n">
        <x:v>5</x:v>
      </x:c>
      <x:c r="D1029" s="54" t="n">
        <x:v>1</x:v>
      </x:c>
      <x:c r="E1029" s="103" t="str">
        <x:v>Material-row source portal</x:v>
      </x:c>
      <x:c r="F1029" s="103" t="str">
        <x:v>Source portal is identified, but edition/revision and property record locator remain unresolved.</x:v>
      </x:c>
    </x:row>
    <x:row r="1030">
      <x:c r="A1030" s="54" t="n">
        <x:v>3011</x:v>
      </x:c>
      <x:c r="B1030" s="54" t="n">
        <x:v>9</x:v>
      </x:c>
      <x:c r="C1030" s="54" t="n">
        <x:v>5</x:v>
      </x:c>
      <x:c r="D1030" s="54" t="n">
        <x:v>1</x:v>
      </x:c>
      <x:c r="E1030" s="103" t="str">
        <x:v>Material-row source portal</x:v>
      </x:c>
      <x:c r="F1030" s="103" t="str">
        <x:v>Source portal is identified, but edition/revision and property record locator remain unresolved.</x:v>
      </x:c>
    </x:row>
    <x:row r="1031">
      <x:c r="A1031" s="54" t="n">
        <x:v>3011</x:v>
      </x:c>
      <x:c r="B1031" s="54" t="n">
        <x:v>10</x:v>
      </x:c>
      <x:c r="C1031" s="54" t="n">
        <x:v>5</x:v>
      </x:c>
      <x:c r="D1031" s="54" t="n">
        <x:v>1</x:v>
      </x:c>
      <x:c r="E1031" s="103" t="str">
        <x:v>Material-row source portal</x:v>
      </x:c>
      <x:c r="F1031" s="103" t="str">
        <x:v>Source portal is identified, but edition/revision and property record locator remain unresolved.</x:v>
      </x:c>
    </x:row>
    <x:row r="1032">
      <x:c r="A1032" s="54" t="n">
        <x:v>3011</x:v>
      </x:c>
      <x:c r="B1032" s="54" t="n">
        <x:v>11</x:v>
      </x:c>
      <x:c r="C1032" s="54" t="n">
        <x:v>5</x:v>
      </x:c>
      <x:c r="D1032" s="54" t="n">
        <x:v>1</x:v>
      </x:c>
      <x:c r="E1032" s="103" t="str">
        <x:v>Material-row source portal</x:v>
      </x:c>
      <x:c r="F1032" s="103" t="str">
        <x:v>Source portal is identified, but edition/revision and property record locator remain unresolved.</x:v>
      </x:c>
    </x:row>
    <x:row r="1033">
      <x:c r="A1033" s="54" t="n">
        <x:v>3011</x:v>
      </x:c>
      <x:c r="B1033" s="54" t="n">
        <x:v>12</x:v>
      </x:c>
      <x:c r="C1033" s="54" t="n">
        <x:v>5</x:v>
      </x:c>
      <x:c r="D1033" s="54" t="n">
        <x:v>1</x:v>
      </x:c>
      <x:c r="E1033" s="103" t="str">
        <x:v>Material-row source portal</x:v>
      </x:c>
      <x:c r="F1033" s="103" t="str">
        <x:v>Source portal is identified, but edition/revision and property record locator remain unresolved.</x:v>
      </x:c>
    </x:row>
    <x:row r="1034">
      <x:c r="A1034" s="54" t="n">
        <x:v>3011</x:v>
      </x:c>
      <x:c r="B1034" s="54" t="n">
        <x:v>13</x:v>
      </x:c>
      <x:c r="C1034" s="54" t="n">
        <x:v>5</x:v>
      </x:c>
      <x:c r="D1034" s="54" t="n">
        <x:v>1</x:v>
      </x:c>
      <x:c r="E1034" s="103" t="str">
        <x:v>Material-row source portal</x:v>
      </x:c>
      <x:c r="F1034" s="103" t="str">
        <x:v>Source portal is identified, but edition/revision and property record locator remain unresolved.</x:v>
      </x:c>
    </x:row>
    <x:row r="1035">
      <x:c r="A1035" s="54" t="n">
        <x:v>3011</x:v>
      </x:c>
      <x:c r="B1035" s="54" t="n">
        <x:v>14</x:v>
      </x:c>
      <x:c r="C1035" s="54" t="n">
        <x:v>5</x:v>
      </x:c>
      <x:c r="D1035" s="54" t="n">
        <x:v>1</x:v>
      </x:c>
      <x:c r="E1035" s="103" t="str">
        <x:v>Material-row source portal</x:v>
      </x:c>
      <x:c r="F1035" s="103" t="str">
        <x:v>Source portal is identified, but edition/revision and property record locator remain unresolved.</x:v>
      </x:c>
    </x:row>
    <x:row r="1036">
      <x:c r="A1036" s="54" t="n">
        <x:v>3011</x:v>
      </x:c>
      <x:c r="B1036" s="54" t="n">
        <x:v>15</x:v>
      </x:c>
      <x:c r="C1036" s="54" t="n">
        <x:v>5</x:v>
      </x:c>
      <x:c r="D1036" s="54" t="n">
        <x:v>1</x:v>
      </x:c>
      <x:c r="E1036" s="103" t="str">
        <x:v>Material-row source portal</x:v>
      </x:c>
      <x:c r="F1036" s="103" t="str">
        <x:v>Source portal is identified, but edition/revision and property record locator remain unresolved.</x:v>
      </x:c>
    </x:row>
    <x:row r="1037">
      <x:c r="A1037" s="54" t="n">
        <x:v>3011</x:v>
      </x:c>
      <x:c r="B1037" s="54" t="n">
        <x:v>16</x:v>
      </x:c>
      <x:c r="C1037" s="54" t="n">
        <x:v>5</x:v>
      </x:c>
      <x:c r="D1037" s="54" t="n">
        <x:v>1</x:v>
      </x:c>
      <x:c r="E1037" s="103" t="str">
        <x:v>Material-row source portal</x:v>
      </x:c>
      <x:c r="F1037" s="103" t="str">
        <x:v>Source portal is identified, but edition/revision and property record locator remain unresolved.</x:v>
      </x:c>
    </x:row>
    <x:row r="1038">
      <x:c r="A1038" s="54" t="n">
        <x:v>3011</x:v>
      </x:c>
      <x:c r="B1038" s="54" t="n">
        <x:v>18</x:v>
      </x:c>
      <x:c r="C1038" s="54" t="n">
        <x:v>5</x:v>
      </x:c>
      <x:c r="D1038" s="54" t="n">
        <x:v>1</x:v>
      </x:c>
      <x:c r="E1038" s="103" t="str">
        <x:v>Formula-derived from E and Poisson ratio; input records inherit the material-row source</x:v>
      </x:c>
      <x:c r="F1038" s="103" t="str">
        <x:v>Source portal is identified, but edition/revision and property record locator remain unresolved.</x:v>
      </x:c>
    </x:row>
    <x:row r="1039">
      <x:c r="A1039" s="54" t="n">
        <x:v>3012</x:v>
      </x:c>
      <x:c r="B1039" s="54" t="n">
        <x:v>1</x:v>
      </x:c>
      <x:c r="C1039" s="54" t="n">
        <x:v>5</x:v>
      </x:c>
      <x:c r="D1039" s="54" t="n">
        <x:v>1</x:v>
      </x:c>
      <x:c r="E1039" s="103" t="str">
        <x:v>Material-row source portal</x:v>
      </x:c>
      <x:c r="F1039" s="103" t="str">
        <x:v>Source portal is identified, but edition/revision and property record locator remain unresolved.</x:v>
      </x:c>
    </x:row>
    <x:row r="1040">
      <x:c r="A1040" s="54" t="n">
        <x:v>3012</x:v>
      </x:c>
      <x:c r="B1040" s="54" t="n">
        <x:v>2</x:v>
      </x:c>
      <x:c r="C1040" s="54" t="n">
        <x:v>5</x:v>
      </x:c>
      <x:c r="D1040" s="54" t="n">
        <x:v>1</x:v>
      </x:c>
      <x:c r="E1040" s="103" t="str">
        <x:v>Material-row source portal</x:v>
      </x:c>
      <x:c r="F1040" s="103" t="str">
        <x:v>Source portal is identified, but edition/revision and property record locator remain unresolved.</x:v>
      </x:c>
    </x:row>
    <x:row r="1041">
      <x:c r="A1041" s="54" t="n">
        <x:v>3012</x:v>
      </x:c>
      <x:c r="B1041" s="54" t="n">
        <x:v>3</x:v>
      </x:c>
      <x:c r="C1041" s="54" t="n">
        <x:v>5</x:v>
      </x:c>
      <x:c r="D1041" s="54" t="n">
        <x:v>1</x:v>
      </x:c>
      <x:c r="E1041" s="103" t="str">
        <x:v>Formula-derived from E and Poisson ratio; input records inherit the material-row source</x:v>
      </x:c>
      <x:c r="F1041" s="103" t="str">
        <x:v>Source portal is identified, but edition/revision and property record locator remain unresolved.</x:v>
      </x:c>
    </x:row>
    <x:row r="1042">
      <x:c r="A1042" s="54" t="n">
        <x:v>3012</x:v>
      </x:c>
      <x:c r="B1042" s="54" t="n">
        <x:v>4</x:v>
      </x:c>
      <x:c r="C1042" s="54" t="n">
        <x:v>5</x:v>
      </x:c>
      <x:c r="D1042" s="54" t="n">
        <x:v>1</x:v>
      </x:c>
      <x:c r="E1042" s="103" t="str">
        <x:v>Material-row source portal</x:v>
      </x:c>
      <x:c r="F1042" s="103" t="str">
        <x:v>Source portal is identified, but edition/revision and property record locator remain unresolved.</x:v>
      </x:c>
    </x:row>
    <x:row r="1043">
      <x:c r="A1043" s="54" t="n">
        <x:v>3012</x:v>
      </x:c>
      <x:c r="B1043" s="54" t="n">
        <x:v>5</x:v>
      </x:c>
      <x:c r="C1043" s="54" t="n">
        <x:v>5</x:v>
      </x:c>
      <x:c r="D1043" s="54" t="n">
        <x:v>1</x:v>
      </x:c>
      <x:c r="E1043" s="103" t="str">
        <x:v>Material-row source portal</x:v>
      </x:c>
      <x:c r="F1043" s="103" t="str">
        <x:v>Source portal is identified, but edition/revision and property record locator remain unresolved.</x:v>
      </x:c>
    </x:row>
    <x:row r="1044">
      <x:c r="A1044" s="54" t="n">
        <x:v>3012</x:v>
      </x:c>
      <x:c r="B1044" s="54" t="n">
        <x:v>6</x:v>
      </x:c>
      <x:c r="C1044" s="54" t="n">
        <x:v>5</x:v>
      </x:c>
      <x:c r="D1044" s="54" t="n">
        <x:v>1</x:v>
      </x:c>
      <x:c r="E1044" s="103" t="str">
        <x:v>Material-row source portal</x:v>
      </x:c>
      <x:c r="F1044" s="103" t="str">
        <x:v>Source portal is identified, but edition/revision and property record locator remain unresolved.</x:v>
      </x:c>
    </x:row>
    <x:row r="1045">
      <x:c r="A1045" s="54" t="n">
        <x:v>3012</x:v>
      </x:c>
      <x:c r="B1045" s="54" t="n">
        <x:v>7</x:v>
      </x:c>
      <x:c r="C1045" s="54" t="n">
        <x:v>5</x:v>
      </x:c>
      <x:c r="D1045" s="54" t="n">
        <x:v>1</x:v>
      </x:c>
      <x:c r="E1045" s="103" t="str">
        <x:v>Material-row source portal</x:v>
      </x:c>
      <x:c r="F1045" s="103" t="str">
        <x:v>Source portal is identified, but edition/revision and property record locator remain unresolved.</x:v>
      </x:c>
    </x:row>
    <x:row r="1046">
      <x:c r="A1046" s="54" t="n">
        <x:v>3012</x:v>
      </x:c>
      <x:c r="B1046" s="54" t="n">
        <x:v>8</x:v>
      </x:c>
      <x:c r="C1046" s="54" t="n">
        <x:v>5</x:v>
      </x:c>
      <x:c r="D1046" s="54" t="n">
        <x:v>1</x:v>
      </x:c>
      <x:c r="E1046" s="103" t="str">
        <x:v>Material-row source portal</x:v>
      </x:c>
      <x:c r="F1046" s="103" t="str">
        <x:v>Source portal is identified, but edition/revision and property record locator remain unresolved.</x:v>
      </x:c>
    </x:row>
    <x:row r="1047">
      <x:c r="A1047" s="54" t="n">
        <x:v>3012</x:v>
      </x:c>
      <x:c r="B1047" s="54" t="n">
        <x:v>9</x:v>
      </x:c>
      <x:c r="C1047" s="54" t="n">
        <x:v>5</x:v>
      </x:c>
      <x:c r="D1047" s="54" t="n">
        <x:v>1</x:v>
      </x:c>
      <x:c r="E1047" s="103" t="str">
        <x:v>Material-row source portal</x:v>
      </x:c>
      <x:c r="F1047" s="103" t="str">
        <x:v>Source portal is identified, but edition/revision and property record locator remain unresolved.</x:v>
      </x:c>
    </x:row>
    <x:row r="1048">
      <x:c r="A1048" s="54" t="n">
        <x:v>3012</x:v>
      </x:c>
      <x:c r="B1048" s="54" t="n">
        <x:v>10</x:v>
      </x:c>
      <x:c r="C1048" s="54" t="n">
        <x:v>5</x:v>
      </x:c>
      <x:c r="D1048" s="54" t="n">
        <x:v>1</x:v>
      </x:c>
      <x:c r="E1048" s="103" t="str">
        <x:v>Material-row source portal</x:v>
      </x:c>
      <x:c r="F1048" s="103" t="str">
        <x:v>Source portal is identified, but edition/revision and property record locator remain unresolved.</x:v>
      </x:c>
    </x:row>
    <x:row r="1049">
      <x:c r="A1049" s="54" t="n">
        <x:v>3012</x:v>
      </x:c>
      <x:c r="B1049" s="54" t="n">
        <x:v>11</x:v>
      </x:c>
      <x:c r="C1049" s="54" t="n">
        <x:v>5</x:v>
      </x:c>
      <x:c r="D1049" s="54" t="n">
        <x:v>1</x:v>
      </x:c>
      <x:c r="E1049" s="103" t="str">
        <x:v>Material-row source portal</x:v>
      </x:c>
      <x:c r="F1049" s="103" t="str">
        <x:v>Source portal is identified, but edition/revision and property record locator remain unresolved.</x:v>
      </x:c>
    </x:row>
    <x:row r="1050">
      <x:c r="A1050" s="54" t="n">
        <x:v>3012</x:v>
      </x:c>
      <x:c r="B1050" s="54" t="n">
        <x:v>12</x:v>
      </x:c>
      <x:c r="C1050" s="54" t="n">
        <x:v>5</x:v>
      </x:c>
      <x:c r="D1050" s="54" t="n">
        <x:v>1</x:v>
      </x:c>
      <x:c r="E1050" s="103" t="str">
        <x:v>Material-row source portal</x:v>
      </x:c>
      <x:c r="F1050" s="103" t="str">
        <x:v>Source portal is identified, but edition/revision and property record locator remain unresolved.</x:v>
      </x:c>
    </x:row>
    <x:row r="1051">
      <x:c r="A1051" s="54" t="n">
        <x:v>3012</x:v>
      </x:c>
      <x:c r="B1051" s="54" t="n">
        <x:v>13</x:v>
      </x:c>
      <x:c r="C1051" s="54" t="n">
        <x:v>5</x:v>
      </x:c>
      <x:c r="D1051" s="54" t="n">
        <x:v>1</x:v>
      </x:c>
      <x:c r="E1051" s="103" t="str">
        <x:v>Material-row source portal</x:v>
      </x:c>
      <x:c r="F1051" s="103" t="str">
        <x:v>Source portal is identified, but edition/revision and property record locator remain unresolved.</x:v>
      </x:c>
    </x:row>
    <x:row r="1052">
      <x:c r="A1052" s="54" t="n">
        <x:v>3012</x:v>
      </x:c>
      <x:c r="B1052" s="54" t="n">
        <x:v>14</x:v>
      </x:c>
      <x:c r="C1052" s="54" t="n">
        <x:v>5</x:v>
      </x:c>
      <x:c r="D1052" s="54" t="n">
        <x:v>1</x:v>
      </x:c>
      <x:c r="E1052" s="103" t="str">
        <x:v>Material-row source portal</x:v>
      </x:c>
      <x:c r="F1052" s="103" t="str">
        <x:v>Source portal is identified, but edition/revision and property record locator remain unresolved.</x:v>
      </x:c>
    </x:row>
    <x:row r="1053">
      <x:c r="A1053" s="54" t="n">
        <x:v>3012</x:v>
      </x:c>
      <x:c r="B1053" s="54" t="n">
        <x:v>15</x:v>
      </x:c>
      <x:c r="C1053" s="54" t="n">
        <x:v>5</x:v>
      </x:c>
      <x:c r="D1053" s="54" t="n">
        <x:v>1</x:v>
      </x:c>
      <x:c r="E1053" s="103" t="str">
        <x:v>Material-row source portal</x:v>
      </x:c>
      <x:c r="F1053" s="103" t="str">
        <x:v>Source portal is identified, but edition/revision and property record locator remain unresolved.</x:v>
      </x:c>
    </x:row>
    <x:row r="1054">
      <x:c r="A1054" s="54" t="n">
        <x:v>3012</x:v>
      </x:c>
      <x:c r="B1054" s="54" t="n">
        <x:v>16</x:v>
      </x:c>
      <x:c r="C1054" s="54" t="n">
        <x:v>5</x:v>
      </x:c>
      <x:c r="D1054" s="54" t="n">
        <x:v>1</x:v>
      </x:c>
      <x:c r="E1054" s="103" t="str">
        <x:v>Material-row source portal</x:v>
      </x:c>
      <x:c r="F1054" s="103" t="str">
        <x:v>Source portal is identified, but edition/revision and property record locator remain unresolved.</x:v>
      </x:c>
    </x:row>
    <x:row r="1055">
      <x:c r="A1055" s="54" t="n">
        <x:v>3012</x:v>
      </x:c>
      <x:c r="B1055" s="54" t="n">
        <x:v>18</x:v>
      </x:c>
      <x:c r="C1055" s="54" t="n">
        <x:v>5</x:v>
      </x:c>
      <x:c r="D1055" s="54" t="n">
        <x:v>1</x:v>
      </x:c>
      <x:c r="E1055" s="103" t="str">
        <x:v>Formula-derived from E and Poisson ratio; input records inherit the material-row source</x:v>
      </x:c>
      <x:c r="F1055" s="103" t="str">
        <x:v>Source portal is identified, but edition/revision and property record locator remain unresolved.</x:v>
      </x:c>
    </x:row>
    <x:row r="1056">
      <x:c r="A1056" s="54" t="n">
        <x:v>3013</x:v>
      </x:c>
      <x:c r="B1056" s="54" t="n">
        <x:v>1</x:v>
      </x:c>
      <x:c r="C1056" s="54" t="n">
        <x:v>5</x:v>
      </x:c>
      <x:c r="D1056" s="54" t="n">
        <x:v>1</x:v>
      </x:c>
      <x:c r="E1056" s="103" t="str">
        <x:v>Material-row source portal</x:v>
      </x:c>
      <x:c r="F1056" s="103" t="str">
        <x:v>Source portal is identified, but edition/revision and property record locator remain unresolved.</x:v>
      </x:c>
    </x:row>
    <x:row r="1057">
      <x:c r="A1057" s="54" t="n">
        <x:v>3013</x:v>
      </x:c>
      <x:c r="B1057" s="54" t="n">
        <x:v>2</x:v>
      </x:c>
      <x:c r="C1057" s="54" t="n">
        <x:v>5</x:v>
      </x:c>
      <x:c r="D1057" s="54" t="n">
        <x:v>1</x:v>
      </x:c>
      <x:c r="E1057" s="103" t="str">
        <x:v>Material-row source portal</x:v>
      </x:c>
      <x:c r="F1057" s="103" t="str">
        <x:v>Source portal is identified, but edition/revision and property record locator remain unresolved.</x:v>
      </x:c>
    </x:row>
    <x:row r="1058">
      <x:c r="A1058" s="54" t="n">
        <x:v>3013</x:v>
      </x:c>
      <x:c r="B1058" s="54" t="n">
        <x:v>3</x:v>
      </x:c>
      <x:c r="C1058" s="54" t="n">
        <x:v>5</x:v>
      </x:c>
      <x:c r="D1058" s="54" t="n">
        <x:v>1</x:v>
      </x:c>
      <x:c r="E1058" s="103" t="str">
        <x:v>Formula-derived from E and Poisson ratio; input records inherit the material-row source</x:v>
      </x:c>
      <x:c r="F1058" s="103" t="str">
        <x:v>Source portal is identified, but edition/revision and property record locator remain unresolved.</x:v>
      </x:c>
    </x:row>
    <x:row r="1059">
      <x:c r="A1059" s="54" t="n">
        <x:v>3013</x:v>
      </x:c>
      <x:c r="B1059" s="54" t="n">
        <x:v>4</x:v>
      </x:c>
      <x:c r="C1059" s="54" t="n">
        <x:v>5</x:v>
      </x:c>
      <x:c r="D1059" s="54" t="n">
        <x:v>1</x:v>
      </x:c>
      <x:c r="E1059" s="103" t="str">
        <x:v>Material-row source portal</x:v>
      </x:c>
      <x:c r="F1059" s="103" t="str">
        <x:v>Source portal is identified, but edition/revision and property record locator remain unresolved.</x:v>
      </x:c>
    </x:row>
    <x:row r="1060">
      <x:c r="A1060" s="54" t="n">
        <x:v>3013</x:v>
      </x:c>
      <x:c r="B1060" s="54" t="n">
        <x:v>5</x:v>
      </x:c>
      <x:c r="C1060" s="54" t="n">
        <x:v>5</x:v>
      </x:c>
      <x:c r="D1060" s="54" t="n">
        <x:v>1</x:v>
      </x:c>
      <x:c r="E1060" s="103" t="str">
        <x:v>Material-row source portal</x:v>
      </x:c>
      <x:c r="F1060" s="103" t="str">
        <x:v>Source portal is identified, but edition/revision and property record locator remain unresolved.</x:v>
      </x:c>
    </x:row>
    <x:row r="1061">
      <x:c r="A1061" s="54" t="n">
        <x:v>3013</x:v>
      </x:c>
      <x:c r="B1061" s="54" t="n">
        <x:v>6</x:v>
      </x:c>
      <x:c r="C1061" s="54" t="n">
        <x:v>5</x:v>
      </x:c>
      <x:c r="D1061" s="54" t="n">
        <x:v>1</x:v>
      </x:c>
      <x:c r="E1061" s="103" t="str">
        <x:v>Material-row source portal</x:v>
      </x:c>
      <x:c r="F1061" s="103" t="str">
        <x:v>Source portal is identified, but edition/revision and property record locator remain unresolved.</x:v>
      </x:c>
    </x:row>
    <x:row r="1062">
      <x:c r="A1062" s="54" t="n">
        <x:v>3013</x:v>
      </x:c>
      <x:c r="B1062" s="54" t="n">
        <x:v>7</x:v>
      </x:c>
      <x:c r="C1062" s="54" t="n">
        <x:v>5</x:v>
      </x:c>
      <x:c r="D1062" s="54" t="n">
        <x:v>1</x:v>
      </x:c>
      <x:c r="E1062" s="103" t="str">
        <x:v>Material-row source portal</x:v>
      </x:c>
      <x:c r="F1062" s="103" t="str">
        <x:v>Source portal is identified, but edition/revision and property record locator remain unresolved.</x:v>
      </x:c>
    </x:row>
    <x:row r="1063">
      <x:c r="A1063" s="54" t="n">
        <x:v>3013</x:v>
      </x:c>
      <x:c r="B1063" s="54" t="n">
        <x:v>8</x:v>
      </x:c>
      <x:c r="C1063" s="54" t="n">
        <x:v>5</x:v>
      </x:c>
      <x:c r="D1063" s="54" t="n">
        <x:v>1</x:v>
      </x:c>
      <x:c r="E1063" s="103" t="str">
        <x:v>Material-row source portal</x:v>
      </x:c>
      <x:c r="F1063" s="103" t="str">
        <x:v>Source portal is identified, but edition/revision and property record locator remain unresolved.</x:v>
      </x:c>
    </x:row>
    <x:row r="1064">
      <x:c r="A1064" s="54" t="n">
        <x:v>3013</x:v>
      </x:c>
      <x:c r="B1064" s="54" t="n">
        <x:v>9</x:v>
      </x:c>
      <x:c r="C1064" s="54" t="n">
        <x:v>5</x:v>
      </x:c>
      <x:c r="D1064" s="54" t="n">
        <x:v>1</x:v>
      </x:c>
      <x:c r="E1064" s="103" t="str">
        <x:v>Material-row source portal</x:v>
      </x:c>
      <x:c r="F1064" s="103" t="str">
        <x:v>Source portal is identified, but edition/revision and property record locator remain unresolved.</x:v>
      </x:c>
    </x:row>
    <x:row r="1065">
      <x:c r="A1065" s="54" t="n">
        <x:v>3013</x:v>
      </x:c>
      <x:c r="B1065" s="54" t="n">
        <x:v>10</x:v>
      </x:c>
      <x:c r="C1065" s="54" t="n">
        <x:v>5</x:v>
      </x:c>
      <x:c r="D1065" s="54" t="n">
        <x:v>1</x:v>
      </x:c>
      <x:c r="E1065" s="103" t="str">
        <x:v>Material-row source portal</x:v>
      </x:c>
      <x:c r="F1065" s="103" t="str">
        <x:v>Source portal is identified, but edition/revision and property record locator remain unresolved.</x:v>
      </x:c>
    </x:row>
    <x:row r="1066">
      <x:c r="A1066" s="54" t="n">
        <x:v>3013</x:v>
      </x:c>
      <x:c r="B1066" s="54" t="n">
        <x:v>11</x:v>
      </x:c>
      <x:c r="C1066" s="54" t="n">
        <x:v>5</x:v>
      </x:c>
      <x:c r="D1066" s="54" t="n">
        <x:v>1</x:v>
      </x:c>
      <x:c r="E1066" s="103" t="str">
        <x:v>Material-row source portal</x:v>
      </x:c>
      <x:c r="F1066" s="103" t="str">
        <x:v>Source portal is identified, but edition/revision and property record locator remain unresolved.</x:v>
      </x:c>
    </x:row>
    <x:row r="1067">
      <x:c r="A1067" s="54" t="n">
        <x:v>3013</x:v>
      </x:c>
      <x:c r="B1067" s="54" t="n">
        <x:v>12</x:v>
      </x:c>
      <x:c r="C1067" s="54" t="n">
        <x:v>5</x:v>
      </x:c>
      <x:c r="D1067" s="54" t="n">
        <x:v>1</x:v>
      </x:c>
      <x:c r="E1067" s="103" t="str">
        <x:v>Material-row source portal</x:v>
      </x:c>
      <x:c r="F1067" s="103" t="str">
        <x:v>Source portal is identified, but edition/revision and property record locator remain unresolved.</x:v>
      </x:c>
    </x:row>
    <x:row r="1068">
      <x:c r="A1068" s="54" t="n">
        <x:v>3013</x:v>
      </x:c>
      <x:c r="B1068" s="54" t="n">
        <x:v>13</x:v>
      </x:c>
      <x:c r="C1068" s="54" t="n">
        <x:v>5</x:v>
      </x:c>
      <x:c r="D1068" s="54" t="n">
        <x:v>1</x:v>
      </x:c>
      <x:c r="E1068" s="103" t="str">
        <x:v>Material-row source portal</x:v>
      </x:c>
      <x:c r="F1068" s="103" t="str">
        <x:v>Source portal is identified, but edition/revision and property record locator remain unresolved.</x:v>
      </x:c>
    </x:row>
    <x:row r="1069">
      <x:c r="A1069" s="54" t="n">
        <x:v>3013</x:v>
      </x:c>
      <x:c r="B1069" s="54" t="n">
        <x:v>14</x:v>
      </x:c>
      <x:c r="C1069" s="54" t="n">
        <x:v>5</x:v>
      </x:c>
      <x:c r="D1069" s="54" t="n">
        <x:v>1</x:v>
      </x:c>
      <x:c r="E1069" s="103" t="str">
        <x:v>Material-row source portal</x:v>
      </x:c>
      <x:c r="F1069" s="103" t="str">
        <x:v>Source portal is identified, but edition/revision and property record locator remain unresolved.</x:v>
      </x:c>
    </x:row>
    <x:row r="1070">
      <x:c r="A1070" s="54" t="n">
        <x:v>3013</x:v>
      </x:c>
      <x:c r="B1070" s="54" t="n">
        <x:v>15</x:v>
      </x:c>
      <x:c r="C1070" s="54" t="n">
        <x:v>5</x:v>
      </x:c>
      <x:c r="D1070" s="54" t="n">
        <x:v>1</x:v>
      </x:c>
      <x:c r="E1070" s="103" t="str">
        <x:v>Material-row source portal</x:v>
      </x:c>
      <x:c r="F1070" s="103" t="str">
        <x:v>Source portal is identified, but edition/revision and property record locator remain unresolved.</x:v>
      </x:c>
    </x:row>
    <x:row r="1071">
      <x:c r="A1071" s="54" t="n">
        <x:v>3013</x:v>
      </x:c>
      <x:c r="B1071" s="54" t="n">
        <x:v>16</x:v>
      </x:c>
      <x:c r="C1071" s="54" t="n">
        <x:v>5</x:v>
      </x:c>
      <x:c r="D1071" s="54" t="n">
        <x:v>1</x:v>
      </x:c>
      <x:c r="E1071" s="103" t="str">
        <x:v>Material-row source portal</x:v>
      </x:c>
      <x:c r="F1071" s="103" t="str">
        <x:v>Source portal is identified, but edition/revision and property record locator remain unresolved.</x:v>
      </x:c>
    </x:row>
    <x:row r="1072">
      <x:c r="A1072" s="54" t="n">
        <x:v>3013</x:v>
      </x:c>
      <x:c r="B1072" s="54" t="n">
        <x:v>18</x:v>
      </x:c>
      <x:c r="C1072" s="54" t="n">
        <x:v>5</x:v>
      </x:c>
      <x:c r="D1072" s="54" t="n">
        <x:v>1</x:v>
      </x:c>
      <x:c r="E1072" s="103" t="str">
        <x:v>Formula-derived from E and Poisson ratio; input records inherit the material-row source</x:v>
      </x:c>
      <x:c r="F1072" s="103" t="str">
        <x:v>Source portal is identified, but edition/revision and property record locator remain unresolved.</x:v>
      </x:c>
    </x:row>
    <x:row r="1073">
      <x:c r="A1073" s="54" t="n">
        <x:v>3014</x:v>
      </x:c>
      <x:c r="B1073" s="54" t="n">
        <x:v>1</x:v>
      </x:c>
      <x:c r="C1073" s="54" t="n">
        <x:v>5</x:v>
      </x:c>
      <x:c r="D1073" s="54" t="n">
        <x:v>1</x:v>
      </x:c>
      <x:c r="E1073" s="103" t="str">
        <x:v>Material-row source portal</x:v>
      </x:c>
      <x:c r="F1073" s="103" t="str">
        <x:v>Source portal is identified, but edition/revision and property record locator remain unresolved.</x:v>
      </x:c>
    </x:row>
    <x:row r="1074">
      <x:c r="A1074" s="54" t="n">
        <x:v>3014</x:v>
      </x:c>
      <x:c r="B1074" s="54" t="n">
        <x:v>2</x:v>
      </x:c>
      <x:c r="C1074" s="54" t="n">
        <x:v>5</x:v>
      </x:c>
      <x:c r="D1074" s="54" t="n">
        <x:v>1</x:v>
      </x:c>
      <x:c r="E1074" s="103" t="str">
        <x:v>Material-row source portal</x:v>
      </x:c>
      <x:c r="F1074" s="103" t="str">
        <x:v>Source portal is identified, but edition/revision and property record locator remain unresolved.</x:v>
      </x:c>
    </x:row>
    <x:row r="1075">
      <x:c r="A1075" s="54" t="n">
        <x:v>3014</x:v>
      </x:c>
      <x:c r="B1075" s="54" t="n">
        <x:v>3</x:v>
      </x:c>
      <x:c r="C1075" s="54" t="n">
        <x:v>5</x:v>
      </x:c>
      <x:c r="D1075" s="54" t="n">
        <x:v>1</x:v>
      </x:c>
      <x:c r="E1075" s="103" t="str">
        <x:v>Formula-derived from E and Poisson ratio; input records inherit the material-row source</x:v>
      </x:c>
      <x:c r="F1075" s="103" t="str">
        <x:v>Source portal is identified, but edition/revision and property record locator remain unresolved.</x:v>
      </x:c>
    </x:row>
    <x:row r="1076">
      <x:c r="A1076" s="54" t="n">
        <x:v>3014</x:v>
      </x:c>
      <x:c r="B1076" s="54" t="n">
        <x:v>4</x:v>
      </x:c>
      <x:c r="C1076" s="54" t="n">
        <x:v>5</x:v>
      </x:c>
      <x:c r="D1076" s="54" t="n">
        <x:v>1</x:v>
      </x:c>
      <x:c r="E1076" s="103" t="str">
        <x:v>Material-row source portal</x:v>
      </x:c>
      <x:c r="F1076" s="103" t="str">
        <x:v>Source portal is identified, but edition/revision and property record locator remain unresolved.</x:v>
      </x:c>
    </x:row>
    <x:row r="1077">
      <x:c r="A1077" s="54" t="n">
        <x:v>3014</x:v>
      </x:c>
      <x:c r="B1077" s="54" t="n">
        <x:v>5</x:v>
      </x:c>
      <x:c r="C1077" s="54" t="n">
        <x:v>5</x:v>
      </x:c>
      <x:c r="D1077" s="54" t="n">
        <x:v>1</x:v>
      </x:c>
      <x:c r="E1077" s="103" t="str">
        <x:v>Material-row source portal</x:v>
      </x:c>
      <x:c r="F1077" s="103" t="str">
        <x:v>Source portal is identified, but edition/revision and property record locator remain unresolved.</x:v>
      </x:c>
    </x:row>
    <x:row r="1078">
      <x:c r="A1078" s="54" t="n">
        <x:v>3014</x:v>
      </x:c>
      <x:c r="B1078" s="54" t="n">
        <x:v>6</x:v>
      </x:c>
      <x:c r="C1078" s="54" t="n">
        <x:v>5</x:v>
      </x:c>
      <x:c r="D1078" s="54" t="n">
        <x:v>1</x:v>
      </x:c>
      <x:c r="E1078" s="103" t="str">
        <x:v>Material-row source portal</x:v>
      </x:c>
      <x:c r="F1078" s="103" t="str">
        <x:v>Source portal is identified, but edition/revision and property record locator remain unresolved.</x:v>
      </x:c>
    </x:row>
    <x:row r="1079">
      <x:c r="A1079" s="54" t="n">
        <x:v>3014</x:v>
      </x:c>
      <x:c r="B1079" s="54" t="n">
        <x:v>7</x:v>
      </x:c>
      <x:c r="C1079" s="54" t="n">
        <x:v>5</x:v>
      </x:c>
      <x:c r="D1079" s="54" t="n">
        <x:v>1</x:v>
      </x:c>
      <x:c r="E1079" s="103" t="str">
        <x:v>Material-row source portal</x:v>
      </x:c>
      <x:c r="F1079" s="103" t="str">
        <x:v>Source portal is identified, but edition/revision and property record locator remain unresolved.</x:v>
      </x:c>
    </x:row>
    <x:row r="1080">
      <x:c r="A1080" s="54" t="n">
        <x:v>3014</x:v>
      </x:c>
      <x:c r="B1080" s="54" t="n">
        <x:v>8</x:v>
      </x:c>
      <x:c r="C1080" s="54" t="n">
        <x:v>5</x:v>
      </x:c>
      <x:c r="D1080" s="54" t="n">
        <x:v>1</x:v>
      </x:c>
      <x:c r="E1080" s="103" t="str">
        <x:v>Material-row source portal</x:v>
      </x:c>
      <x:c r="F1080" s="103" t="str">
        <x:v>Source portal is identified, but edition/revision and property record locator remain unresolved.</x:v>
      </x:c>
    </x:row>
    <x:row r="1081">
      <x:c r="A1081" s="54" t="n">
        <x:v>3014</x:v>
      </x:c>
      <x:c r="B1081" s="54" t="n">
        <x:v>9</x:v>
      </x:c>
      <x:c r="C1081" s="54" t="n">
        <x:v>5</x:v>
      </x:c>
      <x:c r="D1081" s="54" t="n">
        <x:v>1</x:v>
      </x:c>
      <x:c r="E1081" s="103" t="str">
        <x:v>Material-row source portal</x:v>
      </x:c>
      <x:c r="F1081" s="103" t="str">
        <x:v>Source portal is identified, but edition/revision and property record locator remain unresolved.</x:v>
      </x:c>
    </x:row>
    <x:row r="1082">
      <x:c r="A1082" s="54" t="n">
        <x:v>3014</x:v>
      </x:c>
      <x:c r="B1082" s="54" t="n">
        <x:v>10</x:v>
      </x:c>
      <x:c r="C1082" s="54" t="n">
        <x:v>5</x:v>
      </x:c>
      <x:c r="D1082" s="54" t="n">
        <x:v>1</x:v>
      </x:c>
      <x:c r="E1082" s="103" t="str">
        <x:v>Material-row source portal</x:v>
      </x:c>
      <x:c r="F1082" s="103" t="str">
        <x:v>Source portal is identified, but edition/revision and property record locator remain unresolved.</x:v>
      </x:c>
    </x:row>
    <x:row r="1083">
      <x:c r="A1083" s="54" t="n">
        <x:v>3014</x:v>
      </x:c>
      <x:c r="B1083" s="54" t="n">
        <x:v>11</x:v>
      </x:c>
      <x:c r="C1083" s="54" t="n">
        <x:v>5</x:v>
      </x:c>
      <x:c r="D1083" s="54" t="n">
        <x:v>1</x:v>
      </x:c>
      <x:c r="E1083" s="103" t="str">
        <x:v>Material-row source portal</x:v>
      </x:c>
      <x:c r="F1083" s="103" t="str">
        <x:v>Source portal is identified, but edition/revision and property record locator remain unresolved.</x:v>
      </x:c>
    </x:row>
    <x:row r="1084">
      <x:c r="A1084" s="54" t="n">
        <x:v>3014</x:v>
      </x:c>
      <x:c r="B1084" s="54" t="n">
        <x:v>12</x:v>
      </x:c>
      <x:c r="C1084" s="54" t="n">
        <x:v>5</x:v>
      </x:c>
      <x:c r="D1084" s="54" t="n">
        <x:v>1</x:v>
      </x:c>
      <x:c r="E1084" s="103" t="str">
        <x:v>Material-row source portal</x:v>
      </x:c>
      <x:c r="F1084" s="103" t="str">
        <x:v>Source portal is identified, but edition/revision and property record locator remain unresolved.</x:v>
      </x:c>
    </x:row>
    <x:row r="1085">
      <x:c r="A1085" s="54" t="n">
        <x:v>3014</x:v>
      </x:c>
      <x:c r="B1085" s="54" t="n">
        <x:v>13</x:v>
      </x:c>
      <x:c r="C1085" s="54" t="n">
        <x:v>5</x:v>
      </x:c>
      <x:c r="D1085" s="54" t="n">
        <x:v>1</x:v>
      </x:c>
      <x:c r="E1085" s="103" t="str">
        <x:v>Material-row source portal</x:v>
      </x:c>
      <x:c r="F1085" s="103" t="str">
        <x:v>Source portal is identified, but edition/revision and property record locator remain unresolved.</x:v>
      </x:c>
    </x:row>
    <x:row r="1086">
      <x:c r="A1086" s="54" t="n">
        <x:v>3014</x:v>
      </x:c>
      <x:c r="B1086" s="54" t="n">
        <x:v>14</x:v>
      </x:c>
      <x:c r="C1086" s="54" t="n">
        <x:v>5</x:v>
      </x:c>
      <x:c r="D1086" s="54" t="n">
        <x:v>1</x:v>
      </x:c>
      <x:c r="E1086" s="103" t="str">
        <x:v>Material-row source portal</x:v>
      </x:c>
      <x:c r="F1086" s="103" t="str">
        <x:v>Source portal is identified, but edition/revision and property record locator remain unresolved.</x:v>
      </x:c>
    </x:row>
    <x:row r="1087">
      <x:c r="A1087" s="54" t="n">
        <x:v>3014</x:v>
      </x:c>
      <x:c r="B1087" s="54" t="n">
        <x:v>15</x:v>
      </x:c>
      <x:c r="C1087" s="54" t="n">
        <x:v>5</x:v>
      </x:c>
      <x:c r="D1087" s="54" t="n">
        <x:v>1</x:v>
      </x:c>
      <x:c r="E1087" s="103" t="str">
        <x:v>Material-row source portal</x:v>
      </x:c>
      <x:c r="F1087" s="103" t="str">
        <x:v>Source portal is identified, but edition/revision and property record locator remain unresolved.</x:v>
      </x:c>
    </x:row>
    <x:row r="1088">
      <x:c r="A1088" s="54" t="n">
        <x:v>3014</x:v>
      </x:c>
      <x:c r="B1088" s="54" t="n">
        <x:v>16</x:v>
      </x:c>
      <x:c r="C1088" s="54" t="n">
        <x:v>5</x:v>
      </x:c>
      <x:c r="D1088" s="54" t="n">
        <x:v>1</x:v>
      </x:c>
      <x:c r="E1088" s="103" t="str">
        <x:v>Material-row source portal</x:v>
      </x:c>
      <x:c r="F1088" s="103" t="str">
        <x:v>Source portal is identified, but edition/revision and property record locator remain unresolved.</x:v>
      </x:c>
    </x:row>
    <x:row r="1089">
      <x:c r="A1089" s="54" t="n">
        <x:v>3014</x:v>
      </x:c>
      <x:c r="B1089" s="54" t="n">
        <x:v>18</x:v>
      </x:c>
      <x:c r="C1089" s="54" t="n">
        <x:v>5</x:v>
      </x:c>
      <x:c r="D1089" s="54" t="n">
        <x:v>1</x:v>
      </x:c>
      <x:c r="E1089" s="103" t="str">
        <x:v>Formula-derived from E and Poisson ratio; input records inherit the material-row source</x:v>
      </x:c>
      <x:c r="F1089" s="103" t="str">
        <x:v>Source portal is identified, but edition/revision and property record locator remain unresolved.</x:v>
      </x:c>
    </x:row>
    <x:row r="1090">
      <x:c r="A1090" s="54" t="n">
        <x:v>3015</x:v>
      </x:c>
      <x:c r="B1090" s="54" t="n">
        <x:v>1</x:v>
      </x:c>
      <x:c r="C1090" s="54" t="n">
        <x:v>5</x:v>
      </x:c>
      <x:c r="D1090" s="54" t="n">
        <x:v>1</x:v>
      </x:c>
      <x:c r="E1090" s="103" t="str">
        <x:v>Material-row source portal</x:v>
      </x:c>
      <x:c r="F1090" s="103" t="str">
        <x:v>Source portal is identified, but edition/revision and property record locator remain unresolved.</x:v>
      </x:c>
    </x:row>
    <x:row r="1091">
      <x:c r="A1091" s="54" t="n">
        <x:v>3015</x:v>
      </x:c>
      <x:c r="B1091" s="54" t="n">
        <x:v>2</x:v>
      </x:c>
      <x:c r="C1091" s="54" t="n">
        <x:v>5</x:v>
      </x:c>
      <x:c r="D1091" s="54" t="n">
        <x:v>1</x:v>
      </x:c>
      <x:c r="E1091" s="103" t="str">
        <x:v>Material-row source portal</x:v>
      </x:c>
      <x:c r="F1091" s="103" t="str">
        <x:v>Source portal is identified, but edition/revision and property record locator remain unresolved.</x:v>
      </x:c>
    </x:row>
    <x:row r="1092">
      <x:c r="A1092" s="54" t="n">
        <x:v>3015</x:v>
      </x:c>
      <x:c r="B1092" s="54" t="n">
        <x:v>3</x:v>
      </x:c>
      <x:c r="C1092" s="54" t="n">
        <x:v>5</x:v>
      </x:c>
      <x:c r="D1092" s="54" t="n">
        <x:v>1</x:v>
      </x:c>
      <x:c r="E1092" s="103" t="str">
        <x:v>Formula-derived from E and Poisson ratio; input records inherit the material-row source</x:v>
      </x:c>
      <x:c r="F1092" s="103" t="str">
        <x:v>Source portal is identified, but edition/revision and property record locator remain unresolved.</x:v>
      </x:c>
    </x:row>
    <x:row r="1093">
      <x:c r="A1093" s="54" t="n">
        <x:v>3015</x:v>
      </x:c>
      <x:c r="B1093" s="54" t="n">
        <x:v>4</x:v>
      </x:c>
      <x:c r="C1093" s="54" t="n">
        <x:v>5</x:v>
      </x:c>
      <x:c r="D1093" s="54" t="n">
        <x:v>1</x:v>
      </x:c>
      <x:c r="E1093" s="103" t="str">
        <x:v>Material-row source portal</x:v>
      </x:c>
      <x:c r="F1093" s="103" t="str">
        <x:v>Source portal is identified, but edition/revision and property record locator remain unresolved.</x:v>
      </x:c>
    </x:row>
    <x:row r="1094">
      <x:c r="A1094" s="54" t="n">
        <x:v>3015</x:v>
      </x:c>
      <x:c r="B1094" s="54" t="n">
        <x:v>5</x:v>
      </x:c>
      <x:c r="C1094" s="54" t="n">
        <x:v>5</x:v>
      </x:c>
      <x:c r="D1094" s="54" t="n">
        <x:v>1</x:v>
      </x:c>
      <x:c r="E1094" s="103" t="str">
        <x:v>Material-row source portal</x:v>
      </x:c>
      <x:c r="F1094" s="103" t="str">
        <x:v>Source portal is identified, but edition/revision and property record locator remain unresolved.</x:v>
      </x:c>
    </x:row>
    <x:row r="1095">
      <x:c r="A1095" s="54" t="n">
        <x:v>3015</x:v>
      </x:c>
      <x:c r="B1095" s="54" t="n">
        <x:v>6</x:v>
      </x:c>
      <x:c r="C1095" s="54" t="n">
        <x:v>5</x:v>
      </x:c>
      <x:c r="D1095" s="54" t="n">
        <x:v>1</x:v>
      </x:c>
      <x:c r="E1095" s="103" t="str">
        <x:v>Material-row source portal</x:v>
      </x:c>
      <x:c r="F1095" s="103" t="str">
        <x:v>Source portal is identified, but edition/revision and property record locator remain unresolved.</x:v>
      </x:c>
    </x:row>
    <x:row r="1096">
      <x:c r="A1096" s="54" t="n">
        <x:v>3015</x:v>
      </x:c>
      <x:c r="B1096" s="54" t="n">
        <x:v>7</x:v>
      </x:c>
      <x:c r="C1096" s="54" t="n">
        <x:v>5</x:v>
      </x:c>
      <x:c r="D1096" s="54" t="n">
        <x:v>1</x:v>
      </x:c>
      <x:c r="E1096" s="103" t="str">
        <x:v>Material-row source portal</x:v>
      </x:c>
      <x:c r="F1096" s="103" t="str">
        <x:v>Source portal is identified, but edition/revision and property record locator remain unresolved.</x:v>
      </x:c>
    </x:row>
    <x:row r="1097">
      <x:c r="A1097" s="54" t="n">
        <x:v>3015</x:v>
      </x:c>
      <x:c r="B1097" s="54" t="n">
        <x:v>8</x:v>
      </x:c>
      <x:c r="C1097" s="54" t="n">
        <x:v>5</x:v>
      </x:c>
      <x:c r="D1097" s="54" t="n">
        <x:v>1</x:v>
      </x:c>
      <x:c r="E1097" s="103" t="str">
        <x:v>Material-row source portal</x:v>
      </x:c>
      <x:c r="F1097" s="103" t="str">
        <x:v>Source portal is identified, but edition/revision and property record locator remain unresolved.</x:v>
      </x:c>
    </x:row>
    <x:row r="1098">
      <x:c r="A1098" s="54" t="n">
        <x:v>3015</x:v>
      </x:c>
      <x:c r="B1098" s="54" t="n">
        <x:v>9</x:v>
      </x:c>
      <x:c r="C1098" s="54" t="n">
        <x:v>5</x:v>
      </x:c>
      <x:c r="D1098" s="54" t="n">
        <x:v>1</x:v>
      </x:c>
      <x:c r="E1098" s="103" t="str">
        <x:v>Material-row source portal</x:v>
      </x:c>
      <x:c r="F1098" s="103" t="str">
        <x:v>Source portal is identified, but edition/revision and property record locator remain unresolved.</x:v>
      </x:c>
    </x:row>
    <x:row r="1099">
      <x:c r="A1099" s="54" t="n">
        <x:v>3015</x:v>
      </x:c>
      <x:c r="B1099" s="54" t="n">
        <x:v>10</x:v>
      </x:c>
      <x:c r="C1099" s="54" t="n">
        <x:v>5</x:v>
      </x:c>
      <x:c r="D1099" s="54" t="n">
        <x:v>1</x:v>
      </x:c>
      <x:c r="E1099" s="103" t="str">
        <x:v>Material-row source portal</x:v>
      </x:c>
      <x:c r="F1099" s="103" t="str">
        <x:v>Source portal is identified, but edition/revision and property record locator remain unresolved.</x:v>
      </x:c>
    </x:row>
    <x:row r="1100">
      <x:c r="A1100" s="54" t="n">
        <x:v>3015</x:v>
      </x:c>
      <x:c r="B1100" s="54" t="n">
        <x:v>11</x:v>
      </x:c>
      <x:c r="C1100" s="54" t="n">
        <x:v>5</x:v>
      </x:c>
      <x:c r="D1100" s="54" t="n">
        <x:v>1</x:v>
      </x:c>
      <x:c r="E1100" s="103" t="str">
        <x:v>Material-row source portal</x:v>
      </x:c>
      <x:c r="F1100" s="103" t="str">
        <x:v>Source portal is identified, but edition/revision and property record locator remain unresolved.</x:v>
      </x:c>
    </x:row>
    <x:row r="1101">
      <x:c r="A1101" s="54" t="n">
        <x:v>3015</x:v>
      </x:c>
      <x:c r="B1101" s="54" t="n">
        <x:v>12</x:v>
      </x:c>
      <x:c r="C1101" s="54" t="n">
        <x:v>5</x:v>
      </x:c>
      <x:c r="D1101" s="54" t="n">
        <x:v>1</x:v>
      </x:c>
      <x:c r="E1101" s="103" t="str">
        <x:v>Material-row source portal</x:v>
      </x:c>
      <x:c r="F1101" s="103" t="str">
        <x:v>Source portal is identified, but edition/revision and property record locator remain unresolved.</x:v>
      </x:c>
    </x:row>
    <x:row r="1102">
      <x:c r="A1102" s="54" t="n">
        <x:v>3015</x:v>
      </x:c>
      <x:c r="B1102" s="54" t="n">
        <x:v>13</x:v>
      </x:c>
      <x:c r="C1102" s="54" t="n">
        <x:v>5</x:v>
      </x:c>
      <x:c r="D1102" s="54" t="n">
        <x:v>1</x:v>
      </x:c>
      <x:c r="E1102" s="103" t="str">
        <x:v>Material-row source portal</x:v>
      </x:c>
      <x:c r="F1102" s="103" t="str">
        <x:v>Source portal is identified, but edition/revision and property record locator remain unresolved.</x:v>
      </x:c>
    </x:row>
    <x:row r="1103">
      <x:c r="A1103" s="54" t="n">
        <x:v>3015</x:v>
      </x:c>
      <x:c r="B1103" s="54" t="n">
        <x:v>14</x:v>
      </x:c>
      <x:c r="C1103" s="54" t="n">
        <x:v>5</x:v>
      </x:c>
      <x:c r="D1103" s="54" t="n">
        <x:v>1</x:v>
      </x:c>
      <x:c r="E1103" s="103" t="str">
        <x:v>Material-row source portal</x:v>
      </x:c>
      <x:c r="F1103" s="103" t="str">
        <x:v>Source portal is identified, but edition/revision and property record locator remain unresolved.</x:v>
      </x:c>
    </x:row>
    <x:row r="1104">
      <x:c r="A1104" s="54" t="n">
        <x:v>3015</x:v>
      </x:c>
      <x:c r="B1104" s="54" t="n">
        <x:v>15</x:v>
      </x:c>
      <x:c r="C1104" s="54" t="n">
        <x:v>5</x:v>
      </x:c>
      <x:c r="D1104" s="54" t="n">
        <x:v>1</x:v>
      </x:c>
      <x:c r="E1104" s="103" t="str">
        <x:v>Material-row source portal</x:v>
      </x:c>
      <x:c r="F1104" s="103" t="str">
        <x:v>Source portal is identified, but edition/revision and property record locator remain unresolved.</x:v>
      </x:c>
    </x:row>
    <x:row r="1105">
      <x:c r="A1105" s="54" t="n">
        <x:v>3015</x:v>
      </x:c>
      <x:c r="B1105" s="54" t="n">
        <x:v>16</x:v>
      </x:c>
      <x:c r="C1105" s="54" t="n">
        <x:v>5</x:v>
      </x:c>
      <x:c r="D1105" s="54" t="n">
        <x:v>1</x:v>
      </x:c>
      <x:c r="E1105" s="103" t="str">
        <x:v>Material-row source portal</x:v>
      </x:c>
      <x:c r="F1105" s="103" t="str">
        <x:v>Source portal is identified, but edition/revision and property record locator remain unresolved.</x:v>
      </x:c>
    </x:row>
    <x:row r="1106">
      <x:c r="A1106" s="54" t="n">
        <x:v>3015</x:v>
      </x:c>
      <x:c r="B1106" s="54" t="n">
        <x:v>18</x:v>
      </x:c>
      <x:c r="C1106" s="54" t="n">
        <x:v>5</x:v>
      </x:c>
      <x:c r="D1106" s="54" t="n">
        <x:v>1</x:v>
      </x:c>
      <x:c r="E1106" s="103" t="str">
        <x:v>Formula-derived from E and Poisson ratio; input records inherit the material-row source</x:v>
      </x:c>
      <x:c r="F1106" s="103" t="str">
        <x:v>Source portal is identified, but edition/revision and property record locator remain unresolved.</x:v>
      </x:c>
    </x:row>
    <x:row r="1107">
      <x:c r="A1107" s="54" t="n">
        <x:v>3016</x:v>
      </x:c>
      <x:c r="B1107" s="54" t="n">
        <x:v>1</x:v>
      </x:c>
      <x:c r="C1107" s="54" t="n">
        <x:v>5</x:v>
      </x:c>
      <x:c r="D1107" s="54" t="n">
        <x:v>1</x:v>
      </x:c>
      <x:c r="E1107" s="103" t="str">
        <x:v>Material-row source portal</x:v>
      </x:c>
      <x:c r="F1107" s="103" t="str">
        <x:v>Source portal is identified, but edition/revision and property record locator remain unresolved.</x:v>
      </x:c>
    </x:row>
    <x:row r="1108">
      <x:c r="A1108" s="54" t="n">
        <x:v>3016</x:v>
      </x:c>
      <x:c r="B1108" s="54" t="n">
        <x:v>2</x:v>
      </x:c>
      <x:c r="C1108" s="54" t="n">
        <x:v>5</x:v>
      </x:c>
      <x:c r="D1108" s="54" t="n">
        <x:v>1</x:v>
      </x:c>
      <x:c r="E1108" s="103" t="str">
        <x:v>Material-row source portal</x:v>
      </x:c>
      <x:c r="F1108" s="103" t="str">
        <x:v>Source portal is identified, but edition/revision and property record locator remain unresolved.</x:v>
      </x:c>
    </x:row>
    <x:row r="1109">
      <x:c r="A1109" s="54" t="n">
        <x:v>3016</x:v>
      </x:c>
      <x:c r="B1109" s="54" t="n">
        <x:v>3</x:v>
      </x:c>
      <x:c r="C1109" s="54" t="n">
        <x:v>5</x:v>
      </x:c>
      <x:c r="D1109" s="54" t="n">
        <x:v>1</x:v>
      </x:c>
      <x:c r="E1109" s="103" t="str">
        <x:v>Formula-derived from E and Poisson ratio; input records inherit the material-row source</x:v>
      </x:c>
      <x:c r="F1109" s="103" t="str">
        <x:v>Source portal is identified, but edition/revision and property record locator remain unresolved.</x:v>
      </x:c>
    </x:row>
    <x:row r="1110">
      <x:c r="A1110" s="54" t="n">
        <x:v>3016</x:v>
      </x:c>
      <x:c r="B1110" s="54" t="n">
        <x:v>4</x:v>
      </x:c>
      <x:c r="C1110" s="54" t="n">
        <x:v>5</x:v>
      </x:c>
      <x:c r="D1110" s="54" t="n">
        <x:v>1</x:v>
      </x:c>
      <x:c r="E1110" s="103" t="str">
        <x:v>Material-row source portal</x:v>
      </x:c>
      <x:c r="F1110" s="103" t="str">
        <x:v>Source portal is identified, but edition/revision and property record locator remain unresolved.</x:v>
      </x:c>
    </x:row>
    <x:row r="1111">
      <x:c r="A1111" s="54" t="n">
        <x:v>3016</x:v>
      </x:c>
      <x:c r="B1111" s="54" t="n">
        <x:v>5</x:v>
      </x:c>
      <x:c r="C1111" s="54" t="n">
        <x:v>5</x:v>
      </x:c>
      <x:c r="D1111" s="54" t="n">
        <x:v>1</x:v>
      </x:c>
      <x:c r="E1111" s="103" t="str">
        <x:v>Material-row source portal</x:v>
      </x:c>
      <x:c r="F1111" s="103" t="str">
        <x:v>Source portal is identified, but edition/revision and property record locator remain unresolved.</x:v>
      </x:c>
    </x:row>
    <x:row r="1112">
      <x:c r="A1112" s="54" t="n">
        <x:v>3016</x:v>
      </x:c>
      <x:c r="B1112" s="54" t="n">
        <x:v>6</x:v>
      </x:c>
      <x:c r="C1112" s="54" t="n">
        <x:v>5</x:v>
      </x:c>
      <x:c r="D1112" s="54" t="n">
        <x:v>1</x:v>
      </x:c>
      <x:c r="E1112" s="103" t="str">
        <x:v>Material-row source portal</x:v>
      </x:c>
      <x:c r="F1112" s="103" t="str">
        <x:v>Source portal is identified, but edition/revision and property record locator remain unresolved.</x:v>
      </x:c>
    </x:row>
    <x:row r="1113">
      <x:c r="A1113" s="54" t="n">
        <x:v>3016</x:v>
      </x:c>
      <x:c r="B1113" s="54" t="n">
        <x:v>7</x:v>
      </x:c>
      <x:c r="C1113" s="54" t="n">
        <x:v>5</x:v>
      </x:c>
      <x:c r="D1113" s="54" t="n">
        <x:v>1</x:v>
      </x:c>
      <x:c r="E1113" s="103" t="str">
        <x:v>Material-row source portal</x:v>
      </x:c>
      <x:c r="F1113" s="103" t="str">
        <x:v>Source portal is identified, but edition/revision and property record locator remain unresolved.</x:v>
      </x:c>
    </x:row>
    <x:row r="1114">
      <x:c r="A1114" s="54" t="n">
        <x:v>3016</x:v>
      </x:c>
      <x:c r="B1114" s="54" t="n">
        <x:v>8</x:v>
      </x:c>
      <x:c r="C1114" s="54" t="n">
        <x:v>5</x:v>
      </x:c>
      <x:c r="D1114" s="54" t="n">
        <x:v>1</x:v>
      </x:c>
      <x:c r="E1114" s="103" t="str">
        <x:v>Material-row source portal</x:v>
      </x:c>
      <x:c r="F1114" s="103" t="str">
        <x:v>Source portal is identified, but edition/revision and property record locator remain unresolved.</x:v>
      </x:c>
    </x:row>
    <x:row r="1115">
      <x:c r="A1115" s="54" t="n">
        <x:v>3016</x:v>
      </x:c>
      <x:c r="B1115" s="54" t="n">
        <x:v>9</x:v>
      </x:c>
      <x:c r="C1115" s="54" t="n">
        <x:v>5</x:v>
      </x:c>
      <x:c r="D1115" s="54" t="n">
        <x:v>1</x:v>
      </x:c>
      <x:c r="E1115" s="103" t="str">
        <x:v>Material-row source portal</x:v>
      </x:c>
      <x:c r="F1115" s="103" t="str">
        <x:v>Source portal is identified, but edition/revision and property record locator remain unresolved.</x:v>
      </x:c>
    </x:row>
    <x:row r="1116">
      <x:c r="A1116" s="54" t="n">
        <x:v>3016</x:v>
      </x:c>
      <x:c r="B1116" s="54" t="n">
        <x:v>10</x:v>
      </x:c>
      <x:c r="C1116" s="54" t="n">
        <x:v>5</x:v>
      </x:c>
      <x:c r="D1116" s="54" t="n">
        <x:v>1</x:v>
      </x:c>
      <x:c r="E1116" s="103" t="str">
        <x:v>Material-row source portal</x:v>
      </x:c>
      <x:c r="F1116" s="103" t="str">
        <x:v>Source portal is identified, but edition/revision and property record locator remain unresolved.</x:v>
      </x:c>
    </x:row>
    <x:row r="1117">
      <x:c r="A1117" s="54" t="n">
        <x:v>3016</x:v>
      </x:c>
      <x:c r="B1117" s="54" t="n">
        <x:v>11</x:v>
      </x:c>
      <x:c r="C1117" s="54" t="n">
        <x:v>5</x:v>
      </x:c>
      <x:c r="D1117" s="54" t="n">
        <x:v>1</x:v>
      </x:c>
      <x:c r="E1117" s="103" t="str">
        <x:v>Material-row source portal</x:v>
      </x:c>
      <x:c r="F1117" s="103" t="str">
        <x:v>Source portal is identified, but edition/revision and property record locator remain unresolved.</x:v>
      </x:c>
    </x:row>
    <x:row r="1118">
      <x:c r="A1118" s="54" t="n">
        <x:v>3016</x:v>
      </x:c>
      <x:c r="B1118" s="54" t="n">
        <x:v>12</x:v>
      </x:c>
      <x:c r="C1118" s="54" t="n">
        <x:v>5</x:v>
      </x:c>
      <x:c r="D1118" s="54" t="n">
        <x:v>1</x:v>
      </x:c>
      <x:c r="E1118" s="103" t="str">
        <x:v>Material-row source portal</x:v>
      </x:c>
      <x:c r="F1118" s="103" t="str">
        <x:v>Source portal is identified, but edition/revision and property record locator remain unresolved.</x:v>
      </x:c>
    </x:row>
    <x:row r="1119">
      <x:c r="A1119" s="54" t="n">
        <x:v>3016</x:v>
      </x:c>
      <x:c r="B1119" s="54" t="n">
        <x:v>13</x:v>
      </x:c>
      <x:c r="C1119" s="54" t="n">
        <x:v>5</x:v>
      </x:c>
      <x:c r="D1119" s="54" t="n">
        <x:v>1</x:v>
      </x:c>
      <x:c r="E1119" s="103" t="str">
        <x:v>Material-row source portal</x:v>
      </x:c>
      <x:c r="F1119" s="103" t="str">
        <x:v>Source portal is identified, but edition/revision and property record locator remain unresolved.</x:v>
      </x:c>
    </x:row>
    <x:row r="1120">
      <x:c r="A1120" s="54" t="n">
        <x:v>3016</x:v>
      </x:c>
      <x:c r="B1120" s="54" t="n">
        <x:v>14</x:v>
      </x:c>
      <x:c r="C1120" s="54" t="n">
        <x:v>5</x:v>
      </x:c>
      <x:c r="D1120" s="54" t="n">
        <x:v>1</x:v>
      </x:c>
      <x:c r="E1120" s="103" t="str">
        <x:v>Material-row source portal</x:v>
      </x:c>
      <x:c r="F1120" s="103" t="str">
        <x:v>Source portal is identified, but edition/revision and property record locator remain unresolved.</x:v>
      </x:c>
    </x:row>
    <x:row r="1121">
      <x:c r="A1121" s="54" t="n">
        <x:v>3016</x:v>
      </x:c>
      <x:c r="B1121" s="54" t="n">
        <x:v>15</x:v>
      </x:c>
      <x:c r="C1121" s="54" t="n">
        <x:v>5</x:v>
      </x:c>
      <x:c r="D1121" s="54" t="n">
        <x:v>1</x:v>
      </x:c>
      <x:c r="E1121" s="103" t="str">
        <x:v>Material-row source portal</x:v>
      </x:c>
      <x:c r="F1121" s="103" t="str">
        <x:v>Source portal is identified, but edition/revision and property record locator remain unresolved.</x:v>
      </x:c>
    </x:row>
    <x:row r="1122">
      <x:c r="A1122" s="54" t="n">
        <x:v>3016</x:v>
      </x:c>
      <x:c r="B1122" s="54" t="n">
        <x:v>16</x:v>
      </x:c>
      <x:c r="C1122" s="54" t="n">
        <x:v>5</x:v>
      </x:c>
      <x:c r="D1122" s="54" t="n">
        <x:v>1</x:v>
      </x:c>
      <x:c r="E1122" s="103" t="str">
        <x:v>Material-row source portal</x:v>
      </x:c>
      <x:c r="F1122" s="103" t="str">
        <x:v>Source portal is identified, but edition/revision and property record locator remain unresolved.</x:v>
      </x:c>
    </x:row>
    <x:row r="1123">
      <x:c r="A1123" s="54" t="n">
        <x:v>3016</x:v>
      </x:c>
      <x:c r="B1123" s="54" t="n">
        <x:v>18</x:v>
      </x:c>
      <x:c r="C1123" s="54" t="n">
        <x:v>5</x:v>
      </x:c>
      <x:c r="D1123" s="54" t="n">
        <x:v>1</x:v>
      </x:c>
      <x:c r="E1123" s="103" t="str">
        <x:v>Formula-derived from E and Poisson ratio; input records inherit the material-row source</x:v>
      </x:c>
      <x:c r="F1123" s="103" t="str">
        <x:v>Source portal is identified, but edition/revision and property record locator remain unresolved.</x:v>
      </x:c>
    </x:row>
    <x:row r="1124">
      <x:c r="A1124" s="54" t="n">
        <x:v>3017</x:v>
      </x:c>
      <x:c r="B1124" s="54" t="n">
        <x:v>1</x:v>
      </x:c>
      <x:c r="C1124" s="54" t="n">
        <x:v>5</x:v>
      </x:c>
      <x:c r="D1124" s="54" t="n">
        <x:v>1</x:v>
      </x:c>
      <x:c r="E1124" s="103" t="str">
        <x:v>Material-row source portal</x:v>
      </x:c>
      <x:c r="F1124" s="103" t="str">
        <x:v>Source portal is identified, but edition/revision and property record locator remain unresolved.</x:v>
      </x:c>
    </x:row>
    <x:row r="1125">
      <x:c r="A1125" s="54" t="n">
        <x:v>3017</x:v>
      </x:c>
      <x:c r="B1125" s="54" t="n">
        <x:v>2</x:v>
      </x:c>
      <x:c r="C1125" s="54" t="n">
        <x:v>5</x:v>
      </x:c>
      <x:c r="D1125" s="54" t="n">
        <x:v>1</x:v>
      </x:c>
      <x:c r="E1125" s="103" t="str">
        <x:v>Material-row source portal</x:v>
      </x:c>
      <x:c r="F1125" s="103" t="str">
        <x:v>Source portal is identified, but edition/revision and property record locator remain unresolved.</x:v>
      </x:c>
    </x:row>
    <x:row r="1126">
      <x:c r="A1126" s="54" t="n">
        <x:v>3017</x:v>
      </x:c>
      <x:c r="B1126" s="54" t="n">
        <x:v>3</x:v>
      </x:c>
      <x:c r="C1126" s="54" t="n">
        <x:v>5</x:v>
      </x:c>
      <x:c r="D1126" s="54" t="n">
        <x:v>1</x:v>
      </x:c>
      <x:c r="E1126" s="103" t="str">
        <x:v>Formula-derived from E and Poisson ratio; input records inherit the material-row source</x:v>
      </x:c>
      <x:c r="F1126" s="103" t="str">
        <x:v>Source portal is identified, but edition/revision and property record locator remain unresolved.</x:v>
      </x:c>
    </x:row>
    <x:row r="1127">
      <x:c r="A1127" s="54" t="n">
        <x:v>3017</x:v>
      </x:c>
      <x:c r="B1127" s="54" t="n">
        <x:v>4</x:v>
      </x:c>
      <x:c r="C1127" s="54" t="n">
        <x:v>5</x:v>
      </x:c>
      <x:c r="D1127" s="54" t="n">
        <x:v>1</x:v>
      </x:c>
      <x:c r="E1127" s="103" t="str">
        <x:v>Material-row source portal</x:v>
      </x:c>
      <x:c r="F1127" s="103" t="str">
        <x:v>Source portal is identified, but edition/revision and property record locator remain unresolved.</x:v>
      </x:c>
    </x:row>
    <x:row r="1128">
      <x:c r="A1128" s="54" t="n">
        <x:v>3017</x:v>
      </x:c>
      <x:c r="B1128" s="54" t="n">
        <x:v>5</x:v>
      </x:c>
      <x:c r="C1128" s="54" t="n">
        <x:v>5</x:v>
      </x:c>
      <x:c r="D1128" s="54" t="n">
        <x:v>1</x:v>
      </x:c>
      <x:c r="E1128" s="103" t="str">
        <x:v>Material-row source portal</x:v>
      </x:c>
      <x:c r="F1128" s="103" t="str">
        <x:v>Source portal is identified, but edition/revision and property record locator remain unresolved.</x:v>
      </x:c>
    </x:row>
    <x:row r="1129">
      <x:c r="A1129" s="54" t="n">
        <x:v>3017</x:v>
      </x:c>
      <x:c r="B1129" s="54" t="n">
        <x:v>6</x:v>
      </x:c>
      <x:c r="C1129" s="54" t="n">
        <x:v>5</x:v>
      </x:c>
      <x:c r="D1129" s="54" t="n">
        <x:v>1</x:v>
      </x:c>
      <x:c r="E1129" s="103" t="str">
        <x:v>Material-row source portal</x:v>
      </x:c>
      <x:c r="F1129" s="103" t="str">
        <x:v>Source portal is identified, but edition/revision and property record locator remain unresolved.</x:v>
      </x:c>
    </x:row>
    <x:row r="1130">
      <x:c r="A1130" s="54" t="n">
        <x:v>3017</x:v>
      </x:c>
      <x:c r="B1130" s="54" t="n">
        <x:v>7</x:v>
      </x:c>
      <x:c r="C1130" s="54" t="n">
        <x:v>5</x:v>
      </x:c>
      <x:c r="D1130" s="54" t="n">
        <x:v>1</x:v>
      </x:c>
      <x:c r="E1130" s="103" t="str">
        <x:v>Material-row source portal</x:v>
      </x:c>
      <x:c r="F1130" s="103" t="str">
        <x:v>Source portal is identified, but edition/revision and property record locator remain unresolved.</x:v>
      </x:c>
    </x:row>
    <x:row r="1131">
      <x:c r="A1131" s="54" t="n">
        <x:v>3017</x:v>
      </x:c>
      <x:c r="B1131" s="54" t="n">
        <x:v>8</x:v>
      </x:c>
      <x:c r="C1131" s="54" t="n">
        <x:v>5</x:v>
      </x:c>
      <x:c r="D1131" s="54" t="n">
        <x:v>1</x:v>
      </x:c>
      <x:c r="E1131" s="103" t="str">
        <x:v>Material-row source portal</x:v>
      </x:c>
      <x:c r="F1131" s="103" t="str">
        <x:v>Source portal is identified, but edition/revision and property record locator remain unresolved.</x:v>
      </x:c>
    </x:row>
    <x:row r="1132">
      <x:c r="A1132" s="54" t="n">
        <x:v>3017</x:v>
      </x:c>
      <x:c r="B1132" s="54" t="n">
        <x:v>9</x:v>
      </x:c>
      <x:c r="C1132" s="54" t="n">
        <x:v>5</x:v>
      </x:c>
      <x:c r="D1132" s="54" t="n">
        <x:v>1</x:v>
      </x:c>
      <x:c r="E1132" s="103" t="str">
        <x:v>Material-row source portal</x:v>
      </x:c>
      <x:c r="F1132" s="103" t="str">
        <x:v>Source portal is identified, but edition/revision and property record locator remain unresolved.</x:v>
      </x:c>
    </x:row>
    <x:row r="1133">
      <x:c r="A1133" s="54" t="n">
        <x:v>3017</x:v>
      </x:c>
      <x:c r="B1133" s="54" t="n">
        <x:v>10</x:v>
      </x:c>
      <x:c r="C1133" s="54" t="n">
        <x:v>5</x:v>
      </x:c>
      <x:c r="D1133" s="54" t="n">
        <x:v>1</x:v>
      </x:c>
      <x:c r="E1133" s="103" t="str">
        <x:v>Material-row source portal</x:v>
      </x:c>
      <x:c r="F1133" s="103" t="str">
        <x:v>Source portal is identified, but edition/revision and property record locator remain unresolved.</x:v>
      </x:c>
    </x:row>
    <x:row r="1134">
      <x:c r="A1134" s="54" t="n">
        <x:v>3017</x:v>
      </x:c>
      <x:c r="B1134" s="54" t="n">
        <x:v>11</x:v>
      </x:c>
      <x:c r="C1134" s="54" t="n">
        <x:v>5</x:v>
      </x:c>
      <x:c r="D1134" s="54" t="n">
        <x:v>1</x:v>
      </x:c>
      <x:c r="E1134" s="103" t="str">
        <x:v>Material-row source portal</x:v>
      </x:c>
      <x:c r="F1134" s="103" t="str">
        <x:v>Source portal is identified, but edition/revision and property record locator remain unresolved.</x:v>
      </x:c>
    </x:row>
    <x:row r="1135">
      <x:c r="A1135" s="54" t="n">
        <x:v>3017</x:v>
      </x:c>
      <x:c r="B1135" s="54" t="n">
        <x:v>12</x:v>
      </x:c>
      <x:c r="C1135" s="54" t="n">
        <x:v>5</x:v>
      </x:c>
      <x:c r="D1135" s="54" t="n">
        <x:v>1</x:v>
      </x:c>
      <x:c r="E1135" s="103" t="str">
        <x:v>Material-row source portal</x:v>
      </x:c>
      <x:c r="F1135" s="103" t="str">
        <x:v>Source portal is identified, but edition/revision and property record locator remain unresolved.</x:v>
      </x:c>
    </x:row>
    <x:row r="1136">
      <x:c r="A1136" s="54" t="n">
        <x:v>3017</x:v>
      </x:c>
      <x:c r="B1136" s="54" t="n">
        <x:v>13</x:v>
      </x:c>
      <x:c r="C1136" s="54" t="n">
        <x:v>5</x:v>
      </x:c>
      <x:c r="D1136" s="54" t="n">
        <x:v>1</x:v>
      </x:c>
      <x:c r="E1136" s="103" t="str">
        <x:v>Material-row source portal</x:v>
      </x:c>
      <x:c r="F1136" s="103" t="str">
        <x:v>Source portal is identified, but edition/revision and property record locator remain unresolved.</x:v>
      </x:c>
    </x:row>
    <x:row r="1137">
      <x:c r="A1137" s="54" t="n">
        <x:v>3017</x:v>
      </x:c>
      <x:c r="B1137" s="54" t="n">
        <x:v>14</x:v>
      </x:c>
      <x:c r="C1137" s="54" t="n">
        <x:v>5</x:v>
      </x:c>
      <x:c r="D1137" s="54" t="n">
        <x:v>1</x:v>
      </x:c>
      <x:c r="E1137" s="103" t="str">
        <x:v>Material-row source portal</x:v>
      </x:c>
      <x:c r="F1137" s="103" t="str">
        <x:v>Source portal is identified, but edition/revision and property record locator remain unresolved.</x:v>
      </x:c>
    </x:row>
    <x:row r="1138">
      <x:c r="A1138" s="54" t="n">
        <x:v>3017</x:v>
      </x:c>
      <x:c r="B1138" s="54" t="n">
        <x:v>15</x:v>
      </x:c>
      <x:c r="C1138" s="54" t="n">
        <x:v>5</x:v>
      </x:c>
      <x:c r="D1138" s="54" t="n">
        <x:v>1</x:v>
      </x:c>
      <x:c r="E1138" s="103" t="str">
        <x:v>Material-row source portal</x:v>
      </x:c>
      <x:c r="F1138" s="103" t="str">
        <x:v>Source portal is identified, but edition/revision and property record locator remain unresolved.</x:v>
      </x:c>
    </x:row>
    <x:row r="1139">
      <x:c r="A1139" s="54" t="n">
        <x:v>3017</x:v>
      </x:c>
      <x:c r="B1139" s="54" t="n">
        <x:v>16</x:v>
      </x:c>
      <x:c r="C1139" s="54" t="n">
        <x:v>5</x:v>
      </x:c>
      <x:c r="D1139" s="54" t="n">
        <x:v>1</x:v>
      </x:c>
      <x:c r="E1139" s="103" t="str">
        <x:v>Material-row source portal</x:v>
      </x:c>
      <x:c r="F1139" s="103" t="str">
        <x:v>Source portal is identified, but edition/revision and property record locator remain unresolved.</x:v>
      </x:c>
    </x:row>
    <x:row r="1140">
      <x:c r="A1140" s="54" t="n">
        <x:v>3017</x:v>
      </x:c>
      <x:c r="B1140" s="54" t="n">
        <x:v>18</x:v>
      </x:c>
      <x:c r="C1140" s="54" t="n">
        <x:v>5</x:v>
      </x:c>
      <x:c r="D1140" s="54" t="n">
        <x:v>1</x:v>
      </x:c>
      <x:c r="E1140" s="103" t="str">
        <x:v>Formula-derived from E and Poisson ratio; input records inherit the material-row source</x:v>
      </x:c>
      <x:c r="F1140" s="103" t="str">
        <x:v>Source portal is identified, but edition/revision and property record locator remain unresolved.</x:v>
      </x:c>
    </x:row>
    <x:row r="1141">
      <x:c r="A1141" s="54" t="n">
        <x:v>3018</x:v>
      </x:c>
      <x:c r="B1141" s="54" t="n">
        <x:v>1</x:v>
      </x:c>
      <x:c r="C1141" s="54" t="n">
        <x:v>5</x:v>
      </x:c>
      <x:c r="D1141" s="54" t="n">
        <x:v>1</x:v>
      </x:c>
      <x:c r="E1141" s="103" t="str">
        <x:v>Material-row source portal</x:v>
      </x:c>
      <x:c r="F1141" s="103" t="str">
        <x:v>Source portal is identified, but edition/revision and property record locator remain unresolved.</x:v>
      </x:c>
    </x:row>
    <x:row r="1142">
      <x:c r="A1142" s="54" t="n">
        <x:v>3018</x:v>
      </x:c>
      <x:c r="B1142" s="54" t="n">
        <x:v>2</x:v>
      </x:c>
      <x:c r="C1142" s="54" t="n">
        <x:v>5</x:v>
      </x:c>
      <x:c r="D1142" s="54" t="n">
        <x:v>1</x:v>
      </x:c>
      <x:c r="E1142" s="103" t="str">
        <x:v>Material-row source portal</x:v>
      </x:c>
      <x:c r="F1142" s="103" t="str">
        <x:v>Source portal is identified, but edition/revision and property record locator remain unresolved.</x:v>
      </x:c>
    </x:row>
    <x:row r="1143">
      <x:c r="A1143" s="54" t="n">
        <x:v>3018</x:v>
      </x:c>
      <x:c r="B1143" s="54" t="n">
        <x:v>3</x:v>
      </x:c>
      <x:c r="C1143" s="54" t="n">
        <x:v>5</x:v>
      </x:c>
      <x:c r="D1143" s="54" t="n">
        <x:v>1</x:v>
      </x:c>
      <x:c r="E1143" s="103" t="str">
        <x:v>Formula-derived from E and Poisson ratio; input records inherit the material-row source</x:v>
      </x:c>
      <x:c r="F1143" s="103" t="str">
        <x:v>Source portal is identified, but edition/revision and property record locator remain unresolved.</x:v>
      </x:c>
    </x:row>
    <x:row r="1144">
      <x:c r="A1144" s="54" t="n">
        <x:v>3018</x:v>
      </x:c>
      <x:c r="B1144" s="54" t="n">
        <x:v>4</x:v>
      </x:c>
      <x:c r="C1144" s="54" t="n">
        <x:v>5</x:v>
      </x:c>
      <x:c r="D1144" s="54" t="n">
        <x:v>1</x:v>
      </x:c>
      <x:c r="E1144" s="103" t="str">
        <x:v>Material-row source portal</x:v>
      </x:c>
      <x:c r="F1144" s="103" t="str">
        <x:v>Source portal is identified, but edition/revision and property record locator remain unresolved.</x:v>
      </x:c>
    </x:row>
    <x:row r="1145">
      <x:c r="A1145" s="54" t="n">
        <x:v>3018</x:v>
      </x:c>
      <x:c r="B1145" s="54" t="n">
        <x:v>5</x:v>
      </x:c>
      <x:c r="C1145" s="54" t="n">
        <x:v>5</x:v>
      </x:c>
      <x:c r="D1145" s="54" t="n">
        <x:v>1</x:v>
      </x:c>
      <x:c r="E1145" s="103" t="str">
        <x:v>Material-row source portal</x:v>
      </x:c>
      <x:c r="F1145" s="103" t="str">
        <x:v>Source portal is identified, but edition/revision and property record locator remain unresolved.</x:v>
      </x:c>
    </x:row>
    <x:row r="1146">
      <x:c r="A1146" s="54" t="n">
        <x:v>3018</x:v>
      </x:c>
      <x:c r="B1146" s="54" t="n">
        <x:v>6</x:v>
      </x:c>
      <x:c r="C1146" s="54" t="n">
        <x:v>5</x:v>
      </x:c>
      <x:c r="D1146" s="54" t="n">
        <x:v>1</x:v>
      </x:c>
      <x:c r="E1146" s="103" t="str">
        <x:v>Material-row source portal</x:v>
      </x:c>
      <x:c r="F1146" s="103" t="str">
        <x:v>Source portal is identified, but edition/revision and property record locator remain unresolved.</x:v>
      </x:c>
    </x:row>
    <x:row r="1147">
      <x:c r="A1147" s="54" t="n">
        <x:v>3018</x:v>
      </x:c>
      <x:c r="B1147" s="54" t="n">
        <x:v>7</x:v>
      </x:c>
      <x:c r="C1147" s="54" t="n">
        <x:v>5</x:v>
      </x:c>
      <x:c r="D1147" s="54" t="n">
        <x:v>1</x:v>
      </x:c>
      <x:c r="E1147" s="103" t="str">
        <x:v>Material-row source portal</x:v>
      </x:c>
      <x:c r="F1147" s="103" t="str">
        <x:v>Source portal is identified, but edition/revision and property record locator remain unresolved.</x:v>
      </x:c>
    </x:row>
    <x:row r="1148">
      <x:c r="A1148" s="54" t="n">
        <x:v>3018</x:v>
      </x:c>
      <x:c r="B1148" s="54" t="n">
        <x:v>8</x:v>
      </x:c>
      <x:c r="C1148" s="54" t="n">
        <x:v>5</x:v>
      </x:c>
      <x:c r="D1148" s="54" t="n">
        <x:v>1</x:v>
      </x:c>
      <x:c r="E1148" s="103" t="str">
        <x:v>Material-row source portal</x:v>
      </x:c>
      <x:c r="F1148" s="103" t="str">
        <x:v>Source portal is identified, but edition/revision and property record locator remain unresolved.</x:v>
      </x:c>
    </x:row>
    <x:row r="1149">
      <x:c r="A1149" s="54" t="n">
        <x:v>3018</x:v>
      </x:c>
      <x:c r="B1149" s="54" t="n">
        <x:v>9</x:v>
      </x:c>
      <x:c r="C1149" s="54" t="n">
        <x:v>5</x:v>
      </x:c>
      <x:c r="D1149" s="54" t="n">
        <x:v>1</x:v>
      </x:c>
      <x:c r="E1149" s="103" t="str">
        <x:v>Material-row source portal</x:v>
      </x:c>
      <x:c r="F1149" s="103" t="str">
        <x:v>Source portal is identified, but edition/revision and property record locator remain unresolved.</x:v>
      </x:c>
    </x:row>
    <x:row r="1150">
      <x:c r="A1150" s="54" t="n">
        <x:v>3018</x:v>
      </x:c>
      <x:c r="B1150" s="54" t="n">
        <x:v>10</x:v>
      </x:c>
      <x:c r="C1150" s="54" t="n">
        <x:v>5</x:v>
      </x:c>
      <x:c r="D1150" s="54" t="n">
        <x:v>1</x:v>
      </x:c>
      <x:c r="E1150" s="103" t="str">
        <x:v>Material-row source portal</x:v>
      </x:c>
      <x:c r="F1150" s="103" t="str">
        <x:v>Source portal is identified, but edition/revision and property record locator remain unresolved.</x:v>
      </x:c>
    </x:row>
    <x:row r="1151">
      <x:c r="A1151" s="54" t="n">
        <x:v>3018</x:v>
      </x:c>
      <x:c r="B1151" s="54" t="n">
        <x:v>11</x:v>
      </x:c>
      <x:c r="C1151" s="54" t="n">
        <x:v>5</x:v>
      </x:c>
      <x:c r="D1151" s="54" t="n">
        <x:v>1</x:v>
      </x:c>
      <x:c r="E1151" s="103" t="str">
        <x:v>Material-row source portal</x:v>
      </x:c>
      <x:c r="F1151" s="103" t="str">
        <x:v>Source portal is identified, but edition/revision and property record locator remain unresolved.</x:v>
      </x:c>
    </x:row>
    <x:row r="1152">
      <x:c r="A1152" s="54" t="n">
        <x:v>3018</x:v>
      </x:c>
      <x:c r="B1152" s="54" t="n">
        <x:v>12</x:v>
      </x:c>
      <x:c r="C1152" s="54" t="n">
        <x:v>5</x:v>
      </x:c>
      <x:c r="D1152" s="54" t="n">
        <x:v>1</x:v>
      </x:c>
      <x:c r="E1152" s="103" t="str">
        <x:v>Material-row source portal</x:v>
      </x:c>
      <x:c r="F1152" s="103" t="str">
        <x:v>Source portal is identified, but edition/revision and property record locator remain unresolved.</x:v>
      </x:c>
    </x:row>
    <x:row r="1153">
      <x:c r="A1153" s="54" t="n">
        <x:v>3018</x:v>
      </x:c>
      <x:c r="B1153" s="54" t="n">
        <x:v>13</x:v>
      </x:c>
      <x:c r="C1153" s="54" t="n">
        <x:v>5</x:v>
      </x:c>
      <x:c r="D1153" s="54" t="n">
        <x:v>1</x:v>
      </x:c>
      <x:c r="E1153" s="103" t="str">
        <x:v>Material-row source portal</x:v>
      </x:c>
      <x:c r="F1153" s="103" t="str">
        <x:v>Source portal is identified, but edition/revision and property record locator remain unresolved.</x:v>
      </x:c>
    </x:row>
    <x:row r="1154">
      <x:c r="A1154" s="54" t="n">
        <x:v>3018</x:v>
      </x:c>
      <x:c r="B1154" s="54" t="n">
        <x:v>14</x:v>
      </x:c>
      <x:c r="C1154" s="54" t="n">
        <x:v>5</x:v>
      </x:c>
      <x:c r="D1154" s="54" t="n">
        <x:v>1</x:v>
      </x:c>
      <x:c r="E1154" s="103" t="str">
        <x:v>Material-row source portal</x:v>
      </x:c>
      <x:c r="F1154" s="103" t="str">
        <x:v>Source portal is identified, but edition/revision and property record locator remain unresolved.</x:v>
      </x:c>
    </x:row>
    <x:row r="1155">
      <x:c r="A1155" s="54" t="n">
        <x:v>3018</x:v>
      </x:c>
      <x:c r="B1155" s="54" t="n">
        <x:v>15</x:v>
      </x:c>
      <x:c r="C1155" s="54" t="n">
        <x:v>5</x:v>
      </x:c>
      <x:c r="D1155" s="54" t="n">
        <x:v>1</x:v>
      </x:c>
      <x:c r="E1155" s="103" t="str">
        <x:v>Material-row source portal</x:v>
      </x:c>
      <x:c r="F1155" s="103" t="str">
        <x:v>Source portal is identified, but edition/revision and property record locator remain unresolved.</x:v>
      </x:c>
    </x:row>
    <x:row r="1156">
      <x:c r="A1156" s="54" t="n">
        <x:v>3018</x:v>
      </x:c>
      <x:c r="B1156" s="54" t="n">
        <x:v>16</x:v>
      </x:c>
      <x:c r="C1156" s="54" t="n">
        <x:v>5</x:v>
      </x:c>
      <x:c r="D1156" s="54" t="n">
        <x:v>1</x:v>
      </x:c>
      <x:c r="E1156" s="103" t="str">
        <x:v>Material-row source portal</x:v>
      </x:c>
      <x:c r="F1156" s="103" t="str">
        <x:v>Source portal is identified, but edition/revision and property record locator remain unresolved.</x:v>
      </x:c>
    </x:row>
    <x:row r="1157">
      <x:c r="A1157" s="54" t="n">
        <x:v>3018</x:v>
      </x:c>
      <x:c r="B1157" s="54" t="n">
        <x:v>18</x:v>
      </x:c>
      <x:c r="C1157" s="54" t="n">
        <x:v>5</x:v>
      </x:c>
      <x:c r="D1157" s="54" t="n">
        <x:v>1</x:v>
      </x:c>
      <x:c r="E1157" s="103" t="str">
        <x:v>Formula-derived from E and Poisson ratio; input records inherit the material-row source</x:v>
      </x:c>
      <x:c r="F1157" s="103" t="str">
        <x:v>Source portal is identified, but edition/revision and property record locator remain unresolved.</x:v>
      </x:c>
    </x:row>
    <x:row r="1158">
      <x:c r="A1158" s="54" t="n">
        <x:v>3019</x:v>
      </x:c>
      <x:c r="B1158" s="54" t="n">
        <x:v>1</x:v>
      </x:c>
      <x:c r="C1158" s="54" t="n">
        <x:v>5</x:v>
      </x:c>
      <x:c r="D1158" s="54" t="n">
        <x:v>1</x:v>
      </x:c>
      <x:c r="E1158" s="103" t="str">
        <x:v>Material-row source portal</x:v>
      </x:c>
      <x:c r="F1158" s="103" t="str">
        <x:v>Source portal is identified, but edition/revision and property record locator remain unresolved.</x:v>
      </x:c>
    </x:row>
    <x:row r="1159">
      <x:c r="A1159" s="54" t="n">
        <x:v>3019</x:v>
      </x:c>
      <x:c r="B1159" s="54" t="n">
        <x:v>2</x:v>
      </x:c>
      <x:c r="C1159" s="54" t="n">
        <x:v>5</x:v>
      </x:c>
      <x:c r="D1159" s="54" t="n">
        <x:v>1</x:v>
      </x:c>
      <x:c r="E1159" s="103" t="str">
        <x:v>Material-row source portal</x:v>
      </x:c>
      <x:c r="F1159" s="103" t="str">
        <x:v>Source portal is identified, but edition/revision and property record locator remain unresolved.</x:v>
      </x:c>
    </x:row>
    <x:row r="1160">
      <x:c r="A1160" s="54" t="n">
        <x:v>3019</x:v>
      </x:c>
      <x:c r="B1160" s="54" t="n">
        <x:v>3</x:v>
      </x:c>
      <x:c r="C1160" s="54" t="n">
        <x:v>5</x:v>
      </x:c>
      <x:c r="D1160" s="54" t="n">
        <x:v>1</x:v>
      </x:c>
      <x:c r="E1160" s="103" t="str">
        <x:v>Formula-derived from E and Poisson ratio; input records inherit the material-row source</x:v>
      </x:c>
      <x:c r="F1160" s="103" t="str">
        <x:v>Source portal is identified, but edition/revision and property record locator remain unresolved.</x:v>
      </x:c>
    </x:row>
    <x:row r="1161">
      <x:c r="A1161" s="54" t="n">
        <x:v>3019</x:v>
      </x:c>
      <x:c r="B1161" s="54" t="n">
        <x:v>4</x:v>
      </x:c>
      <x:c r="C1161" s="54" t="n">
        <x:v>5</x:v>
      </x:c>
      <x:c r="D1161" s="54" t="n">
        <x:v>1</x:v>
      </x:c>
      <x:c r="E1161" s="103" t="str">
        <x:v>Material-row source portal</x:v>
      </x:c>
      <x:c r="F1161" s="103" t="str">
        <x:v>Source portal is identified, but edition/revision and property record locator remain unresolved.</x:v>
      </x:c>
    </x:row>
    <x:row r="1162">
      <x:c r="A1162" s="54" t="n">
        <x:v>3019</x:v>
      </x:c>
      <x:c r="B1162" s="54" t="n">
        <x:v>5</x:v>
      </x:c>
      <x:c r="C1162" s="54" t="n">
        <x:v>5</x:v>
      </x:c>
      <x:c r="D1162" s="54" t="n">
        <x:v>1</x:v>
      </x:c>
      <x:c r="E1162" s="103" t="str">
        <x:v>Material-row source portal</x:v>
      </x:c>
      <x:c r="F1162" s="103" t="str">
        <x:v>Source portal is identified, but edition/revision and property record locator remain unresolved.</x:v>
      </x:c>
    </x:row>
    <x:row r="1163">
      <x:c r="A1163" s="54" t="n">
        <x:v>3019</x:v>
      </x:c>
      <x:c r="B1163" s="54" t="n">
        <x:v>6</x:v>
      </x:c>
      <x:c r="C1163" s="54" t="n">
        <x:v>5</x:v>
      </x:c>
      <x:c r="D1163" s="54" t="n">
        <x:v>1</x:v>
      </x:c>
      <x:c r="E1163" s="103" t="str">
        <x:v>Material-row source portal</x:v>
      </x:c>
      <x:c r="F1163" s="103" t="str">
        <x:v>Source portal is identified, but edition/revision and property record locator remain unresolved.</x:v>
      </x:c>
    </x:row>
    <x:row r="1164">
      <x:c r="A1164" s="54" t="n">
        <x:v>3019</x:v>
      </x:c>
      <x:c r="B1164" s="54" t="n">
        <x:v>7</x:v>
      </x:c>
      <x:c r="C1164" s="54" t="n">
        <x:v>5</x:v>
      </x:c>
      <x:c r="D1164" s="54" t="n">
        <x:v>1</x:v>
      </x:c>
      <x:c r="E1164" s="103" t="str">
        <x:v>Material-row source portal</x:v>
      </x:c>
      <x:c r="F1164" s="103" t="str">
        <x:v>Source portal is identified, but edition/revision and property record locator remain unresolved.</x:v>
      </x:c>
    </x:row>
    <x:row r="1165">
      <x:c r="A1165" s="54" t="n">
        <x:v>3019</x:v>
      </x:c>
      <x:c r="B1165" s="54" t="n">
        <x:v>8</x:v>
      </x:c>
      <x:c r="C1165" s="54" t="n">
        <x:v>5</x:v>
      </x:c>
      <x:c r="D1165" s="54" t="n">
        <x:v>1</x:v>
      </x:c>
      <x:c r="E1165" s="103" t="str">
        <x:v>Material-row source portal</x:v>
      </x:c>
      <x:c r="F1165" s="103" t="str">
        <x:v>Source portal is identified, but edition/revision and property record locator remain unresolved.</x:v>
      </x:c>
    </x:row>
    <x:row r="1166">
      <x:c r="A1166" s="54" t="n">
        <x:v>3019</x:v>
      </x:c>
      <x:c r="B1166" s="54" t="n">
        <x:v>9</x:v>
      </x:c>
      <x:c r="C1166" s="54" t="n">
        <x:v>5</x:v>
      </x:c>
      <x:c r="D1166" s="54" t="n">
        <x:v>1</x:v>
      </x:c>
      <x:c r="E1166" s="103" t="str">
        <x:v>Material-row source portal</x:v>
      </x:c>
      <x:c r="F1166" s="103" t="str">
        <x:v>Source portal is identified, but edition/revision and property record locator remain unresolved.</x:v>
      </x:c>
    </x:row>
    <x:row r="1167">
      <x:c r="A1167" s="54" t="n">
        <x:v>3019</x:v>
      </x:c>
      <x:c r="B1167" s="54" t="n">
        <x:v>10</x:v>
      </x:c>
      <x:c r="C1167" s="54" t="n">
        <x:v>5</x:v>
      </x:c>
      <x:c r="D1167" s="54" t="n">
        <x:v>1</x:v>
      </x:c>
      <x:c r="E1167" s="103" t="str">
        <x:v>Material-row source portal</x:v>
      </x:c>
      <x:c r="F1167" s="103" t="str">
        <x:v>Source portal is identified, but edition/revision and property record locator remain unresolved.</x:v>
      </x:c>
    </x:row>
    <x:row r="1168">
      <x:c r="A1168" s="54" t="n">
        <x:v>3019</x:v>
      </x:c>
      <x:c r="B1168" s="54" t="n">
        <x:v>11</x:v>
      </x:c>
      <x:c r="C1168" s="54" t="n">
        <x:v>5</x:v>
      </x:c>
      <x:c r="D1168" s="54" t="n">
        <x:v>1</x:v>
      </x:c>
      <x:c r="E1168" s="103" t="str">
        <x:v>Material-row source portal</x:v>
      </x:c>
      <x:c r="F1168" s="103" t="str">
        <x:v>Source portal is identified, but edition/revision and property record locator remain unresolved.</x:v>
      </x:c>
    </x:row>
    <x:row r="1169">
      <x:c r="A1169" s="54" t="n">
        <x:v>3019</x:v>
      </x:c>
      <x:c r="B1169" s="54" t="n">
        <x:v>12</x:v>
      </x:c>
      <x:c r="C1169" s="54" t="n">
        <x:v>5</x:v>
      </x:c>
      <x:c r="D1169" s="54" t="n">
        <x:v>1</x:v>
      </x:c>
      <x:c r="E1169" s="103" t="str">
        <x:v>Material-row source portal</x:v>
      </x:c>
      <x:c r="F1169" s="103" t="str">
        <x:v>Source portal is identified, but edition/revision and property record locator remain unresolved.</x:v>
      </x:c>
    </x:row>
    <x:row r="1170">
      <x:c r="A1170" s="54" t="n">
        <x:v>3019</x:v>
      </x:c>
      <x:c r="B1170" s="54" t="n">
        <x:v>13</x:v>
      </x:c>
      <x:c r="C1170" s="54" t="n">
        <x:v>5</x:v>
      </x:c>
      <x:c r="D1170" s="54" t="n">
        <x:v>1</x:v>
      </x:c>
      <x:c r="E1170" s="103" t="str">
        <x:v>Material-row source portal</x:v>
      </x:c>
      <x:c r="F1170" s="103" t="str">
        <x:v>Source portal is identified, but edition/revision and property record locator remain unresolved.</x:v>
      </x:c>
    </x:row>
    <x:row r="1171">
      <x:c r="A1171" s="54" t="n">
        <x:v>3019</x:v>
      </x:c>
      <x:c r="B1171" s="54" t="n">
        <x:v>14</x:v>
      </x:c>
      <x:c r="C1171" s="54" t="n">
        <x:v>5</x:v>
      </x:c>
      <x:c r="D1171" s="54" t="n">
        <x:v>1</x:v>
      </x:c>
      <x:c r="E1171" s="103" t="str">
        <x:v>Material-row source portal</x:v>
      </x:c>
      <x:c r="F1171" s="103" t="str">
        <x:v>Source portal is identified, but edition/revision and property record locator remain unresolved.</x:v>
      </x:c>
    </x:row>
    <x:row r="1172">
      <x:c r="A1172" s="54" t="n">
        <x:v>3019</x:v>
      </x:c>
      <x:c r="B1172" s="54" t="n">
        <x:v>15</x:v>
      </x:c>
      <x:c r="C1172" s="54" t="n">
        <x:v>5</x:v>
      </x:c>
      <x:c r="D1172" s="54" t="n">
        <x:v>1</x:v>
      </x:c>
      <x:c r="E1172" s="103" t="str">
        <x:v>Material-row source portal</x:v>
      </x:c>
      <x:c r="F1172" s="103" t="str">
        <x:v>Source portal is identified, but edition/revision and property record locator remain unresolved.</x:v>
      </x:c>
    </x:row>
    <x:row r="1173">
      <x:c r="A1173" s="54" t="n">
        <x:v>3019</x:v>
      </x:c>
      <x:c r="B1173" s="54" t="n">
        <x:v>16</x:v>
      </x:c>
      <x:c r="C1173" s="54" t="n">
        <x:v>5</x:v>
      </x:c>
      <x:c r="D1173" s="54" t="n">
        <x:v>1</x:v>
      </x:c>
      <x:c r="E1173" s="103" t="str">
        <x:v>Material-row source portal</x:v>
      </x:c>
      <x:c r="F1173" s="103" t="str">
        <x:v>Source portal is identified, but edition/revision and property record locator remain unresolved.</x:v>
      </x:c>
    </x:row>
    <x:row r="1174">
      <x:c r="A1174" s="54" t="n">
        <x:v>3019</x:v>
      </x:c>
      <x:c r="B1174" s="54" t="n">
        <x:v>18</x:v>
      </x:c>
      <x:c r="C1174" s="54" t="n">
        <x:v>5</x:v>
      </x:c>
      <x:c r="D1174" s="54" t="n">
        <x:v>1</x:v>
      </x:c>
      <x:c r="E1174" s="103" t="str">
        <x:v>Formula-derived from E and Poisson ratio; input records inherit the material-row source</x:v>
      </x:c>
      <x:c r="F1174" s="103" t="str">
        <x:v>Source portal is identified, but edition/revision and property record locator remain unresolved.</x:v>
      </x:c>
    </x:row>
    <x:row r="1175">
      <x:c r="A1175" s="54" t="n">
        <x:v>3020</x:v>
      </x:c>
      <x:c r="B1175" s="54" t="n">
        <x:v>1</x:v>
      </x:c>
      <x:c r="C1175" s="54" t="n">
        <x:v>5</x:v>
      </x:c>
      <x:c r="D1175" s="54" t="n">
        <x:v>1</x:v>
      </x:c>
      <x:c r="E1175" s="103" t="str">
        <x:v>Material-row source portal</x:v>
      </x:c>
      <x:c r="F1175" s="103" t="str">
        <x:v>Source portal is identified, but edition/revision and property record locator remain unresolved.</x:v>
      </x:c>
    </x:row>
    <x:row r="1176">
      <x:c r="A1176" s="54" t="n">
        <x:v>3020</x:v>
      </x:c>
      <x:c r="B1176" s="54" t="n">
        <x:v>2</x:v>
      </x:c>
      <x:c r="C1176" s="54" t="n">
        <x:v>5</x:v>
      </x:c>
      <x:c r="D1176" s="54" t="n">
        <x:v>1</x:v>
      </x:c>
      <x:c r="E1176" s="103" t="str">
        <x:v>Material-row source portal</x:v>
      </x:c>
      <x:c r="F1176" s="103" t="str">
        <x:v>Source portal is identified, but edition/revision and property record locator remain unresolved.</x:v>
      </x:c>
    </x:row>
    <x:row r="1177">
      <x:c r="A1177" s="54" t="n">
        <x:v>3020</x:v>
      </x:c>
      <x:c r="B1177" s="54" t="n">
        <x:v>3</x:v>
      </x:c>
      <x:c r="C1177" s="54" t="n">
        <x:v>5</x:v>
      </x:c>
      <x:c r="D1177" s="54" t="n">
        <x:v>1</x:v>
      </x:c>
      <x:c r="E1177" s="103" t="str">
        <x:v>Formula-derived from E and Poisson ratio; input records inherit the material-row source</x:v>
      </x:c>
      <x:c r="F1177" s="103" t="str">
        <x:v>Source portal is identified, but edition/revision and property record locator remain unresolved.</x:v>
      </x:c>
    </x:row>
    <x:row r="1178">
      <x:c r="A1178" s="54" t="n">
        <x:v>3020</x:v>
      </x:c>
      <x:c r="B1178" s="54" t="n">
        <x:v>4</x:v>
      </x:c>
      <x:c r="C1178" s="54" t="n">
        <x:v>5</x:v>
      </x:c>
      <x:c r="D1178" s="54" t="n">
        <x:v>1</x:v>
      </x:c>
      <x:c r="E1178" s="103" t="str">
        <x:v>Material-row source portal</x:v>
      </x:c>
      <x:c r="F1178" s="103" t="str">
        <x:v>Source portal is identified, but edition/revision and property record locator remain unresolved.</x:v>
      </x:c>
    </x:row>
    <x:row r="1179">
      <x:c r="A1179" s="54" t="n">
        <x:v>3020</x:v>
      </x:c>
      <x:c r="B1179" s="54" t="n">
        <x:v>5</x:v>
      </x:c>
      <x:c r="C1179" s="54" t="n">
        <x:v>5</x:v>
      </x:c>
      <x:c r="D1179" s="54" t="n">
        <x:v>1</x:v>
      </x:c>
      <x:c r="E1179" s="103" t="str">
        <x:v>Material-row source portal</x:v>
      </x:c>
      <x:c r="F1179" s="103" t="str">
        <x:v>Source portal is identified, but edition/revision and property record locator remain unresolved.</x:v>
      </x:c>
    </x:row>
    <x:row r="1180">
      <x:c r="A1180" s="54" t="n">
        <x:v>3020</x:v>
      </x:c>
      <x:c r="B1180" s="54" t="n">
        <x:v>6</x:v>
      </x:c>
      <x:c r="C1180" s="54" t="n">
        <x:v>5</x:v>
      </x:c>
      <x:c r="D1180" s="54" t="n">
        <x:v>1</x:v>
      </x:c>
      <x:c r="E1180" s="103" t="str">
        <x:v>Material-row source portal</x:v>
      </x:c>
      <x:c r="F1180" s="103" t="str">
        <x:v>Source portal is identified, but edition/revision and property record locator remain unresolved.</x:v>
      </x:c>
    </x:row>
    <x:row r="1181">
      <x:c r="A1181" s="54" t="n">
        <x:v>3020</x:v>
      </x:c>
      <x:c r="B1181" s="54" t="n">
        <x:v>7</x:v>
      </x:c>
      <x:c r="C1181" s="54" t="n">
        <x:v>5</x:v>
      </x:c>
      <x:c r="D1181" s="54" t="n">
        <x:v>1</x:v>
      </x:c>
      <x:c r="E1181" s="103" t="str">
        <x:v>Material-row source portal</x:v>
      </x:c>
      <x:c r="F1181" s="103" t="str">
        <x:v>Source portal is identified, but edition/revision and property record locator remain unresolved.</x:v>
      </x:c>
    </x:row>
    <x:row r="1182">
      <x:c r="A1182" s="54" t="n">
        <x:v>3020</x:v>
      </x:c>
      <x:c r="B1182" s="54" t="n">
        <x:v>8</x:v>
      </x:c>
      <x:c r="C1182" s="54" t="n">
        <x:v>5</x:v>
      </x:c>
      <x:c r="D1182" s="54" t="n">
        <x:v>1</x:v>
      </x:c>
      <x:c r="E1182" s="103" t="str">
        <x:v>Material-row source portal</x:v>
      </x:c>
      <x:c r="F1182" s="103" t="str">
        <x:v>Source portal is identified, but edition/revision and property record locator remain unresolved.</x:v>
      </x:c>
    </x:row>
    <x:row r="1183">
      <x:c r="A1183" s="54" t="n">
        <x:v>3020</x:v>
      </x:c>
      <x:c r="B1183" s="54" t="n">
        <x:v>9</x:v>
      </x:c>
      <x:c r="C1183" s="54" t="n">
        <x:v>5</x:v>
      </x:c>
      <x:c r="D1183" s="54" t="n">
        <x:v>1</x:v>
      </x:c>
      <x:c r="E1183" s="103" t="str">
        <x:v>Material-row source portal</x:v>
      </x:c>
      <x:c r="F1183" s="103" t="str">
        <x:v>Source portal is identified, but edition/revision and property record locator remain unresolved.</x:v>
      </x:c>
    </x:row>
    <x:row r="1184">
      <x:c r="A1184" s="54" t="n">
        <x:v>3020</x:v>
      </x:c>
      <x:c r="B1184" s="54" t="n">
        <x:v>10</x:v>
      </x:c>
      <x:c r="C1184" s="54" t="n">
        <x:v>5</x:v>
      </x:c>
      <x:c r="D1184" s="54" t="n">
        <x:v>1</x:v>
      </x:c>
      <x:c r="E1184" s="103" t="str">
        <x:v>Material-row source portal</x:v>
      </x:c>
      <x:c r="F1184" s="103" t="str">
        <x:v>Source portal is identified, but edition/revision and property record locator remain unresolved.</x:v>
      </x:c>
    </x:row>
    <x:row r="1185">
      <x:c r="A1185" s="54" t="n">
        <x:v>3020</x:v>
      </x:c>
      <x:c r="B1185" s="54" t="n">
        <x:v>11</x:v>
      </x:c>
      <x:c r="C1185" s="54" t="n">
        <x:v>5</x:v>
      </x:c>
      <x:c r="D1185" s="54" t="n">
        <x:v>1</x:v>
      </x:c>
      <x:c r="E1185" s="103" t="str">
        <x:v>Material-row source portal</x:v>
      </x:c>
      <x:c r="F1185" s="103" t="str">
        <x:v>Source portal is identified, but edition/revision and property record locator remain unresolved.</x:v>
      </x:c>
    </x:row>
    <x:row r="1186">
      <x:c r="A1186" s="54" t="n">
        <x:v>3020</x:v>
      </x:c>
      <x:c r="B1186" s="54" t="n">
        <x:v>12</x:v>
      </x:c>
      <x:c r="C1186" s="54" t="n">
        <x:v>5</x:v>
      </x:c>
      <x:c r="D1186" s="54" t="n">
        <x:v>1</x:v>
      </x:c>
      <x:c r="E1186" s="103" t="str">
        <x:v>Material-row source portal</x:v>
      </x:c>
      <x:c r="F1186" s="103" t="str">
        <x:v>Source portal is identified, but edition/revision and property record locator remain unresolved.</x:v>
      </x:c>
    </x:row>
    <x:row r="1187">
      <x:c r="A1187" s="54" t="n">
        <x:v>3020</x:v>
      </x:c>
      <x:c r="B1187" s="54" t="n">
        <x:v>13</x:v>
      </x:c>
      <x:c r="C1187" s="54" t="n">
        <x:v>5</x:v>
      </x:c>
      <x:c r="D1187" s="54" t="n">
        <x:v>1</x:v>
      </x:c>
      <x:c r="E1187" s="103" t="str">
        <x:v>Material-row source portal</x:v>
      </x:c>
      <x:c r="F1187" s="103" t="str">
        <x:v>Source portal is identified, but edition/revision and property record locator remain unresolved.</x:v>
      </x:c>
    </x:row>
    <x:row r="1188">
      <x:c r="A1188" s="54" t="n">
        <x:v>3020</x:v>
      </x:c>
      <x:c r="B1188" s="54" t="n">
        <x:v>14</x:v>
      </x:c>
      <x:c r="C1188" s="54" t="n">
        <x:v>5</x:v>
      </x:c>
      <x:c r="D1188" s="54" t="n">
        <x:v>1</x:v>
      </x:c>
      <x:c r="E1188" s="103" t="str">
        <x:v>Material-row source portal</x:v>
      </x:c>
      <x:c r="F1188" s="103" t="str">
        <x:v>Source portal is identified, but edition/revision and property record locator remain unresolved.</x:v>
      </x:c>
    </x:row>
    <x:row r="1189">
      <x:c r="A1189" s="54" t="n">
        <x:v>3020</x:v>
      </x:c>
      <x:c r="B1189" s="54" t="n">
        <x:v>15</x:v>
      </x:c>
      <x:c r="C1189" s="54" t="n">
        <x:v>5</x:v>
      </x:c>
      <x:c r="D1189" s="54" t="n">
        <x:v>1</x:v>
      </x:c>
      <x:c r="E1189" s="103" t="str">
        <x:v>Material-row source portal</x:v>
      </x:c>
      <x:c r="F1189" s="103" t="str">
        <x:v>Source portal is identified, but edition/revision and property record locator remain unresolved.</x:v>
      </x:c>
    </x:row>
    <x:row r="1190">
      <x:c r="A1190" s="54" t="n">
        <x:v>3020</x:v>
      </x:c>
      <x:c r="B1190" s="54" t="n">
        <x:v>16</x:v>
      </x:c>
      <x:c r="C1190" s="54" t="n">
        <x:v>5</x:v>
      </x:c>
      <x:c r="D1190" s="54" t="n">
        <x:v>1</x:v>
      </x:c>
      <x:c r="E1190" s="103" t="str">
        <x:v>Material-row source portal</x:v>
      </x:c>
      <x:c r="F1190" s="103" t="str">
        <x:v>Source portal is identified, but edition/revision and property record locator remain unresolved.</x:v>
      </x:c>
    </x:row>
    <x:row r="1191">
      <x:c r="A1191" s="54" t="n">
        <x:v>3020</x:v>
      </x:c>
      <x:c r="B1191" s="54" t="n">
        <x:v>18</x:v>
      </x:c>
      <x:c r="C1191" s="54" t="n">
        <x:v>5</x:v>
      </x:c>
      <x:c r="D1191" s="54" t="n">
        <x:v>1</x:v>
      </x:c>
      <x:c r="E1191" s="103" t="str">
        <x:v>Formula-derived from E and Poisson ratio; input records inherit the material-row source</x:v>
      </x:c>
      <x:c r="F1191" s="103" t="str">
        <x:v>Source portal is identified, but edition/revision and property record locator remain unresolved.</x:v>
      </x:c>
    </x:row>
    <x:row r="1192">
      <x:c r="A1192" s="54" t="n">
        <x:v>3021</x:v>
      </x:c>
      <x:c r="B1192" s="54" t="n">
        <x:v>1</x:v>
      </x:c>
      <x:c r="C1192" s="54" t="n">
        <x:v>5</x:v>
      </x:c>
      <x:c r="D1192" s="54" t="n">
        <x:v>1</x:v>
      </x:c>
      <x:c r="E1192" s="103" t="str">
        <x:v>Material-row source portal</x:v>
      </x:c>
      <x:c r="F1192" s="103" t="str">
        <x:v>Source portal is identified, but edition/revision and property record locator remain unresolved.</x:v>
      </x:c>
    </x:row>
    <x:row r="1193">
      <x:c r="A1193" s="54" t="n">
        <x:v>3021</x:v>
      </x:c>
      <x:c r="B1193" s="54" t="n">
        <x:v>2</x:v>
      </x:c>
      <x:c r="C1193" s="54" t="n">
        <x:v>5</x:v>
      </x:c>
      <x:c r="D1193" s="54" t="n">
        <x:v>1</x:v>
      </x:c>
      <x:c r="E1193" s="103" t="str">
        <x:v>Material-row source portal</x:v>
      </x:c>
      <x:c r="F1193" s="103" t="str">
        <x:v>Source portal is identified, but edition/revision and property record locator remain unresolved.</x:v>
      </x:c>
    </x:row>
    <x:row r="1194">
      <x:c r="A1194" s="54" t="n">
        <x:v>3021</x:v>
      </x:c>
      <x:c r="B1194" s="54" t="n">
        <x:v>3</x:v>
      </x:c>
      <x:c r="C1194" s="54" t="n">
        <x:v>5</x:v>
      </x:c>
      <x:c r="D1194" s="54" t="n">
        <x:v>1</x:v>
      </x:c>
      <x:c r="E1194" s="103" t="str">
        <x:v>Formula-derived from E and Poisson ratio; input records inherit the material-row source</x:v>
      </x:c>
      <x:c r="F1194" s="103" t="str">
        <x:v>Source portal is identified, but edition/revision and property record locator remain unresolved.</x:v>
      </x:c>
    </x:row>
    <x:row r="1195">
      <x:c r="A1195" s="54" t="n">
        <x:v>3021</x:v>
      </x:c>
      <x:c r="B1195" s="54" t="n">
        <x:v>4</x:v>
      </x:c>
      <x:c r="C1195" s="54" t="n">
        <x:v>5</x:v>
      </x:c>
      <x:c r="D1195" s="54" t="n">
        <x:v>1</x:v>
      </x:c>
      <x:c r="E1195" s="103" t="str">
        <x:v>Material-row source portal</x:v>
      </x:c>
      <x:c r="F1195" s="103" t="str">
        <x:v>Source portal is identified, but edition/revision and property record locator remain unresolved.</x:v>
      </x:c>
    </x:row>
    <x:row r="1196">
      <x:c r="A1196" s="54" t="n">
        <x:v>3021</x:v>
      </x:c>
      <x:c r="B1196" s="54" t="n">
        <x:v>5</x:v>
      </x:c>
      <x:c r="C1196" s="54" t="n">
        <x:v>5</x:v>
      </x:c>
      <x:c r="D1196" s="54" t="n">
        <x:v>1</x:v>
      </x:c>
      <x:c r="E1196" s="103" t="str">
        <x:v>Material-row source portal</x:v>
      </x:c>
      <x:c r="F1196" s="103" t="str">
        <x:v>Source portal is identified, but edition/revision and property record locator remain unresolved.</x:v>
      </x:c>
    </x:row>
    <x:row r="1197">
      <x:c r="A1197" s="54" t="n">
        <x:v>3021</x:v>
      </x:c>
      <x:c r="B1197" s="54" t="n">
        <x:v>6</x:v>
      </x:c>
      <x:c r="C1197" s="54" t="n">
        <x:v>5</x:v>
      </x:c>
      <x:c r="D1197" s="54" t="n">
        <x:v>1</x:v>
      </x:c>
      <x:c r="E1197" s="103" t="str">
        <x:v>Material-row source portal</x:v>
      </x:c>
      <x:c r="F1197" s="103" t="str">
        <x:v>Source portal is identified, but edition/revision and property record locator remain unresolved.</x:v>
      </x:c>
    </x:row>
    <x:row r="1198">
      <x:c r="A1198" s="54" t="n">
        <x:v>3021</x:v>
      </x:c>
      <x:c r="B1198" s="54" t="n">
        <x:v>7</x:v>
      </x:c>
      <x:c r="C1198" s="54" t="n">
        <x:v>5</x:v>
      </x:c>
      <x:c r="D1198" s="54" t="n">
        <x:v>1</x:v>
      </x:c>
      <x:c r="E1198" s="103" t="str">
        <x:v>Material-row source portal</x:v>
      </x:c>
      <x:c r="F1198" s="103" t="str">
        <x:v>Source portal is identified, but edition/revision and property record locator remain unresolved.</x:v>
      </x:c>
    </x:row>
    <x:row r="1199">
      <x:c r="A1199" s="54" t="n">
        <x:v>3021</x:v>
      </x:c>
      <x:c r="B1199" s="54" t="n">
        <x:v>8</x:v>
      </x:c>
      <x:c r="C1199" s="54" t="n">
        <x:v>5</x:v>
      </x:c>
      <x:c r="D1199" s="54" t="n">
        <x:v>1</x:v>
      </x:c>
      <x:c r="E1199" s="103" t="str">
        <x:v>Material-row source portal</x:v>
      </x:c>
      <x:c r="F1199" s="103" t="str">
        <x:v>Source portal is identified, but edition/revision and property record locator remain unresolved.</x:v>
      </x:c>
    </x:row>
    <x:row r="1200">
      <x:c r="A1200" s="54" t="n">
        <x:v>3021</x:v>
      </x:c>
      <x:c r="B1200" s="54" t="n">
        <x:v>9</x:v>
      </x:c>
      <x:c r="C1200" s="54" t="n">
        <x:v>5</x:v>
      </x:c>
      <x:c r="D1200" s="54" t="n">
        <x:v>1</x:v>
      </x:c>
      <x:c r="E1200" s="103" t="str">
        <x:v>Material-row source portal</x:v>
      </x:c>
      <x:c r="F1200" s="103" t="str">
        <x:v>Source portal is identified, but edition/revision and property record locator remain unresolved.</x:v>
      </x:c>
    </x:row>
    <x:row r="1201">
      <x:c r="A1201" s="54" t="n">
        <x:v>3021</x:v>
      </x:c>
      <x:c r="B1201" s="54" t="n">
        <x:v>10</x:v>
      </x:c>
      <x:c r="C1201" s="54" t="n">
        <x:v>5</x:v>
      </x:c>
      <x:c r="D1201" s="54" t="n">
        <x:v>1</x:v>
      </x:c>
      <x:c r="E1201" s="103" t="str">
        <x:v>Material-row source portal</x:v>
      </x:c>
      <x:c r="F1201" s="103" t="str">
        <x:v>Source portal is identified, but edition/revision and property record locator remain unresolved.</x:v>
      </x:c>
    </x:row>
    <x:row r="1202">
      <x:c r="A1202" s="54" t="n">
        <x:v>3021</x:v>
      </x:c>
      <x:c r="B1202" s="54" t="n">
        <x:v>11</x:v>
      </x:c>
      <x:c r="C1202" s="54" t="n">
        <x:v>5</x:v>
      </x:c>
      <x:c r="D1202" s="54" t="n">
        <x:v>1</x:v>
      </x:c>
      <x:c r="E1202" s="103" t="str">
        <x:v>Material-row source portal</x:v>
      </x:c>
      <x:c r="F1202" s="103" t="str">
        <x:v>Source portal is identified, but edition/revision and property record locator remain unresolved.</x:v>
      </x:c>
    </x:row>
    <x:row r="1203">
      <x:c r="A1203" s="54" t="n">
        <x:v>3021</x:v>
      </x:c>
      <x:c r="B1203" s="54" t="n">
        <x:v>12</x:v>
      </x:c>
      <x:c r="C1203" s="54" t="n">
        <x:v>5</x:v>
      </x:c>
      <x:c r="D1203" s="54" t="n">
        <x:v>1</x:v>
      </x:c>
      <x:c r="E1203" s="103" t="str">
        <x:v>Material-row source portal</x:v>
      </x:c>
      <x:c r="F1203" s="103" t="str">
        <x:v>Source portal is identified, but edition/revision and property record locator remain unresolved.</x:v>
      </x:c>
    </x:row>
    <x:row r="1204">
      <x:c r="A1204" s="54" t="n">
        <x:v>3021</x:v>
      </x:c>
      <x:c r="B1204" s="54" t="n">
        <x:v>13</x:v>
      </x:c>
      <x:c r="C1204" s="54" t="n">
        <x:v>5</x:v>
      </x:c>
      <x:c r="D1204" s="54" t="n">
        <x:v>1</x:v>
      </x:c>
      <x:c r="E1204" s="103" t="str">
        <x:v>Material-row source portal</x:v>
      </x:c>
      <x:c r="F1204" s="103" t="str">
        <x:v>Source portal is identified, but edition/revision and property record locator remain unresolved.</x:v>
      </x:c>
    </x:row>
    <x:row r="1205">
      <x:c r="A1205" s="54" t="n">
        <x:v>3021</x:v>
      </x:c>
      <x:c r="B1205" s="54" t="n">
        <x:v>14</x:v>
      </x:c>
      <x:c r="C1205" s="54" t="n">
        <x:v>5</x:v>
      </x:c>
      <x:c r="D1205" s="54" t="n">
        <x:v>1</x:v>
      </x:c>
      <x:c r="E1205" s="103" t="str">
        <x:v>Material-row source portal</x:v>
      </x:c>
      <x:c r="F1205" s="103" t="str">
        <x:v>Source portal is identified, but edition/revision and property record locator remain unresolved.</x:v>
      </x:c>
    </x:row>
    <x:row r="1206">
      <x:c r="A1206" s="54" t="n">
        <x:v>3021</x:v>
      </x:c>
      <x:c r="B1206" s="54" t="n">
        <x:v>15</x:v>
      </x:c>
      <x:c r="C1206" s="54" t="n">
        <x:v>5</x:v>
      </x:c>
      <x:c r="D1206" s="54" t="n">
        <x:v>1</x:v>
      </x:c>
      <x:c r="E1206" s="103" t="str">
        <x:v>Material-row source portal</x:v>
      </x:c>
      <x:c r="F1206" s="103" t="str">
        <x:v>Source portal is identified, but edition/revision and property record locator remain unresolved.</x:v>
      </x:c>
    </x:row>
    <x:row r="1207">
      <x:c r="A1207" s="54" t="n">
        <x:v>3021</x:v>
      </x:c>
      <x:c r="B1207" s="54" t="n">
        <x:v>16</x:v>
      </x:c>
      <x:c r="C1207" s="54" t="n">
        <x:v>5</x:v>
      </x:c>
      <x:c r="D1207" s="54" t="n">
        <x:v>1</x:v>
      </x:c>
      <x:c r="E1207" s="103" t="str">
        <x:v>Material-row source portal</x:v>
      </x:c>
      <x:c r="F1207" s="103" t="str">
        <x:v>Source portal is identified, but edition/revision and property record locator remain unresolved.</x:v>
      </x:c>
    </x:row>
    <x:row r="1208">
      <x:c r="A1208" s="54" t="n">
        <x:v>3021</x:v>
      </x:c>
      <x:c r="B1208" s="54" t="n">
        <x:v>18</x:v>
      </x:c>
      <x:c r="C1208" s="54" t="n">
        <x:v>5</x:v>
      </x:c>
      <x:c r="D1208" s="54" t="n">
        <x:v>1</x:v>
      </x:c>
      <x:c r="E1208" s="103" t="str">
        <x:v>Formula-derived from E and Poisson ratio; input records inherit the material-row source</x:v>
      </x:c>
      <x:c r="F1208" s="103" t="str">
        <x:v>Source portal is identified, but edition/revision and property record locator remain unresolved.</x:v>
      </x:c>
    </x:row>
    <x:row r="1209">
      <x:c r="A1209" s="54" t="n">
        <x:v>3022</x:v>
      </x:c>
      <x:c r="B1209" s="54" t="n">
        <x:v>1</x:v>
      </x:c>
      <x:c r="C1209" s="54" t="n">
        <x:v>5</x:v>
      </x:c>
      <x:c r="D1209" s="54" t="n">
        <x:v>1</x:v>
      </x:c>
      <x:c r="E1209" s="103" t="str">
        <x:v>Material-row source portal</x:v>
      </x:c>
      <x:c r="F1209" s="103" t="str">
        <x:v>Source portal is identified, but edition/revision and property record locator remain unresolved.</x:v>
      </x:c>
    </x:row>
    <x:row r="1210">
      <x:c r="A1210" s="54" t="n">
        <x:v>3022</x:v>
      </x:c>
      <x:c r="B1210" s="54" t="n">
        <x:v>2</x:v>
      </x:c>
      <x:c r="C1210" s="54" t="n">
        <x:v>5</x:v>
      </x:c>
      <x:c r="D1210" s="54" t="n">
        <x:v>1</x:v>
      </x:c>
      <x:c r="E1210" s="103" t="str">
        <x:v>Material-row source portal</x:v>
      </x:c>
      <x:c r="F1210" s="103" t="str">
        <x:v>Source portal is identified, but edition/revision and property record locator remain unresolved.</x:v>
      </x:c>
    </x:row>
    <x:row r="1211">
      <x:c r="A1211" s="54" t="n">
        <x:v>3022</x:v>
      </x:c>
      <x:c r="B1211" s="54" t="n">
        <x:v>3</x:v>
      </x:c>
      <x:c r="C1211" s="54" t="n">
        <x:v>5</x:v>
      </x:c>
      <x:c r="D1211" s="54" t="n">
        <x:v>1</x:v>
      </x:c>
      <x:c r="E1211" s="103" t="str">
        <x:v>Formula-derived from E and Poisson ratio; input records inherit the material-row source</x:v>
      </x:c>
      <x:c r="F1211" s="103" t="str">
        <x:v>Source portal is identified, but edition/revision and property record locator remain unresolved.</x:v>
      </x:c>
    </x:row>
    <x:row r="1212">
      <x:c r="A1212" s="54" t="n">
        <x:v>3022</x:v>
      </x:c>
      <x:c r="B1212" s="54" t="n">
        <x:v>4</x:v>
      </x:c>
      <x:c r="C1212" s="54" t="n">
        <x:v>5</x:v>
      </x:c>
      <x:c r="D1212" s="54" t="n">
        <x:v>1</x:v>
      </x:c>
      <x:c r="E1212" s="103" t="str">
        <x:v>Material-row source portal</x:v>
      </x:c>
      <x:c r="F1212" s="103" t="str">
        <x:v>Source portal is identified, but edition/revision and property record locator remain unresolved.</x:v>
      </x:c>
    </x:row>
    <x:row r="1213">
      <x:c r="A1213" s="54" t="n">
        <x:v>3022</x:v>
      </x:c>
      <x:c r="B1213" s="54" t="n">
        <x:v>5</x:v>
      </x:c>
      <x:c r="C1213" s="54" t="n">
        <x:v>5</x:v>
      </x:c>
      <x:c r="D1213" s="54" t="n">
        <x:v>1</x:v>
      </x:c>
      <x:c r="E1213" s="103" t="str">
        <x:v>Material-row source portal</x:v>
      </x:c>
      <x:c r="F1213" s="103" t="str">
        <x:v>Source portal is identified, but edition/revision and property record locator remain unresolved.</x:v>
      </x:c>
    </x:row>
    <x:row r="1214">
      <x:c r="A1214" s="54" t="n">
        <x:v>3022</x:v>
      </x:c>
      <x:c r="B1214" s="54" t="n">
        <x:v>6</x:v>
      </x:c>
      <x:c r="C1214" s="54" t="n">
        <x:v>5</x:v>
      </x:c>
      <x:c r="D1214" s="54" t="n">
        <x:v>1</x:v>
      </x:c>
      <x:c r="E1214" s="103" t="str">
        <x:v>Material-row source portal</x:v>
      </x:c>
      <x:c r="F1214" s="103" t="str">
        <x:v>Source portal is identified, but edition/revision and property record locator remain unresolved.</x:v>
      </x:c>
    </x:row>
    <x:row r="1215">
      <x:c r="A1215" s="54" t="n">
        <x:v>3022</x:v>
      </x:c>
      <x:c r="B1215" s="54" t="n">
        <x:v>7</x:v>
      </x:c>
      <x:c r="C1215" s="54" t="n">
        <x:v>5</x:v>
      </x:c>
      <x:c r="D1215" s="54" t="n">
        <x:v>1</x:v>
      </x:c>
      <x:c r="E1215" s="103" t="str">
        <x:v>Material-row source portal</x:v>
      </x:c>
      <x:c r="F1215" s="103" t="str">
        <x:v>Source portal is identified, but edition/revision and property record locator remain unresolved.</x:v>
      </x:c>
    </x:row>
    <x:row r="1216">
      <x:c r="A1216" s="54" t="n">
        <x:v>3022</x:v>
      </x:c>
      <x:c r="B1216" s="54" t="n">
        <x:v>8</x:v>
      </x:c>
      <x:c r="C1216" s="54" t="n">
        <x:v>5</x:v>
      </x:c>
      <x:c r="D1216" s="54" t="n">
        <x:v>1</x:v>
      </x:c>
      <x:c r="E1216" s="103" t="str">
        <x:v>Material-row source portal</x:v>
      </x:c>
      <x:c r="F1216" s="103" t="str">
        <x:v>Source portal is identified, but edition/revision and property record locator remain unresolved.</x:v>
      </x:c>
    </x:row>
    <x:row r="1217">
      <x:c r="A1217" s="54" t="n">
        <x:v>3022</x:v>
      </x:c>
      <x:c r="B1217" s="54" t="n">
        <x:v>9</x:v>
      </x:c>
      <x:c r="C1217" s="54" t="n">
        <x:v>5</x:v>
      </x:c>
      <x:c r="D1217" s="54" t="n">
        <x:v>1</x:v>
      </x:c>
      <x:c r="E1217" s="103" t="str">
        <x:v>Material-row source portal</x:v>
      </x:c>
      <x:c r="F1217" s="103" t="str">
        <x:v>Source portal is identified, but edition/revision and property record locator remain unresolved.</x:v>
      </x:c>
    </x:row>
    <x:row r="1218">
      <x:c r="A1218" s="54" t="n">
        <x:v>3022</x:v>
      </x:c>
      <x:c r="B1218" s="54" t="n">
        <x:v>10</x:v>
      </x:c>
      <x:c r="C1218" s="54" t="n">
        <x:v>5</x:v>
      </x:c>
      <x:c r="D1218" s="54" t="n">
        <x:v>1</x:v>
      </x:c>
      <x:c r="E1218" s="103" t="str">
        <x:v>Material-row source portal</x:v>
      </x:c>
      <x:c r="F1218" s="103" t="str">
        <x:v>Source portal is identified, but edition/revision and property record locator remain unresolved.</x:v>
      </x:c>
    </x:row>
    <x:row r="1219">
      <x:c r="A1219" s="54" t="n">
        <x:v>3022</x:v>
      </x:c>
      <x:c r="B1219" s="54" t="n">
        <x:v>11</x:v>
      </x:c>
      <x:c r="C1219" s="54" t="n">
        <x:v>5</x:v>
      </x:c>
      <x:c r="D1219" s="54" t="n">
        <x:v>1</x:v>
      </x:c>
      <x:c r="E1219" s="103" t="str">
        <x:v>Material-row source portal</x:v>
      </x:c>
      <x:c r="F1219" s="103" t="str">
        <x:v>Source portal is identified, but edition/revision and property record locator remain unresolved.</x:v>
      </x:c>
    </x:row>
    <x:row r="1220">
      <x:c r="A1220" s="54" t="n">
        <x:v>3022</x:v>
      </x:c>
      <x:c r="B1220" s="54" t="n">
        <x:v>12</x:v>
      </x:c>
      <x:c r="C1220" s="54" t="n">
        <x:v>5</x:v>
      </x:c>
      <x:c r="D1220" s="54" t="n">
        <x:v>1</x:v>
      </x:c>
      <x:c r="E1220" s="103" t="str">
        <x:v>Material-row source portal</x:v>
      </x:c>
      <x:c r="F1220" s="103" t="str">
        <x:v>Source portal is identified, but edition/revision and property record locator remain unresolved.</x:v>
      </x:c>
    </x:row>
    <x:row r="1221">
      <x:c r="A1221" s="54" t="n">
        <x:v>3022</x:v>
      </x:c>
      <x:c r="B1221" s="54" t="n">
        <x:v>13</x:v>
      </x:c>
      <x:c r="C1221" s="54" t="n">
        <x:v>5</x:v>
      </x:c>
      <x:c r="D1221" s="54" t="n">
        <x:v>1</x:v>
      </x:c>
      <x:c r="E1221" s="103" t="str">
        <x:v>Material-row source portal</x:v>
      </x:c>
      <x:c r="F1221" s="103" t="str">
        <x:v>Source portal is identified, but edition/revision and property record locator remain unresolved.</x:v>
      </x:c>
    </x:row>
    <x:row r="1222">
      <x:c r="A1222" s="54" t="n">
        <x:v>3022</x:v>
      </x:c>
      <x:c r="B1222" s="54" t="n">
        <x:v>14</x:v>
      </x:c>
      <x:c r="C1222" s="54" t="n">
        <x:v>5</x:v>
      </x:c>
      <x:c r="D1222" s="54" t="n">
        <x:v>1</x:v>
      </x:c>
      <x:c r="E1222" s="103" t="str">
        <x:v>Material-row source portal</x:v>
      </x:c>
      <x:c r="F1222" s="103" t="str">
        <x:v>Source portal is identified, but edition/revision and property record locator remain unresolved.</x:v>
      </x:c>
    </x:row>
    <x:row r="1223">
      <x:c r="A1223" s="54" t="n">
        <x:v>3022</x:v>
      </x:c>
      <x:c r="B1223" s="54" t="n">
        <x:v>15</x:v>
      </x:c>
      <x:c r="C1223" s="54" t="n">
        <x:v>5</x:v>
      </x:c>
      <x:c r="D1223" s="54" t="n">
        <x:v>1</x:v>
      </x:c>
      <x:c r="E1223" s="103" t="str">
        <x:v>Material-row source portal</x:v>
      </x:c>
      <x:c r="F1223" s="103" t="str">
        <x:v>Source portal is identified, but edition/revision and property record locator remain unresolved.</x:v>
      </x:c>
    </x:row>
    <x:row r="1224">
      <x:c r="A1224" s="54" t="n">
        <x:v>3022</x:v>
      </x:c>
      <x:c r="B1224" s="54" t="n">
        <x:v>16</x:v>
      </x:c>
      <x:c r="C1224" s="54" t="n">
        <x:v>5</x:v>
      </x:c>
      <x:c r="D1224" s="54" t="n">
        <x:v>1</x:v>
      </x:c>
      <x:c r="E1224" s="103" t="str">
        <x:v>Material-row source portal</x:v>
      </x:c>
      <x:c r="F1224" s="103" t="str">
        <x:v>Source portal is identified, but edition/revision and property record locator remain unresolved.</x:v>
      </x:c>
    </x:row>
    <x:row r="1225">
      <x:c r="A1225" s="54" t="n">
        <x:v>3022</x:v>
      </x:c>
      <x:c r="B1225" s="54" t="n">
        <x:v>18</x:v>
      </x:c>
      <x:c r="C1225" s="54" t="n">
        <x:v>5</x:v>
      </x:c>
      <x:c r="D1225" s="54" t="n">
        <x:v>1</x:v>
      </x:c>
      <x:c r="E1225" s="103" t="str">
        <x:v>Formula-derived from E and Poisson ratio; input records inherit the material-row source</x:v>
      </x:c>
      <x:c r="F1225" s="103" t="str">
        <x:v>Source portal is identified, but edition/revision and property record locator remain unresolved.</x:v>
      </x:c>
    </x:row>
    <x:row r="1226">
      <x:c r="A1226" s="54" t="n">
        <x:v>3023</x:v>
      </x:c>
      <x:c r="B1226" s="54" t="n">
        <x:v>1</x:v>
      </x:c>
      <x:c r="C1226" s="54" t="n">
        <x:v>5</x:v>
      </x:c>
      <x:c r="D1226" s="54" t="n">
        <x:v>1</x:v>
      </x:c>
      <x:c r="E1226" s="103" t="str">
        <x:v>Material-row source portal</x:v>
      </x:c>
      <x:c r="F1226" s="103" t="str">
        <x:v>Source portal is identified, but edition/revision and property record locator remain unresolved.</x:v>
      </x:c>
    </x:row>
    <x:row r="1227">
      <x:c r="A1227" s="54" t="n">
        <x:v>3023</x:v>
      </x:c>
      <x:c r="B1227" s="54" t="n">
        <x:v>2</x:v>
      </x:c>
      <x:c r="C1227" s="54" t="n">
        <x:v>5</x:v>
      </x:c>
      <x:c r="D1227" s="54" t="n">
        <x:v>1</x:v>
      </x:c>
      <x:c r="E1227" s="103" t="str">
        <x:v>Material-row source portal</x:v>
      </x:c>
      <x:c r="F1227" s="103" t="str">
        <x:v>Source portal is identified, but edition/revision and property record locator remain unresolved.</x:v>
      </x:c>
    </x:row>
    <x:row r="1228">
      <x:c r="A1228" s="54" t="n">
        <x:v>3023</x:v>
      </x:c>
      <x:c r="B1228" s="54" t="n">
        <x:v>3</x:v>
      </x:c>
      <x:c r="C1228" s="54" t="n">
        <x:v>5</x:v>
      </x:c>
      <x:c r="D1228" s="54" t="n">
        <x:v>1</x:v>
      </x:c>
      <x:c r="E1228" s="103" t="str">
        <x:v>Formula-derived from E and Poisson ratio; input records inherit the material-row source</x:v>
      </x:c>
      <x:c r="F1228" s="103" t="str">
        <x:v>Source portal is identified, but edition/revision and property record locator remain unresolved.</x:v>
      </x:c>
    </x:row>
    <x:row r="1229">
      <x:c r="A1229" s="54" t="n">
        <x:v>3023</x:v>
      </x:c>
      <x:c r="B1229" s="54" t="n">
        <x:v>4</x:v>
      </x:c>
      <x:c r="C1229" s="54" t="n">
        <x:v>5</x:v>
      </x:c>
      <x:c r="D1229" s="54" t="n">
        <x:v>1</x:v>
      </x:c>
      <x:c r="E1229" s="103" t="str">
        <x:v>Material-row source portal</x:v>
      </x:c>
      <x:c r="F1229" s="103" t="str">
        <x:v>Source portal is identified, but edition/revision and property record locator remain unresolved.</x:v>
      </x:c>
    </x:row>
    <x:row r="1230">
      <x:c r="A1230" s="54" t="n">
        <x:v>3023</x:v>
      </x:c>
      <x:c r="B1230" s="54" t="n">
        <x:v>5</x:v>
      </x:c>
      <x:c r="C1230" s="54" t="n">
        <x:v>5</x:v>
      </x:c>
      <x:c r="D1230" s="54" t="n">
        <x:v>1</x:v>
      </x:c>
      <x:c r="E1230" s="103" t="str">
        <x:v>Material-row source portal</x:v>
      </x:c>
      <x:c r="F1230" s="103" t="str">
        <x:v>Source portal is identified, but edition/revision and property record locator remain unresolved.</x:v>
      </x:c>
    </x:row>
    <x:row r="1231">
      <x:c r="A1231" s="54" t="n">
        <x:v>3023</x:v>
      </x:c>
      <x:c r="B1231" s="54" t="n">
        <x:v>6</x:v>
      </x:c>
      <x:c r="C1231" s="54" t="n">
        <x:v>5</x:v>
      </x:c>
      <x:c r="D1231" s="54" t="n">
        <x:v>1</x:v>
      </x:c>
      <x:c r="E1231" s="103" t="str">
        <x:v>Material-row source portal</x:v>
      </x:c>
      <x:c r="F1231" s="103" t="str">
        <x:v>Source portal is identified, but edition/revision and property record locator remain unresolved.</x:v>
      </x:c>
    </x:row>
    <x:row r="1232">
      <x:c r="A1232" s="54" t="n">
        <x:v>3023</x:v>
      </x:c>
      <x:c r="B1232" s="54" t="n">
        <x:v>7</x:v>
      </x:c>
      <x:c r="C1232" s="54" t="n">
        <x:v>5</x:v>
      </x:c>
      <x:c r="D1232" s="54" t="n">
        <x:v>1</x:v>
      </x:c>
      <x:c r="E1232" s="103" t="str">
        <x:v>Material-row source portal</x:v>
      </x:c>
      <x:c r="F1232" s="103" t="str">
        <x:v>Source portal is identified, but edition/revision and property record locator remain unresolved.</x:v>
      </x:c>
    </x:row>
    <x:row r="1233">
      <x:c r="A1233" s="54" t="n">
        <x:v>3023</x:v>
      </x:c>
      <x:c r="B1233" s="54" t="n">
        <x:v>8</x:v>
      </x:c>
      <x:c r="C1233" s="54" t="n">
        <x:v>5</x:v>
      </x:c>
      <x:c r="D1233" s="54" t="n">
        <x:v>1</x:v>
      </x:c>
      <x:c r="E1233" s="103" t="str">
        <x:v>Material-row source portal</x:v>
      </x:c>
      <x:c r="F1233" s="103" t="str">
        <x:v>Source portal is identified, but edition/revision and property record locator remain unresolved.</x:v>
      </x:c>
    </x:row>
    <x:row r="1234">
      <x:c r="A1234" s="54" t="n">
        <x:v>3023</x:v>
      </x:c>
      <x:c r="B1234" s="54" t="n">
        <x:v>9</x:v>
      </x:c>
      <x:c r="C1234" s="54" t="n">
        <x:v>5</x:v>
      </x:c>
      <x:c r="D1234" s="54" t="n">
        <x:v>1</x:v>
      </x:c>
      <x:c r="E1234" s="103" t="str">
        <x:v>Material-row source portal</x:v>
      </x:c>
      <x:c r="F1234" s="103" t="str">
        <x:v>Source portal is identified, but edition/revision and property record locator remain unresolved.</x:v>
      </x:c>
    </x:row>
    <x:row r="1235">
      <x:c r="A1235" s="54" t="n">
        <x:v>3023</x:v>
      </x:c>
      <x:c r="B1235" s="54" t="n">
        <x:v>10</x:v>
      </x:c>
      <x:c r="C1235" s="54" t="n">
        <x:v>5</x:v>
      </x:c>
      <x:c r="D1235" s="54" t="n">
        <x:v>1</x:v>
      </x:c>
      <x:c r="E1235" s="103" t="str">
        <x:v>Material-row source portal</x:v>
      </x:c>
      <x:c r="F1235" s="103" t="str">
        <x:v>Source portal is identified, but edition/revision and property record locator remain unresolved.</x:v>
      </x:c>
    </x:row>
    <x:row r="1236">
      <x:c r="A1236" s="54" t="n">
        <x:v>3023</x:v>
      </x:c>
      <x:c r="B1236" s="54" t="n">
        <x:v>11</x:v>
      </x:c>
      <x:c r="C1236" s="54" t="n">
        <x:v>5</x:v>
      </x:c>
      <x:c r="D1236" s="54" t="n">
        <x:v>1</x:v>
      </x:c>
      <x:c r="E1236" s="103" t="str">
        <x:v>Material-row source portal</x:v>
      </x:c>
      <x:c r="F1236" s="103" t="str">
        <x:v>Source portal is identified, but edition/revision and property record locator remain unresolved.</x:v>
      </x:c>
    </x:row>
    <x:row r="1237">
      <x:c r="A1237" s="54" t="n">
        <x:v>3023</x:v>
      </x:c>
      <x:c r="B1237" s="54" t="n">
        <x:v>12</x:v>
      </x:c>
      <x:c r="C1237" s="54" t="n">
        <x:v>5</x:v>
      </x:c>
      <x:c r="D1237" s="54" t="n">
        <x:v>1</x:v>
      </x:c>
      <x:c r="E1237" s="103" t="str">
        <x:v>Material-row source portal</x:v>
      </x:c>
      <x:c r="F1237" s="103" t="str">
        <x:v>Source portal is identified, but edition/revision and property record locator remain unresolved.</x:v>
      </x:c>
    </x:row>
    <x:row r="1238">
      <x:c r="A1238" s="54" t="n">
        <x:v>3023</x:v>
      </x:c>
      <x:c r="B1238" s="54" t="n">
        <x:v>13</x:v>
      </x:c>
      <x:c r="C1238" s="54" t="n">
        <x:v>5</x:v>
      </x:c>
      <x:c r="D1238" s="54" t="n">
        <x:v>1</x:v>
      </x:c>
      <x:c r="E1238" s="103" t="str">
        <x:v>Material-row source portal</x:v>
      </x:c>
      <x:c r="F1238" s="103" t="str">
        <x:v>Source portal is identified, but edition/revision and property record locator remain unresolved.</x:v>
      </x:c>
    </x:row>
    <x:row r="1239">
      <x:c r="A1239" s="54" t="n">
        <x:v>3023</x:v>
      </x:c>
      <x:c r="B1239" s="54" t="n">
        <x:v>14</x:v>
      </x:c>
      <x:c r="C1239" s="54" t="n">
        <x:v>5</x:v>
      </x:c>
      <x:c r="D1239" s="54" t="n">
        <x:v>1</x:v>
      </x:c>
      <x:c r="E1239" s="103" t="str">
        <x:v>Material-row source portal</x:v>
      </x:c>
      <x:c r="F1239" s="103" t="str">
        <x:v>Source portal is identified, but edition/revision and property record locator remain unresolved.</x:v>
      </x:c>
    </x:row>
    <x:row r="1240">
      <x:c r="A1240" s="54" t="n">
        <x:v>3023</x:v>
      </x:c>
      <x:c r="B1240" s="54" t="n">
        <x:v>15</x:v>
      </x:c>
      <x:c r="C1240" s="54" t="n">
        <x:v>5</x:v>
      </x:c>
      <x:c r="D1240" s="54" t="n">
        <x:v>1</x:v>
      </x:c>
      <x:c r="E1240" s="103" t="str">
        <x:v>Material-row source portal</x:v>
      </x:c>
      <x:c r="F1240" s="103" t="str">
        <x:v>Source portal is identified, but edition/revision and property record locator remain unresolved.</x:v>
      </x:c>
    </x:row>
    <x:row r="1241">
      <x:c r="A1241" s="54" t="n">
        <x:v>3023</x:v>
      </x:c>
      <x:c r="B1241" s="54" t="n">
        <x:v>16</x:v>
      </x:c>
      <x:c r="C1241" s="54" t="n">
        <x:v>5</x:v>
      </x:c>
      <x:c r="D1241" s="54" t="n">
        <x:v>1</x:v>
      </x:c>
      <x:c r="E1241" s="103" t="str">
        <x:v>Material-row source portal</x:v>
      </x:c>
      <x:c r="F1241" s="103" t="str">
        <x:v>Source portal is identified, but edition/revision and property record locator remain unresolved.</x:v>
      </x:c>
    </x:row>
    <x:row r="1242">
      <x:c r="A1242" s="54" t="n">
        <x:v>3023</x:v>
      </x:c>
      <x:c r="B1242" s="54" t="n">
        <x:v>18</x:v>
      </x:c>
      <x:c r="C1242" s="54" t="n">
        <x:v>5</x:v>
      </x:c>
      <x:c r="D1242" s="54" t="n">
        <x:v>1</x:v>
      </x:c>
      <x:c r="E1242" s="103" t="str">
        <x:v>Formula-derived from E and Poisson ratio; input records inherit the material-row source</x:v>
      </x:c>
      <x:c r="F1242" s="103" t="str">
        <x:v>Source portal is identified, but edition/revision and property record locator remain unresolved.</x:v>
      </x:c>
    </x:row>
    <x:row r="1243">
      <x:c r="A1243" s="54" t="n">
        <x:v>3024</x:v>
      </x:c>
      <x:c r="B1243" s="54" t="n">
        <x:v>1</x:v>
      </x:c>
      <x:c r="C1243" s="54" t="n">
        <x:v>5</x:v>
      </x:c>
      <x:c r="D1243" s="54" t="n">
        <x:v>1</x:v>
      </x:c>
      <x:c r="E1243" s="103" t="str">
        <x:v>Material-row source portal</x:v>
      </x:c>
      <x:c r="F1243" s="103" t="str">
        <x:v>Source portal is identified, but edition/revision and property record locator remain unresolved.</x:v>
      </x:c>
    </x:row>
    <x:row r="1244">
      <x:c r="A1244" s="54" t="n">
        <x:v>3024</x:v>
      </x:c>
      <x:c r="B1244" s="54" t="n">
        <x:v>2</x:v>
      </x:c>
      <x:c r="C1244" s="54" t="n">
        <x:v>5</x:v>
      </x:c>
      <x:c r="D1244" s="54" t="n">
        <x:v>1</x:v>
      </x:c>
      <x:c r="E1244" s="103" t="str">
        <x:v>Material-row source portal</x:v>
      </x:c>
      <x:c r="F1244" s="103" t="str">
        <x:v>Source portal is identified, but edition/revision and property record locator remain unresolved.</x:v>
      </x:c>
    </x:row>
    <x:row r="1245">
      <x:c r="A1245" s="54" t="n">
        <x:v>3024</x:v>
      </x:c>
      <x:c r="B1245" s="54" t="n">
        <x:v>3</x:v>
      </x:c>
      <x:c r="C1245" s="54" t="n">
        <x:v>5</x:v>
      </x:c>
      <x:c r="D1245" s="54" t="n">
        <x:v>1</x:v>
      </x:c>
      <x:c r="E1245" s="103" t="str">
        <x:v>Formula-derived from E and Poisson ratio; input records inherit the material-row source</x:v>
      </x:c>
      <x:c r="F1245" s="103" t="str">
        <x:v>Source portal is identified, but edition/revision and property record locator remain unresolved.</x:v>
      </x:c>
    </x:row>
    <x:row r="1246">
      <x:c r="A1246" s="54" t="n">
        <x:v>3024</x:v>
      </x:c>
      <x:c r="B1246" s="54" t="n">
        <x:v>4</x:v>
      </x:c>
      <x:c r="C1246" s="54" t="n">
        <x:v>5</x:v>
      </x:c>
      <x:c r="D1246" s="54" t="n">
        <x:v>1</x:v>
      </x:c>
      <x:c r="E1246" s="103" t="str">
        <x:v>Material-row source portal</x:v>
      </x:c>
      <x:c r="F1246" s="103" t="str">
        <x:v>Source portal is identified, but edition/revision and property record locator remain unresolved.</x:v>
      </x:c>
    </x:row>
    <x:row r="1247">
      <x:c r="A1247" s="54" t="n">
        <x:v>3024</x:v>
      </x:c>
      <x:c r="B1247" s="54" t="n">
        <x:v>5</x:v>
      </x:c>
      <x:c r="C1247" s="54" t="n">
        <x:v>5</x:v>
      </x:c>
      <x:c r="D1247" s="54" t="n">
        <x:v>1</x:v>
      </x:c>
      <x:c r="E1247" s="103" t="str">
        <x:v>Material-row source portal</x:v>
      </x:c>
      <x:c r="F1247" s="103" t="str">
        <x:v>Source portal is identified, but edition/revision and property record locator remain unresolved.</x:v>
      </x:c>
    </x:row>
    <x:row r="1248">
      <x:c r="A1248" s="54" t="n">
        <x:v>3024</x:v>
      </x:c>
      <x:c r="B1248" s="54" t="n">
        <x:v>6</x:v>
      </x:c>
      <x:c r="C1248" s="54" t="n">
        <x:v>5</x:v>
      </x:c>
      <x:c r="D1248" s="54" t="n">
        <x:v>1</x:v>
      </x:c>
      <x:c r="E1248" s="103" t="str">
        <x:v>Material-row source portal</x:v>
      </x:c>
      <x:c r="F1248" s="103" t="str">
        <x:v>Source portal is identified, but edition/revision and property record locator remain unresolved.</x:v>
      </x:c>
    </x:row>
    <x:row r="1249">
      <x:c r="A1249" s="54" t="n">
        <x:v>3024</x:v>
      </x:c>
      <x:c r="B1249" s="54" t="n">
        <x:v>7</x:v>
      </x:c>
      <x:c r="C1249" s="54" t="n">
        <x:v>5</x:v>
      </x:c>
      <x:c r="D1249" s="54" t="n">
        <x:v>1</x:v>
      </x:c>
      <x:c r="E1249" s="103" t="str">
        <x:v>Material-row source portal</x:v>
      </x:c>
      <x:c r="F1249" s="103" t="str">
        <x:v>Source portal is identified, but edition/revision and property record locator remain unresolved.</x:v>
      </x:c>
    </x:row>
    <x:row r="1250">
      <x:c r="A1250" s="54" t="n">
        <x:v>3024</x:v>
      </x:c>
      <x:c r="B1250" s="54" t="n">
        <x:v>8</x:v>
      </x:c>
      <x:c r="C1250" s="54" t="n">
        <x:v>5</x:v>
      </x:c>
      <x:c r="D1250" s="54" t="n">
        <x:v>1</x:v>
      </x:c>
      <x:c r="E1250" s="103" t="str">
        <x:v>Material-row source portal</x:v>
      </x:c>
      <x:c r="F1250" s="103" t="str">
        <x:v>Source portal is identified, but edition/revision and property record locator remain unresolved.</x:v>
      </x:c>
    </x:row>
    <x:row r="1251">
      <x:c r="A1251" s="54" t="n">
        <x:v>3024</x:v>
      </x:c>
      <x:c r="B1251" s="54" t="n">
        <x:v>9</x:v>
      </x:c>
      <x:c r="C1251" s="54" t="n">
        <x:v>5</x:v>
      </x:c>
      <x:c r="D1251" s="54" t="n">
        <x:v>1</x:v>
      </x:c>
      <x:c r="E1251" s="103" t="str">
        <x:v>Material-row source portal</x:v>
      </x:c>
      <x:c r="F1251" s="103" t="str">
        <x:v>Source portal is identified, but edition/revision and property record locator remain unresolved.</x:v>
      </x:c>
    </x:row>
    <x:row r="1252">
      <x:c r="A1252" s="54" t="n">
        <x:v>3024</x:v>
      </x:c>
      <x:c r="B1252" s="54" t="n">
        <x:v>10</x:v>
      </x:c>
      <x:c r="C1252" s="54" t="n">
        <x:v>5</x:v>
      </x:c>
      <x:c r="D1252" s="54" t="n">
        <x:v>1</x:v>
      </x:c>
      <x:c r="E1252" s="103" t="str">
        <x:v>Material-row source portal</x:v>
      </x:c>
      <x:c r="F1252" s="103" t="str">
        <x:v>Source portal is identified, but edition/revision and property record locator remain unresolved.</x:v>
      </x:c>
    </x:row>
    <x:row r="1253">
      <x:c r="A1253" s="54" t="n">
        <x:v>3024</x:v>
      </x:c>
      <x:c r="B1253" s="54" t="n">
        <x:v>11</x:v>
      </x:c>
      <x:c r="C1253" s="54" t="n">
        <x:v>5</x:v>
      </x:c>
      <x:c r="D1253" s="54" t="n">
        <x:v>1</x:v>
      </x:c>
      <x:c r="E1253" s="103" t="str">
        <x:v>Material-row source portal</x:v>
      </x:c>
      <x:c r="F1253" s="103" t="str">
        <x:v>Source portal is identified, but edition/revision and property record locator remain unresolved.</x:v>
      </x:c>
    </x:row>
    <x:row r="1254">
      <x:c r="A1254" s="54" t="n">
        <x:v>3024</x:v>
      </x:c>
      <x:c r="B1254" s="54" t="n">
        <x:v>12</x:v>
      </x:c>
      <x:c r="C1254" s="54" t="n">
        <x:v>5</x:v>
      </x:c>
      <x:c r="D1254" s="54" t="n">
        <x:v>1</x:v>
      </x:c>
      <x:c r="E1254" s="103" t="str">
        <x:v>Material-row source portal</x:v>
      </x:c>
      <x:c r="F1254" s="103" t="str">
        <x:v>Source portal is identified, but edition/revision and property record locator remain unresolved.</x:v>
      </x:c>
    </x:row>
    <x:row r="1255">
      <x:c r="A1255" s="54" t="n">
        <x:v>3024</x:v>
      </x:c>
      <x:c r="B1255" s="54" t="n">
        <x:v>13</x:v>
      </x:c>
      <x:c r="C1255" s="54" t="n">
        <x:v>5</x:v>
      </x:c>
      <x:c r="D1255" s="54" t="n">
        <x:v>1</x:v>
      </x:c>
      <x:c r="E1255" s="103" t="str">
        <x:v>Material-row source portal</x:v>
      </x:c>
      <x:c r="F1255" s="103" t="str">
        <x:v>Source portal is identified, but edition/revision and property record locator remain unresolved.</x:v>
      </x:c>
    </x:row>
    <x:row r="1256">
      <x:c r="A1256" s="54" t="n">
        <x:v>3024</x:v>
      </x:c>
      <x:c r="B1256" s="54" t="n">
        <x:v>14</x:v>
      </x:c>
      <x:c r="C1256" s="54" t="n">
        <x:v>5</x:v>
      </x:c>
      <x:c r="D1256" s="54" t="n">
        <x:v>1</x:v>
      </x:c>
      <x:c r="E1256" s="103" t="str">
        <x:v>Material-row source portal</x:v>
      </x:c>
      <x:c r="F1256" s="103" t="str">
        <x:v>Source portal is identified, but edition/revision and property record locator remain unresolved.</x:v>
      </x:c>
    </x:row>
    <x:row r="1257">
      <x:c r="A1257" s="54" t="n">
        <x:v>3024</x:v>
      </x:c>
      <x:c r="B1257" s="54" t="n">
        <x:v>15</x:v>
      </x:c>
      <x:c r="C1257" s="54" t="n">
        <x:v>5</x:v>
      </x:c>
      <x:c r="D1257" s="54" t="n">
        <x:v>1</x:v>
      </x:c>
      <x:c r="E1257" s="103" t="str">
        <x:v>Material-row source portal</x:v>
      </x:c>
      <x:c r="F1257" s="103" t="str">
        <x:v>Source portal is identified, but edition/revision and property record locator remain unresolved.</x:v>
      </x:c>
    </x:row>
    <x:row r="1258">
      <x:c r="A1258" s="54" t="n">
        <x:v>3024</x:v>
      </x:c>
      <x:c r="B1258" s="54" t="n">
        <x:v>16</x:v>
      </x:c>
      <x:c r="C1258" s="54" t="n">
        <x:v>5</x:v>
      </x:c>
      <x:c r="D1258" s="54" t="n">
        <x:v>1</x:v>
      </x:c>
      <x:c r="E1258" s="103" t="str">
        <x:v>Material-row source portal</x:v>
      </x:c>
      <x:c r="F1258" s="103" t="str">
        <x:v>Source portal is identified, but edition/revision and property record locator remain unresolved.</x:v>
      </x:c>
    </x:row>
    <x:row r="1259">
      <x:c r="A1259" s="54" t="n">
        <x:v>3024</x:v>
      </x:c>
      <x:c r="B1259" s="54" t="n">
        <x:v>18</x:v>
      </x:c>
      <x:c r="C1259" s="54" t="n">
        <x:v>5</x:v>
      </x:c>
      <x:c r="D1259" s="54" t="n">
        <x:v>1</x:v>
      </x:c>
      <x:c r="E1259" s="103" t="str">
        <x:v>Formula-derived from E and Poisson ratio; input records inherit the material-row source</x:v>
      </x:c>
      <x:c r="F1259" s="103" t="str">
        <x:v>Source portal is identified, but edition/revision and property record locator remain unresolved.</x:v>
      </x:c>
    </x:row>
    <x:row r="1260">
      <x:c r="A1260" s="54" t="n">
        <x:v>3025</x:v>
      </x:c>
      <x:c r="B1260" s="54" t="n">
        <x:v>1</x:v>
      </x:c>
      <x:c r="C1260" s="54" t="n">
        <x:v>5</x:v>
      </x:c>
      <x:c r="D1260" s="54" t="n">
        <x:v>1</x:v>
      </x:c>
      <x:c r="E1260" s="103" t="str">
        <x:v>Material-row source portal</x:v>
      </x:c>
      <x:c r="F1260" s="103" t="str">
        <x:v>Source portal is identified, but edition/revision and property record locator remain unresolved.</x:v>
      </x:c>
    </x:row>
    <x:row r="1261">
      <x:c r="A1261" s="54" t="n">
        <x:v>3025</x:v>
      </x:c>
      <x:c r="B1261" s="54" t="n">
        <x:v>2</x:v>
      </x:c>
      <x:c r="C1261" s="54" t="n">
        <x:v>5</x:v>
      </x:c>
      <x:c r="D1261" s="54" t="n">
        <x:v>1</x:v>
      </x:c>
      <x:c r="E1261" s="103" t="str">
        <x:v>Material-row source portal</x:v>
      </x:c>
      <x:c r="F1261" s="103" t="str">
        <x:v>Source portal is identified, but edition/revision and property record locator remain unresolved.</x:v>
      </x:c>
    </x:row>
    <x:row r="1262">
      <x:c r="A1262" s="54" t="n">
        <x:v>3025</x:v>
      </x:c>
      <x:c r="B1262" s="54" t="n">
        <x:v>3</x:v>
      </x:c>
      <x:c r="C1262" s="54" t="n">
        <x:v>5</x:v>
      </x:c>
      <x:c r="D1262" s="54" t="n">
        <x:v>1</x:v>
      </x:c>
      <x:c r="E1262" s="103" t="str">
        <x:v>Formula-derived from E and Poisson ratio; input records inherit the material-row source</x:v>
      </x:c>
      <x:c r="F1262" s="103" t="str">
        <x:v>Source portal is identified, but edition/revision and property record locator remain unresolved.</x:v>
      </x:c>
    </x:row>
    <x:row r="1263">
      <x:c r="A1263" s="54" t="n">
        <x:v>3025</x:v>
      </x:c>
      <x:c r="B1263" s="54" t="n">
        <x:v>4</x:v>
      </x:c>
      <x:c r="C1263" s="54" t="n">
        <x:v>5</x:v>
      </x:c>
      <x:c r="D1263" s="54" t="n">
        <x:v>1</x:v>
      </x:c>
      <x:c r="E1263" s="103" t="str">
        <x:v>Material-row source portal</x:v>
      </x:c>
      <x:c r="F1263" s="103" t="str">
        <x:v>Source portal is identified, but edition/revision and property record locator remain unresolved.</x:v>
      </x:c>
    </x:row>
    <x:row r="1264">
      <x:c r="A1264" s="54" t="n">
        <x:v>3025</x:v>
      </x:c>
      <x:c r="B1264" s="54" t="n">
        <x:v>5</x:v>
      </x:c>
      <x:c r="C1264" s="54" t="n">
        <x:v>5</x:v>
      </x:c>
      <x:c r="D1264" s="54" t="n">
        <x:v>1</x:v>
      </x:c>
      <x:c r="E1264" s="103" t="str">
        <x:v>Material-row source portal</x:v>
      </x:c>
      <x:c r="F1264" s="103" t="str">
        <x:v>Source portal is identified, but edition/revision and property record locator remain unresolved.</x:v>
      </x:c>
    </x:row>
    <x:row r="1265">
      <x:c r="A1265" s="54" t="n">
        <x:v>3025</x:v>
      </x:c>
      <x:c r="B1265" s="54" t="n">
        <x:v>6</x:v>
      </x:c>
      <x:c r="C1265" s="54" t="n">
        <x:v>5</x:v>
      </x:c>
      <x:c r="D1265" s="54" t="n">
        <x:v>1</x:v>
      </x:c>
      <x:c r="E1265" s="103" t="str">
        <x:v>Material-row source portal</x:v>
      </x:c>
      <x:c r="F1265" s="103" t="str">
        <x:v>Source portal is identified, but edition/revision and property record locator remain unresolved.</x:v>
      </x:c>
    </x:row>
    <x:row r="1266">
      <x:c r="A1266" s="54" t="n">
        <x:v>3025</x:v>
      </x:c>
      <x:c r="B1266" s="54" t="n">
        <x:v>7</x:v>
      </x:c>
      <x:c r="C1266" s="54" t="n">
        <x:v>5</x:v>
      </x:c>
      <x:c r="D1266" s="54" t="n">
        <x:v>1</x:v>
      </x:c>
      <x:c r="E1266" s="103" t="str">
        <x:v>Material-row source portal</x:v>
      </x:c>
      <x:c r="F1266" s="103" t="str">
        <x:v>Source portal is identified, but edition/revision and property record locator remain unresolved.</x:v>
      </x:c>
    </x:row>
    <x:row r="1267">
      <x:c r="A1267" s="54" t="n">
        <x:v>3025</x:v>
      </x:c>
      <x:c r="B1267" s="54" t="n">
        <x:v>8</x:v>
      </x:c>
      <x:c r="C1267" s="54" t="n">
        <x:v>5</x:v>
      </x:c>
      <x:c r="D1267" s="54" t="n">
        <x:v>1</x:v>
      </x:c>
      <x:c r="E1267" s="103" t="str">
        <x:v>Material-row source portal</x:v>
      </x:c>
      <x:c r="F1267" s="103" t="str">
        <x:v>Source portal is identified, but edition/revision and property record locator remain unresolved.</x:v>
      </x:c>
    </x:row>
    <x:row r="1268">
      <x:c r="A1268" s="54" t="n">
        <x:v>3025</x:v>
      </x:c>
      <x:c r="B1268" s="54" t="n">
        <x:v>9</x:v>
      </x:c>
      <x:c r="C1268" s="54" t="n">
        <x:v>5</x:v>
      </x:c>
      <x:c r="D1268" s="54" t="n">
        <x:v>1</x:v>
      </x:c>
      <x:c r="E1268" s="103" t="str">
        <x:v>Material-row source portal</x:v>
      </x:c>
      <x:c r="F1268" s="103" t="str">
        <x:v>Source portal is identified, but edition/revision and property record locator remain unresolved.</x:v>
      </x:c>
    </x:row>
    <x:row r="1269">
      <x:c r="A1269" s="54" t="n">
        <x:v>3025</x:v>
      </x:c>
      <x:c r="B1269" s="54" t="n">
        <x:v>10</x:v>
      </x:c>
      <x:c r="C1269" s="54" t="n">
        <x:v>5</x:v>
      </x:c>
      <x:c r="D1269" s="54" t="n">
        <x:v>1</x:v>
      </x:c>
      <x:c r="E1269" s="103" t="str">
        <x:v>Material-row source portal</x:v>
      </x:c>
      <x:c r="F1269" s="103" t="str">
        <x:v>Source portal is identified, but edition/revision and property record locator remain unresolved.</x:v>
      </x:c>
    </x:row>
    <x:row r="1270">
      <x:c r="A1270" s="54" t="n">
        <x:v>3025</x:v>
      </x:c>
      <x:c r="B1270" s="54" t="n">
        <x:v>11</x:v>
      </x:c>
      <x:c r="C1270" s="54" t="n">
        <x:v>5</x:v>
      </x:c>
      <x:c r="D1270" s="54" t="n">
        <x:v>1</x:v>
      </x:c>
      <x:c r="E1270" s="103" t="str">
        <x:v>Material-row source portal</x:v>
      </x:c>
      <x:c r="F1270" s="103" t="str">
        <x:v>Source portal is identified, but edition/revision and property record locator remain unresolved.</x:v>
      </x:c>
    </x:row>
    <x:row r="1271">
      <x:c r="A1271" s="54" t="n">
        <x:v>3025</x:v>
      </x:c>
      <x:c r="B1271" s="54" t="n">
        <x:v>12</x:v>
      </x:c>
      <x:c r="C1271" s="54" t="n">
        <x:v>5</x:v>
      </x:c>
      <x:c r="D1271" s="54" t="n">
        <x:v>1</x:v>
      </x:c>
      <x:c r="E1271" s="103" t="str">
        <x:v>Material-row source portal</x:v>
      </x:c>
      <x:c r="F1271" s="103" t="str">
        <x:v>Source portal is identified, but edition/revision and property record locator remain unresolved.</x:v>
      </x:c>
    </x:row>
    <x:row r="1272">
      <x:c r="A1272" s="54" t="n">
        <x:v>3025</x:v>
      </x:c>
      <x:c r="B1272" s="54" t="n">
        <x:v>13</x:v>
      </x:c>
      <x:c r="C1272" s="54" t="n">
        <x:v>5</x:v>
      </x:c>
      <x:c r="D1272" s="54" t="n">
        <x:v>1</x:v>
      </x:c>
      <x:c r="E1272" s="103" t="str">
        <x:v>Material-row source portal</x:v>
      </x:c>
      <x:c r="F1272" s="103" t="str">
        <x:v>Source portal is identified, but edition/revision and property record locator remain unresolved.</x:v>
      </x:c>
    </x:row>
    <x:row r="1273">
      <x:c r="A1273" s="54" t="n">
        <x:v>3025</x:v>
      </x:c>
      <x:c r="B1273" s="54" t="n">
        <x:v>14</x:v>
      </x:c>
      <x:c r="C1273" s="54" t="n">
        <x:v>5</x:v>
      </x:c>
      <x:c r="D1273" s="54" t="n">
        <x:v>1</x:v>
      </x:c>
      <x:c r="E1273" s="103" t="str">
        <x:v>Material-row source portal</x:v>
      </x:c>
      <x:c r="F1273" s="103" t="str">
        <x:v>Source portal is identified, but edition/revision and property record locator remain unresolved.</x:v>
      </x:c>
    </x:row>
    <x:row r="1274">
      <x:c r="A1274" s="54" t="n">
        <x:v>3025</x:v>
      </x:c>
      <x:c r="B1274" s="54" t="n">
        <x:v>15</x:v>
      </x:c>
      <x:c r="C1274" s="54" t="n">
        <x:v>5</x:v>
      </x:c>
      <x:c r="D1274" s="54" t="n">
        <x:v>1</x:v>
      </x:c>
      <x:c r="E1274" s="103" t="str">
        <x:v>Material-row source portal</x:v>
      </x:c>
      <x:c r="F1274" s="103" t="str">
        <x:v>Source portal is identified, but edition/revision and property record locator remain unresolved.</x:v>
      </x:c>
    </x:row>
    <x:row r="1275">
      <x:c r="A1275" s="54" t="n">
        <x:v>3025</x:v>
      </x:c>
      <x:c r="B1275" s="54" t="n">
        <x:v>16</x:v>
      </x:c>
      <x:c r="C1275" s="54" t="n">
        <x:v>5</x:v>
      </x:c>
      <x:c r="D1275" s="54" t="n">
        <x:v>1</x:v>
      </x:c>
      <x:c r="E1275" s="103" t="str">
        <x:v>Material-row source portal</x:v>
      </x:c>
      <x:c r="F1275" s="103" t="str">
        <x:v>Source portal is identified, but edition/revision and property record locator remain unresolved.</x:v>
      </x:c>
    </x:row>
    <x:row r="1276">
      <x:c r="A1276" s="54" t="n">
        <x:v>3025</x:v>
      </x:c>
      <x:c r="B1276" s="54" t="n">
        <x:v>18</x:v>
      </x:c>
      <x:c r="C1276" s="54" t="n">
        <x:v>5</x:v>
      </x:c>
      <x:c r="D1276" s="54" t="n">
        <x:v>1</x:v>
      </x:c>
      <x:c r="E1276" s="103" t="str">
        <x:v>Formula-derived from E and Poisson ratio; input records inherit the material-row source</x:v>
      </x:c>
      <x:c r="F1276" s="103" t="str">
        <x:v>Source portal is identified, but edition/revision and property record locator remain unresolved.</x:v>
      </x:c>
    </x:row>
    <x:row r="1277">
      <x:c r="A1277" s="54" t="n">
        <x:v>3101</x:v>
      </x:c>
      <x:c r="B1277" s="54" t="n">
        <x:v>1</x:v>
      </x:c>
      <x:c r="C1277" s="54" t="n">
        <x:v>5</x:v>
      </x:c>
      <x:c r="D1277" s="54" t="n">
        <x:v>1</x:v>
      </x:c>
      <x:c r="E1277" s="103" t="str">
        <x:v>Material-row source portal</x:v>
      </x:c>
      <x:c r="F1277" s="103" t="str">
        <x:v>Source portal is identified, but edition/revision and property record locator remain unresolved.</x:v>
      </x:c>
    </x:row>
    <x:row r="1278">
      <x:c r="A1278" s="54" t="n">
        <x:v>3101</x:v>
      </x:c>
      <x:c r="B1278" s="54" t="n">
        <x:v>2</x:v>
      </x:c>
      <x:c r="C1278" s="54" t="n">
        <x:v>5</x:v>
      </x:c>
      <x:c r="D1278" s="54" t="n">
        <x:v>1</x:v>
      </x:c>
      <x:c r="E1278" s="103" t="str">
        <x:v>Material-row source portal</x:v>
      </x:c>
      <x:c r="F1278" s="103" t="str">
        <x:v>Source portal is identified, but edition/revision and property record locator remain unresolved.</x:v>
      </x:c>
    </x:row>
    <x:row r="1279">
      <x:c r="A1279" s="54" t="n">
        <x:v>3101</x:v>
      </x:c>
      <x:c r="B1279" s="54" t="n">
        <x:v>3</x:v>
      </x:c>
      <x:c r="C1279" s="54" t="n">
        <x:v>5</x:v>
      </x:c>
      <x:c r="D1279" s="54" t="n">
        <x:v>1</x:v>
      </x:c>
      <x:c r="E1279" s="103" t="str">
        <x:v>Formula-derived from E and Poisson ratio; input records inherit the material-row source</x:v>
      </x:c>
      <x:c r="F1279" s="103" t="str">
        <x:v>Source portal is identified, but edition/revision and property record locator remain unresolved.</x:v>
      </x:c>
    </x:row>
    <x:row r="1280">
      <x:c r="A1280" s="54" t="n">
        <x:v>3101</x:v>
      </x:c>
      <x:c r="B1280" s="54" t="n">
        <x:v>4</x:v>
      </x:c>
      <x:c r="C1280" s="54" t="n">
        <x:v>5</x:v>
      </x:c>
      <x:c r="D1280" s="54" t="n">
        <x:v>1</x:v>
      </x:c>
      <x:c r="E1280" s="103" t="str">
        <x:v>Material-row source portal</x:v>
      </x:c>
      <x:c r="F1280" s="103" t="str">
        <x:v>Source portal is identified, but edition/revision and property record locator remain unresolved.</x:v>
      </x:c>
    </x:row>
    <x:row r="1281">
      <x:c r="A1281" s="54" t="n">
        <x:v>3101</x:v>
      </x:c>
      <x:c r="B1281" s="54" t="n">
        <x:v>6</x:v>
      </x:c>
      <x:c r="C1281" s="54" t="n">
        <x:v>5</x:v>
      </x:c>
      <x:c r="D1281" s="54" t="n">
        <x:v>1</x:v>
      </x:c>
      <x:c r="E1281" s="103" t="str">
        <x:v>Material-row source portal</x:v>
      </x:c>
      <x:c r="F1281" s="103" t="str">
        <x:v>Source portal is identified, but edition/revision and property record locator remain unresolved.</x:v>
      </x:c>
    </x:row>
    <x:row r="1282">
      <x:c r="A1282" s="54" t="n">
        <x:v>3101</x:v>
      </x:c>
      <x:c r="B1282" s="54" t="n">
        <x:v>9</x:v>
      </x:c>
      <x:c r="C1282" s="54" t="n">
        <x:v>5</x:v>
      </x:c>
      <x:c r="D1282" s="54" t="n">
        <x:v>1</x:v>
      </x:c>
      <x:c r="E1282" s="103" t="str">
        <x:v>Material-row source portal</x:v>
      </x:c>
      <x:c r="F1282" s="103" t="str">
        <x:v>Source portal is identified, but edition/revision and property record locator remain unresolved.</x:v>
      </x:c>
    </x:row>
    <x:row r="1283">
      <x:c r="A1283" s="54" t="n">
        <x:v>3101</x:v>
      </x:c>
      <x:c r="B1283" s="54" t="n">
        <x:v>11</x:v>
      </x:c>
      <x:c r="C1283" s="54" t="n">
        <x:v>5</x:v>
      </x:c>
      <x:c r="D1283" s="54" t="n">
        <x:v>1</x:v>
      </x:c>
      <x:c r="E1283" s="103" t="str">
        <x:v>Material-row source portal</x:v>
      </x:c>
      <x:c r="F1283" s="103" t="str">
        <x:v>Source portal is identified, but edition/revision and property record locator remain unresolved.</x:v>
      </x:c>
    </x:row>
    <x:row r="1284">
      <x:c r="A1284" s="54" t="n">
        <x:v>3101</x:v>
      </x:c>
      <x:c r="B1284" s="54" t="n">
        <x:v>12</x:v>
      </x:c>
      <x:c r="C1284" s="54" t="n">
        <x:v>5</x:v>
      </x:c>
      <x:c r="D1284" s="54" t="n">
        <x:v>1</x:v>
      </x:c>
      <x:c r="E1284" s="103" t="str">
        <x:v>Material-row source portal</x:v>
      </x:c>
      <x:c r="F1284" s="103" t="str">
        <x:v>Source portal is identified, but edition/revision and property record locator remain unresolved.</x:v>
      </x:c>
    </x:row>
    <x:row r="1285">
      <x:c r="A1285" s="54" t="n">
        <x:v>3101</x:v>
      </x:c>
      <x:c r="B1285" s="54" t="n">
        <x:v>13</x:v>
      </x:c>
      <x:c r="C1285" s="54" t="n">
        <x:v>5</x:v>
      </x:c>
      <x:c r="D1285" s="54" t="n">
        <x:v>1</x:v>
      </x:c>
      <x:c r="E1285" s="103" t="str">
        <x:v>Material-row source portal</x:v>
      </x:c>
      <x:c r="F1285" s="103" t="str">
        <x:v>Source portal is identified, but edition/revision and property record locator remain unresolved.</x:v>
      </x:c>
    </x:row>
    <x:row r="1286">
      <x:c r="A1286" s="54" t="n">
        <x:v>3101</x:v>
      </x:c>
      <x:c r="B1286" s="54" t="n">
        <x:v>14</x:v>
      </x:c>
      <x:c r="C1286" s="54" t="n">
        <x:v>5</x:v>
      </x:c>
      <x:c r="D1286" s="54" t="n">
        <x:v>1</x:v>
      </x:c>
      <x:c r="E1286" s="103" t="str">
        <x:v>Material-row source portal</x:v>
      </x:c>
      <x:c r="F1286" s="103" t="str">
        <x:v>Source portal is identified, but edition/revision and property record locator remain unresolved.</x:v>
      </x:c>
    </x:row>
    <x:row r="1287">
      <x:c r="A1287" s="54" t="n">
        <x:v>3101</x:v>
      </x:c>
      <x:c r="B1287" s="54" t="n">
        <x:v>15</x:v>
      </x:c>
      <x:c r="C1287" s="54" t="n">
        <x:v>5</x:v>
      </x:c>
      <x:c r="D1287" s="54" t="n">
        <x:v>1</x:v>
      </x:c>
      <x:c r="E1287" s="103" t="str">
        <x:v>Material-row source portal</x:v>
      </x:c>
      <x:c r="F1287" s="103" t="str">
        <x:v>Source portal is identified, but edition/revision and property record locator remain unresolved.</x:v>
      </x:c>
    </x:row>
    <x:row r="1288">
      <x:c r="A1288" s="54" t="n">
        <x:v>3101</x:v>
      </x:c>
      <x:c r="B1288" s="54" t="n">
        <x:v>16</x:v>
      </x:c>
      <x:c r="C1288" s="54" t="n">
        <x:v>5</x:v>
      </x:c>
      <x:c r="D1288" s="54" t="n">
        <x:v>1</x:v>
      </x:c>
      <x:c r="E1288" s="103" t="str">
        <x:v>Material-row source portal</x:v>
      </x:c>
      <x:c r="F1288" s="103" t="str">
        <x:v>Source portal is identified, but edition/revision and property record locator remain unresolved.</x:v>
      </x:c>
    </x:row>
    <x:row r="1289">
      <x:c r="A1289" s="54" t="n">
        <x:v>3101</x:v>
      </x:c>
      <x:c r="B1289" s="54" t="n">
        <x:v>18</x:v>
      </x:c>
      <x:c r="C1289" s="54" t="n">
        <x:v>5</x:v>
      </x:c>
      <x:c r="D1289" s="54" t="n">
        <x:v>1</x:v>
      </x:c>
      <x:c r="E1289" s="103" t="str">
        <x:v>Formula-derived from E and Poisson ratio; input records inherit the material-row source</x:v>
      </x:c>
      <x:c r="F1289" s="103" t="str">
        <x:v>Source portal is identified, but edition/revision and property record locator remain unresolved.</x:v>
      </x:c>
    </x:row>
    <x:row r="1290">
      <x:c r="A1290" s="54" t="n">
        <x:v>3102</x:v>
      </x:c>
      <x:c r="B1290" s="54" t="n">
        <x:v>1</x:v>
      </x:c>
      <x:c r="C1290" s="54" t="n">
        <x:v>5</x:v>
      </x:c>
      <x:c r="D1290" s="54" t="n">
        <x:v>1</x:v>
      </x:c>
      <x:c r="E1290" s="103" t="str">
        <x:v>Material-row source portal</x:v>
      </x:c>
      <x:c r="F1290" s="103" t="str">
        <x:v>Source portal is identified, but edition/revision and property record locator remain unresolved.</x:v>
      </x:c>
    </x:row>
    <x:row r="1291">
      <x:c r="A1291" s="54" t="n">
        <x:v>3102</x:v>
      </x:c>
      <x:c r="B1291" s="54" t="n">
        <x:v>2</x:v>
      </x:c>
      <x:c r="C1291" s="54" t="n">
        <x:v>5</x:v>
      </x:c>
      <x:c r="D1291" s="54" t="n">
        <x:v>1</x:v>
      </x:c>
      <x:c r="E1291" s="103" t="str">
        <x:v>Material-row source portal</x:v>
      </x:c>
      <x:c r="F1291" s="103" t="str">
        <x:v>Source portal is identified, but edition/revision and property record locator remain unresolved.</x:v>
      </x:c>
    </x:row>
    <x:row r="1292">
      <x:c r="A1292" s="54" t="n">
        <x:v>3102</x:v>
      </x:c>
      <x:c r="B1292" s="54" t="n">
        <x:v>3</x:v>
      </x:c>
      <x:c r="C1292" s="54" t="n">
        <x:v>5</x:v>
      </x:c>
      <x:c r="D1292" s="54" t="n">
        <x:v>1</x:v>
      </x:c>
      <x:c r="E1292" s="103" t="str">
        <x:v>Formula-derived from E and Poisson ratio; input records inherit the material-row source</x:v>
      </x:c>
      <x:c r="F1292" s="103" t="str">
        <x:v>Source portal is identified, but edition/revision and property record locator remain unresolved.</x:v>
      </x:c>
    </x:row>
    <x:row r="1293">
      <x:c r="A1293" s="54" t="n">
        <x:v>3102</x:v>
      </x:c>
      <x:c r="B1293" s="54" t="n">
        <x:v>4</x:v>
      </x:c>
      <x:c r="C1293" s="54" t="n">
        <x:v>5</x:v>
      </x:c>
      <x:c r="D1293" s="54" t="n">
        <x:v>1</x:v>
      </x:c>
      <x:c r="E1293" s="103" t="str">
        <x:v>Material-row source portal</x:v>
      </x:c>
      <x:c r="F1293" s="103" t="str">
        <x:v>Source portal is identified, but edition/revision and property record locator remain unresolved.</x:v>
      </x:c>
    </x:row>
    <x:row r="1294">
      <x:c r="A1294" s="54" t="n">
        <x:v>3102</x:v>
      </x:c>
      <x:c r="B1294" s="54" t="n">
        <x:v>6</x:v>
      </x:c>
      <x:c r="C1294" s="54" t="n">
        <x:v>5</x:v>
      </x:c>
      <x:c r="D1294" s="54" t="n">
        <x:v>1</x:v>
      </x:c>
      <x:c r="E1294" s="103" t="str">
        <x:v>Material-row source portal</x:v>
      </x:c>
      <x:c r="F1294" s="103" t="str">
        <x:v>Source portal is identified, but edition/revision and property record locator remain unresolved.</x:v>
      </x:c>
    </x:row>
    <x:row r="1295">
      <x:c r="A1295" s="54" t="n">
        <x:v>3102</x:v>
      </x:c>
      <x:c r="B1295" s="54" t="n">
        <x:v>9</x:v>
      </x:c>
      <x:c r="C1295" s="54" t="n">
        <x:v>5</x:v>
      </x:c>
      <x:c r="D1295" s="54" t="n">
        <x:v>1</x:v>
      </x:c>
      <x:c r="E1295" s="103" t="str">
        <x:v>Material-row source portal</x:v>
      </x:c>
      <x:c r="F1295" s="103" t="str">
        <x:v>Source portal is identified, but edition/revision and property record locator remain unresolved.</x:v>
      </x:c>
    </x:row>
    <x:row r="1296">
      <x:c r="A1296" s="54" t="n">
        <x:v>3102</x:v>
      </x:c>
      <x:c r="B1296" s="54" t="n">
        <x:v>11</x:v>
      </x:c>
      <x:c r="C1296" s="54" t="n">
        <x:v>5</x:v>
      </x:c>
      <x:c r="D1296" s="54" t="n">
        <x:v>1</x:v>
      </x:c>
      <x:c r="E1296" s="103" t="str">
        <x:v>Material-row source portal</x:v>
      </x:c>
      <x:c r="F1296" s="103" t="str">
        <x:v>Source portal is identified, but edition/revision and property record locator remain unresolved.</x:v>
      </x:c>
    </x:row>
    <x:row r="1297">
      <x:c r="A1297" s="54" t="n">
        <x:v>3102</x:v>
      </x:c>
      <x:c r="B1297" s="54" t="n">
        <x:v>12</x:v>
      </x:c>
      <x:c r="C1297" s="54" t="n">
        <x:v>5</x:v>
      </x:c>
      <x:c r="D1297" s="54" t="n">
        <x:v>1</x:v>
      </x:c>
      <x:c r="E1297" s="103" t="str">
        <x:v>Material-row source portal</x:v>
      </x:c>
      <x:c r="F1297" s="103" t="str">
        <x:v>Source portal is identified, but edition/revision and property record locator remain unresolved.</x:v>
      </x:c>
    </x:row>
    <x:row r="1298">
      <x:c r="A1298" s="54" t="n">
        <x:v>3102</x:v>
      </x:c>
      <x:c r="B1298" s="54" t="n">
        <x:v>13</x:v>
      </x:c>
      <x:c r="C1298" s="54" t="n">
        <x:v>5</x:v>
      </x:c>
      <x:c r="D1298" s="54" t="n">
        <x:v>1</x:v>
      </x:c>
      <x:c r="E1298" s="103" t="str">
        <x:v>Material-row source portal</x:v>
      </x:c>
      <x:c r="F1298" s="103" t="str">
        <x:v>Source portal is identified, but edition/revision and property record locator remain unresolved.</x:v>
      </x:c>
    </x:row>
    <x:row r="1299">
      <x:c r="A1299" s="54" t="n">
        <x:v>3102</x:v>
      </x:c>
      <x:c r="B1299" s="54" t="n">
        <x:v>14</x:v>
      </x:c>
      <x:c r="C1299" s="54" t="n">
        <x:v>5</x:v>
      </x:c>
      <x:c r="D1299" s="54" t="n">
        <x:v>1</x:v>
      </x:c>
      <x:c r="E1299" s="103" t="str">
        <x:v>Material-row source portal</x:v>
      </x:c>
      <x:c r="F1299" s="103" t="str">
        <x:v>Source portal is identified, but edition/revision and property record locator remain unresolved.</x:v>
      </x:c>
    </x:row>
    <x:row r="1300">
      <x:c r="A1300" s="54" t="n">
        <x:v>3102</x:v>
      </x:c>
      <x:c r="B1300" s="54" t="n">
        <x:v>15</x:v>
      </x:c>
      <x:c r="C1300" s="54" t="n">
        <x:v>5</x:v>
      </x:c>
      <x:c r="D1300" s="54" t="n">
        <x:v>1</x:v>
      </x:c>
      <x:c r="E1300" s="103" t="str">
        <x:v>Material-row source portal</x:v>
      </x:c>
      <x:c r="F1300" s="103" t="str">
        <x:v>Source portal is identified, but edition/revision and property record locator remain unresolved.</x:v>
      </x:c>
    </x:row>
    <x:row r="1301">
      <x:c r="A1301" s="54" t="n">
        <x:v>3102</x:v>
      </x:c>
      <x:c r="B1301" s="54" t="n">
        <x:v>16</x:v>
      </x:c>
      <x:c r="C1301" s="54" t="n">
        <x:v>5</x:v>
      </x:c>
      <x:c r="D1301" s="54" t="n">
        <x:v>1</x:v>
      </x:c>
      <x:c r="E1301" s="103" t="str">
        <x:v>Material-row source portal</x:v>
      </x:c>
      <x:c r="F1301" s="103" t="str">
        <x:v>Source portal is identified, but edition/revision and property record locator remain unresolved.</x:v>
      </x:c>
    </x:row>
    <x:row r="1302">
      <x:c r="A1302" s="54" t="n">
        <x:v>3102</x:v>
      </x:c>
      <x:c r="B1302" s="54" t="n">
        <x:v>18</x:v>
      </x:c>
      <x:c r="C1302" s="54" t="n">
        <x:v>5</x:v>
      </x:c>
      <x:c r="D1302" s="54" t="n">
        <x:v>1</x:v>
      </x:c>
      <x:c r="E1302" s="103" t="str">
        <x:v>Formula-derived from E and Poisson ratio; input records inherit the material-row source</x:v>
      </x:c>
      <x:c r="F1302" s="103" t="str">
        <x:v>Source portal is identified, but edition/revision and property record locator remain unresolved.</x:v>
      </x:c>
    </x:row>
    <x:row r="1303">
      <x:c r="A1303" s="54" t="n">
        <x:v>3103</x:v>
      </x:c>
      <x:c r="B1303" s="54" t="n">
        <x:v>1</x:v>
      </x:c>
      <x:c r="C1303" s="54" t="n">
        <x:v>5</x:v>
      </x:c>
      <x:c r="D1303" s="54" t="n">
        <x:v>1</x:v>
      </x:c>
      <x:c r="E1303" s="103" t="str">
        <x:v>Material-row source portal</x:v>
      </x:c>
      <x:c r="F1303" s="103" t="str">
        <x:v>Source portal is identified, but edition/revision and property record locator remain unresolved.</x:v>
      </x:c>
    </x:row>
    <x:row r="1304">
      <x:c r="A1304" s="54" t="n">
        <x:v>3103</x:v>
      </x:c>
      <x:c r="B1304" s="54" t="n">
        <x:v>2</x:v>
      </x:c>
      <x:c r="C1304" s="54" t="n">
        <x:v>5</x:v>
      </x:c>
      <x:c r="D1304" s="54" t="n">
        <x:v>1</x:v>
      </x:c>
      <x:c r="E1304" s="103" t="str">
        <x:v>Material-row source portal</x:v>
      </x:c>
      <x:c r="F1304" s="103" t="str">
        <x:v>Source portal is identified, but edition/revision and property record locator remain unresolved.</x:v>
      </x:c>
    </x:row>
    <x:row r="1305">
      <x:c r="A1305" s="54" t="n">
        <x:v>3103</x:v>
      </x:c>
      <x:c r="B1305" s="54" t="n">
        <x:v>3</x:v>
      </x:c>
      <x:c r="C1305" s="54" t="n">
        <x:v>5</x:v>
      </x:c>
      <x:c r="D1305" s="54" t="n">
        <x:v>1</x:v>
      </x:c>
      <x:c r="E1305" s="103" t="str">
        <x:v>Formula-derived from E and Poisson ratio; input records inherit the material-row source</x:v>
      </x:c>
      <x:c r="F1305" s="103" t="str">
        <x:v>Source portal is identified, but edition/revision and property record locator remain unresolved.</x:v>
      </x:c>
    </x:row>
    <x:row r="1306">
      <x:c r="A1306" s="54" t="n">
        <x:v>3103</x:v>
      </x:c>
      <x:c r="B1306" s="54" t="n">
        <x:v>4</x:v>
      </x:c>
      <x:c r="C1306" s="54" t="n">
        <x:v>5</x:v>
      </x:c>
      <x:c r="D1306" s="54" t="n">
        <x:v>1</x:v>
      </x:c>
      <x:c r="E1306" s="103" t="str">
        <x:v>Material-row source portal</x:v>
      </x:c>
      <x:c r="F1306" s="103" t="str">
        <x:v>Source portal is identified, but edition/revision and property record locator remain unresolved.</x:v>
      </x:c>
    </x:row>
    <x:row r="1307">
      <x:c r="A1307" s="54" t="n">
        <x:v>3103</x:v>
      </x:c>
      <x:c r="B1307" s="54" t="n">
        <x:v>6</x:v>
      </x:c>
      <x:c r="C1307" s="54" t="n">
        <x:v>5</x:v>
      </x:c>
      <x:c r="D1307" s="54" t="n">
        <x:v>1</x:v>
      </x:c>
      <x:c r="E1307" s="103" t="str">
        <x:v>Material-row source portal</x:v>
      </x:c>
      <x:c r="F1307" s="103" t="str">
        <x:v>Source portal is identified, but edition/revision and property record locator remain unresolved.</x:v>
      </x:c>
    </x:row>
    <x:row r="1308">
      <x:c r="A1308" s="54" t="n">
        <x:v>3103</x:v>
      </x:c>
      <x:c r="B1308" s="54" t="n">
        <x:v>9</x:v>
      </x:c>
      <x:c r="C1308" s="54" t="n">
        <x:v>5</x:v>
      </x:c>
      <x:c r="D1308" s="54" t="n">
        <x:v>1</x:v>
      </x:c>
      <x:c r="E1308" s="103" t="str">
        <x:v>Material-row source portal</x:v>
      </x:c>
      <x:c r="F1308" s="103" t="str">
        <x:v>Source portal is identified, but edition/revision and property record locator remain unresolved.</x:v>
      </x:c>
    </x:row>
    <x:row r="1309">
      <x:c r="A1309" s="54" t="n">
        <x:v>3103</x:v>
      </x:c>
      <x:c r="B1309" s="54" t="n">
        <x:v>11</x:v>
      </x:c>
      <x:c r="C1309" s="54" t="n">
        <x:v>5</x:v>
      </x:c>
      <x:c r="D1309" s="54" t="n">
        <x:v>1</x:v>
      </x:c>
      <x:c r="E1309" s="103" t="str">
        <x:v>Material-row source portal</x:v>
      </x:c>
      <x:c r="F1309" s="103" t="str">
        <x:v>Source portal is identified, but edition/revision and property record locator remain unresolved.</x:v>
      </x:c>
    </x:row>
    <x:row r="1310">
      <x:c r="A1310" s="54" t="n">
        <x:v>3103</x:v>
      </x:c>
      <x:c r="B1310" s="54" t="n">
        <x:v>12</x:v>
      </x:c>
      <x:c r="C1310" s="54" t="n">
        <x:v>5</x:v>
      </x:c>
      <x:c r="D1310" s="54" t="n">
        <x:v>1</x:v>
      </x:c>
      <x:c r="E1310" s="103" t="str">
        <x:v>Material-row source portal</x:v>
      </x:c>
      <x:c r="F1310" s="103" t="str">
        <x:v>Source portal is identified, but edition/revision and property record locator remain unresolved.</x:v>
      </x:c>
    </x:row>
    <x:row r="1311">
      <x:c r="A1311" s="54" t="n">
        <x:v>3103</x:v>
      </x:c>
      <x:c r="B1311" s="54" t="n">
        <x:v>13</x:v>
      </x:c>
      <x:c r="C1311" s="54" t="n">
        <x:v>5</x:v>
      </x:c>
      <x:c r="D1311" s="54" t="n">
        <x:v>1</x:v>
      </x:c>
      <x:c r="E1311" s="103" t="str">
        <x:v>Material-row source portal</x:v>
      </x:c>
      <x:c r="F1311" s="103" t="str">
        <x:v>Source portal is identified, but edition/revision and property record locator remain unresolved.</x:v>
      </x:c>
    </x:row>
    <x:row r="1312">
      <x:c r="A1312" s="54" t="n">
        <x:v>3103</x:v>
      </x:c>
      <x:c r="B1312" s="54" t="n">
        <x:v>14</x:v>
      </x:c>
      <x:c r="C1312" s="54" t="n">
        <x:v>5</x:v>
      </x:c>
      <x:c r="D1312" s="54" t="n">
        <x:v>1</x:v>
      </x:c>
      <x:c r="E1312" s="103" t="str">
        <x:v>Material-row source portal</x:v>
      </x:c>
      <x:c r="F1312" s="103" t="str">
        <x:v>Source portal is identified, but edition/revision and property record locator remain unresolved.</x:v>
      </x:c>
    </x:row>
    <x:row r="1313">
      <x:c r="A1313" s="54" t="n">
        <x:v>3103</x:v>
      </x:c>
      <x:c r="B1313" s="54" t="n">
        <x:v>15</x:v>
      </x:c>
      <x:c r="C1313" s="54" t="n">
        <x:v>5</x:v>
      </x:c>
      <x:c r="D1313" s="54" t="n">
        <x:v>1</x:v>
      </x:c>
      <x:c r="E1313" s="103" t="str">
        <x:v>Material-row source portal</x:v>
      </x:c>
      <x:c r="F1313" s="103" t="str">
        <x:v>Source portal is identified, but edition/revision and property record locator remain unresolved.</x:v>
      </x:c>
    </x:row>
    <x:row r="1314">
      <x:c r="A1314" s="54" t="n">
        <x:v>3103</x:v>
      </x:c>
      <x:c r="B1314" s="54" t="n">
        <x:v>16</x:v>
      </x:c>
      <x:c r="C1314" s="54" t="n">
        <x:v>5</x:v>
      </x:c>
      <x:c r="D1314" s="54" t="n">
        <x:v>1</x:v>
      </x:c>
      <x:c r="E1314" s="103" t="str">
        <x:v>Material-row source portal</x:v>
      </x:c>
      <x:c r="F1314" s="103" t="str">
        <x:v>Source portal is identified, but edition/revision and property record locator remain unresolved.</x:v>
      </x:c>
    </x:row>
    <x:row r="1315">
      <x:c r="A1315" s="54" t="n">
        <x:v>3103</x:v>
      </x:c>
      <x:c r="B1315" s="54" t="n">
        <x:v>18</x:v>
      </x:c>
      <x:c r="C1315" s="54" t="n">
        <x:v>5</x:v>
      </x:c>
      <x:c r="D1315" s="54" t="n">
        <x:v>1</x:v>
      </x:c>
      <x:c r="E1315" s="103" t="str">
        <x:v>Formula-derived from E and Poisson ratio; input records inherit the material-row source</x:v>
      </x:c>
      <x:c r="F1315" s="103" t="str">
        <x:v>Source portal is identified, but edition/revision and property record locator remain unresolved.</x:v>
      </x:c>
    </x:row>
    <x:row r="1316">
      <x:c r="A1316" s="54" t="n">
        <x:v>3104</x:v>
      </x:c>
      <x:c r="B1316" s="54" t="n">
        <x:v>1</x:v>
      </x:c>
      <x:c r="C1316" s="54" t="n">
        <x:v>5</x:v>
      </x:c>
      <x:c r="D1316" s="54" t="n">
        <x:v>1</x:v>
      </x:c>
      <x:c r="E1316" s="103" t="str">
        <x:v>Material-row source portal</x:v>
      </x:c>
      <x:c r="F1316" s="103" t="str">
        <x:v>Source portal is identified, but edition/revision and property record locator remain unresolved.</x:v>
      </x:c>
    </x:row>
    <x:row r="1317">
      <x:c r="A1317" s="54" t="n">
        <x:v>3104</x:v>
      </x:c>
      <x:c r="B1317" s="54" t="n">
        <x:v>2</x:v>
      </x:c>
      <x:c r="C1317" s="54" t="n">
        <x:v>5</x:v>
      </x:c>
      <x:c r="D1317" s="54" t="n">
        <x:v>1</x:v>
      </x:c>
      <x:c r="E1317" s="103" t="str">
        <x:v>Material-row source portal</x:v>
      </x:c>
      <x:c r="F1317" s="103" t="str">
        <x:v>Source portal is identified, but edition/revision and property record locator remain unresolved.</x:v>
      </x:c>
    </x:row>
    <x:row r="1318">
      <x:c r="A1318" s="54" t="n">
        <x:v>3104</x:v>
      </x:c>
      <x:c r="B1318" s="54" t="n">
        <x:v>3</x:v>
      </x:c>
      <x:c r="C1318" s="54" t="n">
        <x:v>5</x:v>
      </x:c>
      <x:c r="D1318" s="54" t="n">
        <x:v>1</x:v>
      </x:c>
      <x:c r="E1318" s="103" t="str">
        <x:v>Formula-derived from E and Poisson ratio; input records inherit the material-row source</x:v>
      </x:c>
      <x:c r="F1318" s="103" t="str">
        <x:v>Source portal is identified, but edition/revision and property record locator remain unresolved.</x:v>
      </x:c>
    </x:row>
    <x:row r="1319">
      <x:c r="A1319" s="54" t="n">
        <x:v>3104</x:v>
      </x:c>
      <x:c r="B1319" s="54" t="n">
        <x:v>4</x:v>
      </x:c>
      <x:c r="C1319" s="54" t="n">
        <x:v>5</x:v>
      </x:c>
      <x:c r="D1319" s="54" t="n">
        <x:v>1</x:v>
      </x:c>
      <x:c r="E1319" s="103" t="str">
        <x:v>Material-row source portal</x:v>
      </x:c>
      <x:c r="F1319" s="103" t="str">
        <x:v>Source portal is identified, but edition/revision and property record locator remain unresolved.</x:v>
      </x:c>
    </x:row>
    <x:row r="1320">
      <x:c r="A1320" s="54" t="n">
        <x:v>3104</x:v>
      </x:c>
      <x:c r="B1320" s="54" t="n">
        <x:v>6</x:v>
      </x:c>
      <x:c r="C1320" s="54" t="n">
        <x:v>5</x:v>
      </x:c>
      <x:c r="D1320" s="54" t="n">
        <x:v>1</x:v>
      </x:c>
      <x:c r="E1320" s="103" t="str">
        <x:v>Material-row source portal</x:v>
      </x:c>
      <x:c r="F1320" s="103" t="str">
        <x:v>Source portal is identified, but edition/revision and property record locator remain unresolved.</x:v>
      </x:c>
    </x:row>
    <x:row r="1321">
      <x:c r="A1321" s="54" t="n">
        <x:v>3104</x:v>
      </x:c>
      <x:c r="B1321" s="54" t="n">
        <x:v>9</x:v>
      </x:c>
      <x:c r="C1321" s="54" t="n">
        <x:v>5</x:v>
      </x:c>
      <x:c r="D1321" s="54" t="n">
        <x:v>1</x:v>
      </x:c>
      <x:c r="E1321" s="103" t="str">
        <x:v>Material-row source portal</x:v>
      </x:c>
      <x:c r="F1321" s="103" t="str">
        <x:v>Source portal is identified, but edition/revision and property record locator remain unresolved.</x:v>
      </x:c>
    </x:row>
    <x:row r="1322">
      <x:c r="A1322" s="54" t="n">
        <x:v>3104</x:v>
      </x:c>
      <x:c r="B1322" s="54" t="n">
        <x:v>11</x:v>
      </x:c>
      <x:c r="C1322" s="54" t="n">
        <x:v>5</x:v>
      </x:c>
      <x:c r="D1322" s="54" t="n">
        <x:v>1</x:v>
      </x:c>
      <x:c r="E1322" s="103" t="str">
        <x:v>Material-row source portal</x:v>
      </x:c>
      <x:c r="F1322" s="103" t="str">
        <x:v>Source portal is identified, but edition/revision and property record locator remain unresolved.</x:v>
      </x:c>
    </x:row>
    <x:row r="1323">
      <x:c r="A1323" s="54" t="n">
        <x:v>3104</x:v>
      </x:c>
      <x:c r="B1323" s="54" t="n">
        <x:v>12</x:v>
      </x:c>
      <x:c r="C1323" s="54" t="n">
        <x:v>5</x:v>
      </x:c>
      <x:c r="D1323" s="54" t="n">
        <x:v>1</x:v>
      </x:c>
      <x:c r="E1323" s="103" t="str">
        <x:v>Material-row source portal</x:v>
      </x:c>
      <x:c r="F1323" s="103" t="str">
        <x:v>Source portal is identified, but edition/revision and property record locator remain unresolved.</x:v>
      </x:c>
    </x:row>
    <x:row r="1324">
      <x:c r="A1324" s="54" t="n">
        <x:v>3104</x:v>
      </x:c>
      <x:c r="B1324" s="54" t="n">
        <x:v>13</x:v>
      </x:c>
      <x:c r="C1324" s="54" t="n">
        <x:v>5</x:v>
      </x:c>
      <x:c r="D1324" s="54" t="n">
        <x:v>1</x:v>
      </x:c>
      <x:c r="E1324" s="103" t="str">
        <x:v>Material-row source portal</x:v>
      </x:c>
      <x:c r="F1324" s="103" t="str">
        <x:v>Source portal is identified, but edition/revision and property record locator remain unresolved.</x:v>
      </x:c>
    </x:row>
    <x:row r="1325">
      <x:c r="A1325" s="54" t="n">
        <x:v>3104</x:v>
      </x:c>
      <x:c r="B1325" s="54" t="n">
        <x:v>14</x:v>
      </x:c>
      <x:c r="C1325" s="54" t="n">
        <x:v>5</x:v>
      </x:c>
      <x:c r="D1325" s="54" t="n">
        <x:v>1</x:v>
      </x:c>
      <x:c r="E1325" s="103" t="str">
        <x:v>Material-row source portal</x:v>
      </x:c>
      <x:c r="F1325" s="103" t="str">
        <x:v>Source portal is identified, but edition/revision and property record locator remain unresolved.</x:v>
      </x:c>
    </x:row>
    <x:row r="1326">
      <x:c r="A1326" s="54" t="n">
        <x:v>3104</x:v>
      </x:c>
      <x:c r="B1326" s="54" t="n">
        <x:v>15</x:v>
      </x:c>
      <x:c r="C1326" s="54" t="n">
        <x:v>5</x:v>
      </x:c>
      <x:c r="D1326" s="54" t="n">
        <x:v>1</x:v>
      </x:c>
      <x:c r="E1326" s="103" t="str">
        <x:v>Material-row source portal</x:v>
      </x:c>
      <x:c r="F1326" s="103" t="str">
        <x:v>Source portal is identified, but edition/revision and property record locator remain unresolved.</x:v>
      </x:c>
    </x:row>
    <x:row r="1327">
      <x:c r="A1327" s="54" t="n">
        <x:v>3104</x:v>
      </x:c>
      <x:c r="B1327" s="54" t="n">
        <x:v>16</x:v>
      </x:c>
      <x:c r="C1327" s="54" t="n">
        <x:v>5</x:v>
      </x:c>
      <x:c r="D1327" s="54" t="n">
        <x:v>1</x:v>
      </x:c>
      <x:c r="E1327" s="103" t="str">
        <x:v>Material-row source portal</x:v>
      </x:c>
      <x:c r="F1327" s="103" t="str">
        <x:v>Source portal is identified, but edition/revision and property record locator remain unresolved.</x:v>
      </x:c>
    </x:row>
    <x:row r="1328">
      <x:c r="A1328" s="54" t="n">
        <x:v>3104</x:v>
      </x:c>
      <x:c r="B1328" s="54" t="n">
        <x:v>18</x:v>
      </x:c>
      <x:c r="C1328" s="54" t="n">
        <x:v>5</x:v>
      </x:c>
      <x:c r="D1328" s="54" t="n">
        <x:v>1</x:v>
      </x:c>
      <x:c r="E1328" s="103" t="str">
        <x:v>Formula-derived from E and Poisson ratio; input records inherit the material-row source</x:v>
      </x:c>
      <x:c r="F1328" s="103" t="str">
        <x:v>Source portal is identified, but edition/revision and property record locator remain unresolved.</x:v>
      </x:c>
    </x:row>
    <x:row r="1329">
      <x:c r="A1329" s="54" t="n">
        <x:v>3105</x:v>
      </x:c>
      <x:c r="B1329" s="54" t="n">
        <x:v>1</x:v>
      </x:c>
      <x:c r="C1329" s="54" t="n">
        <x:v>5</x:v>
      </x:c>
      <x:c r="D1329" s="54" t="n">
        <x:v>1</x:v>
      </x:c>
      <x:c r="E1329" s="103" t="str">
        <x:v>Material-row source portal</x:v>
      </x:c>
      <x:c r="F1329" s="103" t="str">
        <x:v>Source portal is identified, but edition/revision and property record locator remain unresolved.</x:v>
      </x:c>
    </x:row>
    <x:row r="1330">
      <x:c r="A1330" s="54" t="n">
        <x:v>3105</x:v>
      </x:c>
      <x:c r="B1330" s="54" t="n">
        <x:v>2</x:v>
      </x:c>
      <x:c r="C1330" s="54" t="n">
        <x:v>5</x:v>
      </x:c>
      <x:c r="D1330" s="54" t="n">
        <x:v>1</x:v>
      </x:c>
      <x:c r="E1330" s="103" t="str">
        <x:v>Material-row source portal</x:v>
      </x:c>
      <x:c r="F1330" s="103" t="str">
        <x:v>Source portal is identified, but edition/revision and property record locator remain unresolved.</x:v>
      </x:c>
    </x:row>
    <x:row r="1331">
      <x:c r="A1331" s="54" t="n">
        <x:v>3105</x:v>
      </x:c>
      <x:c r="B1331" s="54" t="n">
        <x:v>3</x:v>
      </x:c>
      <x:c r="C1331" s="54" t="n">
        <x:v>5</x:v>
      </x:c>
      <x:c r="D1331" s="54" t="n">
        <x:v>1</x:v>
      </x:c>
      <x:c r="E1331" s="103" t="str">
        <x:v>Formula-derived from E and Poisson ratio; input records inherit the material-row source</x:v>
      </x:c>
      <x:c r="F1331" s="103" t="str">
        <x:v>Source portal is identified, but edition/revision and property record locator remain unresolved.</x:v>
      </x:c>
    </x:row>
    <x:row r="1332">
      <x:c r="A1332" s="54" t="n">
        <x:v>3105</x:v>
      </x:c>
      <x:c r="B1332" s="54" t="n">
        <x:v>4</x:v>
      </x:c>
      <x:c r="C1332" s="54" t="n">
        <x:v>5</x:v>
      </x:c>
      <x:c r="D1332" s="54" t="n">
        <x:v>1</x:v>
      </x:c>
      <x:c r="E1332" s="103" t="str">
        <x:v>Material-row source portal</x:v>
      </x:c>
      <x:c r="F1332" s="103" t="str">
        <x:v>Source portal is identified, but edition/revision and property record locator remain unresolved.</x:v>
      </x:c>
    </x:row>
    <x:row r="1333">
      <x:c r="A1333" s="54" t="n">
        <x:v>3105</x:v>
      </x:c>
      <x:c r="B1333" s="54" t="n">
        <x:v>6</x:v>
      </x:c>
      <x:c r="C1333" s="54" t="n">
        <x:v>5</x:v>
      </x:c>
      <x:c r="D1333" s="54" t="n">
        <x:v>1</x:v>
      </x:c>
      <x:c r="E1333" s="103" t="str">
        <x:v>Material-row source portal</x:v>
      </x:c>
      <x:c r="F1333" s="103" t="str">
        <x:v>Source portal is identified, but edition/revision and property record locator remain unresolved.</x:v>
      </x:c>
    </x:row>
    <x:row r="1334">
      <x:c r="A1334" s="54" t="n">
        <x:v>3105</x:v>
      </x:c>
      <x:c r="B1334" s="54" t="n">
        <x:v>9</x:v>
      </x:c>
      <x:c r="C1334" s="54" t="n">
        <x:v>5</x:v>
      </x:c>
      <x:c r="D1334" s="54" t="n">
        <x:v>1</x:v>
      </x:c>
      <x:c r="E1334" s="103" t="str">
        <x:v>Material-row source portal</x:v>
      </x:c>
      <x:c r="F1334" s="103" t="str">
        <x:v>Source portal is identified, but edition/revision and property record locator remain unresolved.</x:v>
      </x:c>
    </x:row>
    <x:row r="1335">
      <x:c r="A1335" s="54" t="n">
        <x:v>3105</x:v>
      </x:c>
      <x:c r="B1335" s="54" t="n">
        <x:v>11</x:v>
      </x:c>
      <x:c r="C1335" s="54" t="n">
        <x:v>5</x:v>
      </x:c>
      <x:c r="D1335" s="54" t="n">
        <x:v>1</x:v>
      </x:c>
      <x:c r="E1335" s="103" t="str">
        <x:v>Material-row source portal</x:v>
      </x:c>
      <x:c r="F1335" s="103" t="str">
        <x:v>Source portal is identified, but edition/revision and property record locator remain unresolved.</x:v>
      </x:c>
    </x:row>
    <x:row r="1336">
      <x:c r="A1336" s="54" t="n">
        <x:v>3105</x:v>
      </x:c>
      <x:c r="B1336" s="54" t="n">
        <x:v>12</x:v>
      </x:c>
      <x:c r="C1336" s="54" t="n">
        <x:v>5</x:v>
      </x:c>
      <x:c r="D1336" s="54" t="n">
        <x:v>1</x:v>
      </x:c>
      <x:c r="E1336" s="103" t="str">
        <x:v>Material-row source portal</x:v>
      </x:c>
      <x:c r="F1336" s="103" t="str">
        <x:v>Source portal is identified, but edition/revision and property record locator remain unresolved.</x:v>
      </x:c>
    </x:row>
    <x:row r="1337">
      <x:c r="A1337" s="54" t="n">
        <x:v>3105</x:v>
      </x:c>
      <x:c r="B1337" s="54" t="n">
        <x:v>13</x:v>
      </x:c>
      <x:c r="C1337" s="54" t="n">
        <x:v>5</x:v>
      </x:c>
      <x:c r="D1337" s="54" t="n">
        <x:v>1</x:v>
      </x:c>
      <x:c r="E1337" s="103" t="str">
        <x:v>Material-row source portal</x:v>
      </x:c>
      <x:c r="F1337" s="103" t="str">
        <x:v>Source portal is identified, but edition/revision and property record locator remain unresolved.</x:v>
      </x:c>
    </x:row>
    <x:row r="1338">
      <x:c r="A1338" s="54" t="n">
        <x:v>3105</x:v>
      </x:c>
      <x:c r="B1338" s="54" t="n">
        <x:v>14</x:v>
      </x:c>
      <x:c r="C1338" s="54" t="n">
        <x:v>5</x:v>
      </x:c>
      <x:c r="D1338" s="54" t="n">
        <x:v>1</x:v>
      </x:c>
      <x:c r="E1338" s="103" t="str">
        <x:v>Material-row source portal</x:v>
      </x:c>
      <x:c r="F1338" s="103" t="str">
        <x:v>Source portal is identified, but edition/revision and property record locator remain unresolved.</x:v>
      </x:c>
    </x:row>
    <x:row r="1339">
      <x:c r="A1339" s="54" t="n">
        <x:v>3105</x:v>
      </x:c>
      <x:c r="B1339" s="54" t="n">
        <x:v>15</x:v>
      </x:c>
      <x:c r="C1339" s="54" t="n">
        <x:v>5</x:v>
      </x:c>
      <x:c r="D1339" s="54" t="n">
        <x:v>1</x:v>
      </x:c>
      <x:c r="E1339" s="103" t="str">
        <x:v>Material-row source portal</x:v>
      </x:c>
      <x:c r="F1339" s="103" t="str">
        <x:v>Source portal is identified, but edition/revision and property record locator remain unresolved.</x:v>
      </x:c>
    </x:row>
    <x:row r="1340">
      <x:c r="A1340" s="54" t="n">
        <x:v>3105</x:v>
      </x:c>
      <x:c r="B1340" s="54" t="n">
        <x:v>16</x:v>
      </x:c>
      <x:c r="C1340" s="54" t="n">
        <x:v>5</x:v>
      </x:c>
      <x:c r="D1340" s="54" t="n">
        <x:v>1</x:v>
      </x:c>
      <x:c r="E1340" s="103" t="str">
        <x:v>Material-row source portal</x:v>
      </x:c>
      <x:c r="F1340" s="103" t="str">
        <x:v>Source portal is identified, but edition/revision and property record locator remain unresolved.</x:v>
      </x:c>
    </x:row>
    <x:row r="1341">
      <x:c r="A1341" s="54" t="n">
        <x:v>3105</x:v>
      </x:c>
      <x:c r="B1341" s="54" t="n">
        <x:v>18</x:v>
      </x:c>
      <x:c r="C1341" s="54" t="n">
        <x:v>5</x:v>
      </x:c>
      <x:c r="D1341" s="54" t="n">
        <x:v>1</x:v>
      </x:c>
      <x:c r="E1341" s="103" t="str">
        <x:v>Formula-derived from E and Poisson ratio; input records inherit the material-row source</x:v>
      </x:c>
      <x:c r="F1341" s="103" t="str">
        <x:v>Source portal is identified, but edition/revision and property record locator remain unresolved.</x:v>
      </x:c>
    </x:row>
    <x:row r="1342">
      <x:c r="A1342" s="54" t="n">
        <x:v>3106</x:v>
      </x:c>
      <x:c r="B1342" s="54" t="n">
        <x:v>1</x:v>
      </x:c>
      <x:c r="C1342" s="54" t="n">
        <x:v>5</x:v>
      </x:c>
      <x:c r="D1342" s="54" t="n">
        <x:v>1</x:v>
      </x:c>
      <x:c r="E1342" s="103" t="str">
        <x:v>Material-row source portal</x:v>
      </x:c>
      <x:c r="F1342" s="103" t="str">
        <x:v>Source portal is identified, but edition/revision and property record locator remain unresolved.</x:v>
      </x:c>
    </x:row>
    <x:row r="1343">
      <x:c r="A1343" s="54" t="n">
        <x:v>3106</x:v>
      </x:c>
      <x:c r="B1343" s="54" t="n">
        <x:v>2</x:v>
      </x:c>
      <x:c r="C1343" s="54" t="n">
        <x:v>5</x:v>
      </x:c>
      <x:c r="D1343" s="54" t="n">
        <x:v>1</x:v>
      </x:c>
      <x:c r="E1343" s="103" t="str">
        <x:v>Material-row source portal</x:v>
      </x:c>
      <x:c r="F1343" s="103" t="str">
        <x:v>Source portal is identified, but edition/revision and property record locator remain unresolved.</x:v>
      </x:c>
    </x:row>
    <x:row r="1344">
      <x:c r="A1344" s="54" t="n">
        <x:v>3106</x:v>
      </x:c>
      <x:c r="B1344" s="54" t="n">
        <x:v>3</x:v>
      </x:c>
      <x:c r="C1344" s="54" t="n">
        <x:v>5</x:v>
      </x:c>
      <x:c r="D1344" s="54" t="n">
        <x:v>1</x:v>
      </x:c>
      <x:c r="E1344" s="103" t="str">
        <x:v>Formula-derived from E and Poisson ratio; input records inherit the material-row source</x:v>
      </x:c>
      <x:c r="F1344" s="103" t="str">
        <x:v>Source portal is identified, but edition/revision and property record locator remain unresolved.</x:v>
      </x:c>
    </x:row>
    <x:row r="1345">
      <x:c r="A1345" s="54" t="n">
        <x:v>3106</x:v>
      </x:c>
      <x:c r="B1345" s="54" t="n">
        <x:v>4</x:v>
      </x:c>
      <x:c r="C1345" s="54" t="n">
        <x:v>5</x:v>
      </x:c>
      <x:c r="D1345" s="54" t="n">
        <x:v>1</x:v>
      </x:c>
      <x:c r="E1345" s="103" t="str">
        <x:v>Material-row source portal</x:v>
      </x:c>
      <x:c r="F1345" s="103" t="str">
        <x:v>Source portal is identified, but edition/revision and property record locator remain unresolved.</x:v>
      </x:c>
    </x:row>
    <x:row r="1346">
      <x:c r="A1346" s="54" t="n">
        <x:v>3106</x:v>
      </x:c>
      <x:c r="B1346" s="54" t="n">
        <x:v>6</x:v>
      </x:c>
      <x:c r="C1346" s="54" t="n">
        <x:v>5</x:v>
      </x:c>
      <x:c r="D1346" s="54" t="n">
        <x:v>1</x:v>
      </x:c>
      <x:c r="E1346" s="103" t="str">
        <x:v>Material-row source portal</x:v>
      </x:c>
      <x:c r="F1346" s="103" t="str">
        <x:v>Source portal is identified, but edition/revision and property record locator remain unresolved.</x:v>
      </x:c>
    </x:row>
    <x:row r="1347">
      <x:c r="A1347" s="54" t="n">
        <x:v>3106</x:v>
      </x:c>
      <x:c r="B1347" s="54" t="n">
        <x:v>9</x:v>
      </x:c>
      <x:c r="C1347" s="54" t="n">
        <x:v>5</x:v>
      </x:c>
      <x:c r="D1347" s="54" t="n">
        <x:v>1</x:v>
      </x:c>
      <x:c r="E1347" s="103" t="str">
        <x:v>Material-row source portal</x:v>
      </x:c>
      <x:c r="F1347" s="103" t="str">
        <x:v>Source portal is identified, but edition/revision and property record locator remain unresolved.</x:v>
      </x:c>
    </x:row>
    <x:row r="1348">
      <x:c r="A1348" s="54" t="n">
        <x:v>3106</x:v>
      </x:c>
      <x:c r="B1348" s="54" t="n">
        <x:v>11</x:v>
      </x:c>
      <x:c r="C1348" s="54" t="n">
        <x:v>5</x:v>
      </x:c>
      <x:c r="D1348" s="54" t="n">
        <x:v>1</x:v>
      </x:c>
      <x:c r="E1348" s="103" t="str">
        <x:v>Material-row source portal</x:v>
      </x:c>
      <x:c r="F1348" s="103" t="str">
        <x:v>Source portal is identified, but edition/revision and property record locator remain unresolved.</x:v>
      </x:c>
    </x:row>
    <x:row r="1349">
      <x:c r="A1349" s="54" t="n">
        <x:v>3106</x:v>
      </x:c>
      <x:c r="B1349" s="54" t="n">
        <x:v>12</x:v>
      </x:c>
      <x:c r="C1349" s="54" t="n">
        <x:v>5</x:v>
      </x:c>
      <x:c r="D1349" s="54" t="n">
        <x:v>1</x:v>
      </x:c>
      <x:c r="E1349" s="103" t="str">
        <x:v>Material-row source portal</x:v>
      </x:c>
      <x:c r="F1349" s="103" t="str">
        <x:v>Source portal is identified, but edition/revision and property record locator remain unresolved.</x:v>
      </x:c>
    </x:row>
    <x:row r="1350">
      <x:c r="A1350" s="54" t="n">
        <x:v>3106</x:v>
      </x:c>
      <x:c r="B1350" s="54" t="n">
        <x:v>13</x:v>
      </x:c>
      <x:c r="C1350" s="54" t="n">
        <x:v>5</x:v>
      </x:c>
      <x:c r="D1350" s="54" t="n">
        <x:v>1</x:v>
      </x:c>
      <x:c r="E1350" s="103" t="str">
        <x:v>Material-row source portal</x:v>
      </x:c>
      <x:c r="F1350" s="103" t="str">
        <x:v>Source portal is identified, but edition/revision and property record locator remain unresolved.</x:v>
      </x:c>
    </x:row>
    <x:row r="1351">
      <x:c r="A1351" s="54" t="n">
        <x:v>3106</x:v>
      </x:c>
      <x:c r="B1351" s="54" t="n">
        <x:v>14</x:v>
      </x:c>
      <x:c r="C1351" s="54" t="n">
        <x:v>5</x:v>
      </x:c>
      <x:c r="D1351" s="54" t="n">
        <x:v>1</x:v>
      </x:c>
      <x:c r="E1351" s="103" t="str">
        <x:v>Material-row source portal</x:v>
      </x:c>
      <x:c r="F1351" s="103" t="str">
        <x:v>Source portal is identified, but edition/revision and property record locator remain unresolved.</x:v>
      </x:c>
    </x:row>
    <x:row r="1352">
      <x:c r="A1352" s="54" t="n">
        <x:v>3106</x:v>
      </x:c>
      <x:c r="B1352" s="54" t="n">
        <x:v>15</x:v>
      </x:c>
      <x:c r="C1352" s="54" t="n">
        <x:v>5</x:v>
      </x:c>
      <x:c r="D1352" s="54" t="n">
        <x:v>1</x:v>
      </x:c>
      <x:c r="E1352" s="103" t="str">
        <x:v>Material-row source portal</x:v>
      </x:c>
      <x:c r="F1352" s="103" t="str">
        <x:v>Source portal is identified, but edition/revision and property record locator remain unresolved.</x:v>
      </x:c>
    </x:row>
    <x:row r="1353">
      <x:c r="A1353" s="54" t="n">
        <x:v>3106</x:v>
      </x:c>
      <x:c r="B1353" s="54" t="n">
        <x:v>16</x:v>
      </x:c>
      <x:c r="C1353" s="54" t="n">
        <x:v>5</x:v>
      </x:c>
      <x:c r="D1353" s="54" t="n">
        <x:v>1</x:v>
      </x:c>
      <x:c r="E1353" s="103" t="str">
        <x:v>Material-row source portal</x:v>
      </x:c>
      <x:c r="F1353" s="103" t="str">
        <x:v>Source portal is identified, but edition/revision and property record locator remain unresolved.</x:v>
      </x:c>
    </x:row>
    <x:row r="1354">
      <x:c r="A1354" s="54" t="n">
        <x:v>3106</x:v>
      </x:c>
      <x:c r="B1354" s="54" t="n">
        <x:v>18</x:v>
      </x:c>
      <x:c r="C1354" s="54" t="n">
        <x:v>5</x:v>
      </x:c>
      <x:c r="D1354" s="54" t="n">
        <x:v>1</x:v>
      </x:c>
      <x:c r="E1354" s="103" t="str">
        <x:v>Formula-derived from E and Poisson ratio; input records inherit the material-row source</x:v>
      </x:c>
      <x:c r="F1354" s="103" t="str">
        <x:v>Source portal is identified, but edition/revision and property record locator remain unresolved.</x:v>
      </x:c>
    </x:row>
    <x:row r="1355">
      <x:c r="A1355" s="54" t="n">
        <x:v>3107</x:v>
      </x:c>
      <x:c r="B1355" s="54" t="n">
        <x:v>1</x:v>
      </x:c>
      <x:c r="C1355" s="54" t="n">
        <x:v>5</x:v>
      </x:c>
      <x:c r="D1355" s="54" t="n">
        <x:v>1</x:v>
      </x:c>
      <x:c r="E1355" s="103" t="str">
        <x:v>Material-row source portal</x:v>
      </x:c>
      <x:c r="F1355" s="103" t="str">
        <x:v>Source portal is identified, but edition/revision and property record locator remain unresolved.</x:v>
      </x:c>
    </x:row>
    <x:row r="1356">
      <x:c r="A1356" s="54" t="n">
        <x:v>3107</x:v>
      </x:c>
      <x:c r="B1356" s="54" t="n">
        <x:v>2</x:v>
      </x:c>
      <x:c r="C1356" s="54" t="n">
        <x:v>5</x:v>
      </x:c>
      <x:c r="D1356" s="54" t="n">
        <x:v>1</x:v>
      </x:c>
      <x:c r="E1356" s="103" t="str">
        <x:v>Material-row source portal</x:v>
      </x:c>
      <x:c r="F1356" s="103" t="str">
        <x:v>Source portal is identified, but edition/revision and property record locator remain unresolved.</x:v>
      </x:c>
    </x:row>
    <x:row r="1357">
      <x:c r="A1357" s="54" t="n">
        <x:v>3107</x:v>
      </x:c>
      <x:c r="B1357" s="54" t="n">
        <x:v>3</x:v>
      </x:c>
      <x:c r="C1357" s="54" t="n">
        <x:v>5</x:v>
      </x:c>
      <x:c r="D1357" s="54" t="n">
        <x:v>1</x:v>
      </x:c>
      <x:c r="E1357" s="103" t="str">
        <x:v>Formula-derived from E and Poisson ratio; input records inherit the material-row source</x:v>
      </x:c>
      <x:c r="F1357" s="103" t="str">
        <x:v>Source portal is identified, but edition/revision and property record locator remain unresolved.</x:v>
      </x:c>
    </x:row>
    <x:row r="1358">
      <x:c r="A1358" s="54" t="n">
        <x:v>3107</x:v>
      </x:c>
      <x:c r="B1358" s="54" t="n">
        <x:v>4</x:v>
      </x:c>
      <x:c r="C1358" s="54" t="n">
        <x:v>5</x:v>
      </x:c>
      <x:c r="D1358" s="54" t="n">
        <x:v>1</x:v>
      </x:c>
      <x:c r="E1358" s="103" t="str">
        <x:v>Material-row source portal</x:v>
      </x:c>
      <x:c r="F1358" s="103" t="str">
        <x:v>Source portal is identified, but edition/revision and property record locator remain unresolved.</x:v>
      </x:c>
    </x:row>
    <x:row r="1359">
      <x:c r="A1359" s="54" t="n">
        <x:v>3107</x:v>
      </x:c>
      <x:c r="B1359" s="54" t="n">
        <x:v>5</x:v>
      </x:c>
      <x:c r="C1359" s="54" t="n">
        <x:v>5</x:v>
      </x:c>
      <x:c r="D1359" s="54" t="n">
        <x:v>1</x:v>
      </x:c>
      <x:c r="E1359" s="103" t="str">
        <x:v>Material-row source portal</x:v>
      </x:c>
      <x:c r="F1359" s="103" t="str">
        <x:v>Source portal is identified, but edition/revision and property record locator remain unresolved.</x:v>
      </x:c>
    </x:row>
    <x:row r="1360">
      <x:c r="A1360" s="54" t="n">
        <x:v>3107</x:v>
      </x:c>
      <x:c r="B1360" s="54" t="n">
        <x:v>6</x:v>
      </x:c>
      <x:c r="C1360" s="54" t="n">
        <x:v>5</x:v>
      </x:c>
      <x:c r="D1360" s="54" t="n">
        <x:v>1</x:v>
      </x:c>
      <x:c r="E1360" s="103" t="str">
        <x:v>Material-row source portal</x:v>
      </x:c>
      <x:c r="F1360" s="103" t="str">
        <x:v>Source portal is identified, but edition/revision and property record locator remain unresolved.</x:v>
      </x:c>
    </x:row>
    <x:row r="1361">
      <x:c r="A1361" s="54" t="n">
        <x:v>3107</x:v>
      </x:c>
      <x:c r="B1361" s="54" t="n">
        <x:v>9</x:v>
      </x:c>
      <x:c r="C1361" s="54" t="n">
        <x:v>5</x:v>
      </x:c>
      <x:c r="D1361" s="54" t="n">
        <x:v>1</x:v>
      </x:c>
      <x:c r="E1361" s="103" t="str">
        <x:v>Material-row source portal</x:v>
      </x:c>
      <x:c r="F1361" s="103" t="str">
        <x:v>Source portal is identified, but edition/revision and property record locator remain unresolved.</x:v>
      </x:c>
    </x:row>
    <x:row r="1362">
      <x:c r="A1362" s="54" t="n">
        <x:v>3107</x:v>
      </x:c>
      <x:c r="B1362" s="54" t="n">
        <x:v>11</x:v>
      </x:c>
      <x:c r="C1362" s="54" t="n">
        <x:v>5</x:v>
      </x:c>
      <x:c r="D1362" s="54" t="n">
        <x:v>1</x:v>
      </x:c>
      <x:c r="E1362" s="103" t="str">
        <x:v>Material-row source portal</x:v>
      </x:c>
      <x:c r="F1362" s="103" t="str">
        <x:v>Source portal is identified, but edition/revision and property record locator remain unresolved.</x:v>
      </x:c>
    </x:row>
    <x:row r="1363">
      <x:c r="A1363" s="54" t="n">
        <x:v>3107</x:v>
      </x:c>
      <x:c r="B1363" s="54" t="n">
        <x:v>12</x:v>
      </x:c>
      <x:c r="C1363" s="54" t="n">
        <x:v>5</x:v>
      </x:c>
      <x:c r="D1363" s="54" t="n">
        <x:v>1</x:v>
      </x:c>
      <x:c r="E1363" s="103" t="str">
        <x:v>Material-row source portal</x:v>
      </x:c>
      <x:c r="F1363" s="103" t="str">
        <x:v>Source portal is identified, but edition/revision and property record locator remain unresolved.</x:v>
      </x:c>
    </x:row>
    <x:row r="1364">
      <x:c r="A1364" s="54" t="n">
        <x:v>3107</x:v>
      </x:c>
      <x:c r="B1364" s="54" t="n">
        <x:v>13</x:v>
      </x:c>
      <x:c r="C1364" s="54" t="n">
        <x:v>5</x:v>
      </x:c>
      <x:c r="D1364" s="54" t="n">
        <x:v>1</x:v>
      </x:c>
      <x:c r="E1364" s="103" t="str">
        <x:v>Material-row source portal</x:v>
      </x:c>
      <x:c r="F1364" s="103" t="str">
        <x:v>Source portal is identified, but edition/revision and property record locator remain unresolved.</x:v>
      </x:c>
    </x:row>
    <x:row r="1365">
      <x:c r="A1365" s="54" t="n">
        <x:v>3107</x:v>
      </x:c>
      <x:c r="B1365" s="54" t="n">
        <x:v>14</x:v>
      </x:c>
      <x:c r="C1365" s="54" t="n">
        <x:v>5</x:v>
      </x:c>
      <x:c r="D1365" s="54" t="n">
        <x:v>1</x:v>
      </x:c>
      <x:c r="E1365" s="103" t="str">
        <x:v>Material-row source portal</x:v>
      </x:c>
      <x:c r="F1365" s="103" t="str">
        <x:v>Source portal is identified, but edition/revision and property record locator remain unresolved.</x:v>
      </x:c>
    </x:row>
    <x:row r="1366">
      <x:c r="A1366" s="54" t="n">
        <x:v>3107</x:v>
      </x:c>
      <x:c r="B1366" s="54" t="n">
        <x:v>15</x:v>
      </x:c>
      <x:c r="C1366" s="54" t="n">
        <x:v>5</x:v>
      </x:c>
      <x:c r="D1366" s="54" t="n">
        <x:v>1</x:v>
      </x:c>
      <x:c r="E1366" s="103" t="str">
        <x:v>Material-row source portal</x:v>
      </x:c>
      <x:c r="F1366" s="103" t="str">
        <x:v>Source portal is identified, but edition/revision and property record locator remain unresolved.</x:v>
      </x:c>
    </x:row>
    <x:row r="1367">
      <x:c r="A1367" s="54" t="n">
        <x:v>3107</x:v>
      </x:c>
      <x:c r="B1367" s="54" t="n">
        <x:v>16</x:v>
      </x:c>
      <x:c r="C1367" s="54" t="n">
        <x:v>5</x:v>
      </x:c>
      <x:c r="D1367" s="54" t="n">
        <x:v>1</x:v>
      </x:c>
      <x:c r="E1367" s="103" t="str">
        <x:v>Material-row source portal</x:v>
      </x:c>
      <x:c r="F1367" s="103" t="str">
        <x:v>Source portal is identified, but edition/revision and property record locator remain unresolved.</x:v>
      </x:c>
    </x:row>
    <x:row r="1368">
      <x:c r="A1368" s="54" t="n">
        <x:v>3107</x:v>
      </x:c>
      <x:c r="B1368" s="54" t="n">
        <x:v>18</x:v>
      </x:c>
      <x:c r="C1368" s="54" t="n">
        <x:v>5</x:v>
      </x:c>
      <x:c r="D1368" s="54" t="n">
        <x:v>1</x:v>
      </x:c>
      <x:c r="E1368" s="103" t="str">
        <x:v>Formula-derived from E and Poisson ratio; input records inherit the material-row source</x:v>
      </x:c>
      <x:c r="F1368" s="103" t="str">
        <x:v>Source portal is identified, but edition/revision and property record locator remain unresolved.</x:v>
      </x:c>
    </x:row>
    <x:row r="1369">
      <x:c r="A1369" s="54" t="n">
        <x:v>4001</x:v>
      </x:c>
      <x:c r="B1369" s="54" t="n">
        <x:v>1</x:v>
      </x:c>
      <x:c r="C1369" s="54" t="n">
        <x:v>6</x:v>
      </x:c>
      <x:c r="D1369" s="54" t="n">
        <x:v>1</x:v>
      </x:c>
      <x:c r="E1369" s="103" t="str">
        <x:v>Material-row source portal</x:v>
      </x:c>
      <x:c r="F1369" s="103" t="str">
        <x:v>Source portal is identified, but edition/revision and property record locator remain unresolved.</x:v>
      </x:c>
    </x:row>
    <x:row r="1370">
      <x:c r="A1370" s="54" t="n">
        <x:v>4001</x:v>
      </x:c>
      <x:c r="B1370" s="54" t="n">
        <x:v>2</x:v>
      </x:c>
      <x:c r="C1370" s="54" t="n">
        <x:v>6</x:v>
      </x:c>
      <x:c r="D1370" s="54" t="n">
        <x:v>1</x:v>
      </x:c>
      <x:c r="E1370" s="103" t="str">
        <x:v>Material-row source portal</x:v>
      </x:c>
      <x:c r="F1370" s="103" t="str">
        <x:v>Source portal is identified, but edition/revision and property record locator remain unresolved.</x:v>
      </x:c>
    </x:row>
    <x:row r="1371">
      <x:c r="A1371" s="54" t="n">
        <x:v>4001</x:v>
      </x:c>
      <x:c r="B1371" s="54" t="n">
        <x:v>3</x:v>
      </x:c>
      <x:c r="C1371" s="54" t="n">
        <x:v>6</x:v>
      </x:c>
      <x:c r="D1371" s="54" t="n">
        <x:v>1</x:v>
      </x:c>
      <x:c r="E1371" s="103" t="str">
        <x:v>Formula-derived from E and Poisson ratio; input records inherit the material-row source</x:v>
      </x:c>
      <x:c r="F1371" s="103" t="str">
        <x:v>Source portal is identified, but edition/revision and property record locator remain unresolved.</x:v>
      </x:c>
    </x:row>
    <x:row r="1372">
      <x:c r="A1372" s="54" t="n">
        <x:v>4001</x:v>
      </x:c>
      <x:c r="B1372" s="54" t="n">
        <x:v>4</x:v>
      </x:c>
      <x:c r="C1372" s="54" t="n">
        <x:v>6</x:v>
      </x:c>
      <x:c r="D1372" s="54" t="n">
        <x:v>1</x:v>
      </x:c>
      <x:c r="E1372" s="103" t="str">
        <x:v>Material-row source portal</x:v>
      </x:c>
      <x:c r="F1372" s="103" t="str">
        <x:v>Source portal is identified, but edition/revision and property record locator remain unresolved.</x:v>
      </x:c>
    </x:row>
    <x:row r="1373">
      <x:c r="A1373" s="54" t="n">
        <x:v>4001</x:v>
      </x:c>
      <x:c r="B1373" s="54" t="n">
        <x:v>6</x:v>
      </x:c>
      <x:c r="C1373" s="54" t="n">
        <x:v>6</x:v>
      </x:c>
      <x:c r="D1373" s="54" t="n">
        <x:v>1</x:v>
      </x:c>
      <x:c r="E1373" s="103" t="str">
        <x:v>Material-row source portal</x:v>
      </x:c>
      <x:c r="F1373" s="103" t="str">
        <x:v>Source portal is identified, but edition/revision and property record locator remain unresolved.</x:v>
      </x:c>
    </x:row>
    <x:row r="1374">
      <x:c r="A1374" s="54" t="n">
        <x:v>4001</x:v>
      </x:c>
      <x:c r="B1374" s="54" t="n">
        <x:v>7</x:v>
      </x:c>
      <x:c r="C1374" s="54" t="n">
        <x:v>6</x:v>
      </x:c>
      <x:c r="D1374" s="54" t="n">
        <x:v>1</x:v>
      </x:c>
      <x:c r="E1374" s="103" t="str">
        <x:v>Material-row source portal</x:v>
      </x:c>
      <x:c r="F1374" s="103" t="str">
        <x:v>Source portal is identified, but edition/revision and property record locator remain unresolved.</x:v>
      </x:c>
    </x:row>
    <x:row r="1375">
      <x:c r="A1375" s="54" t="n">
        <x:v>4001</x:v>
      </x:c>
      <x:c r="B1375" s="54" t="n">
        <x:v>8</x:v>
      </x:c>
      <x:c r="C1375" s="54" t="n">
        <x:v>6</x:v>
      </x:c>
      <x:c r="D1375" s="54" t="n">
        <x:v>1</x:v>
      </x:c>
      <x:c r="E1375" s="103" t="str">
        <x:v>Material-row source portal</x:v>
      </x:c>
      <x:c r="F1375" s="103" t="str">
        <x:v>Source portal is identified, but edition/revision and property record locator remain unresolved.</x:v>
      </x:c>
    </x:row>
    <x:row r="1376">
      <x:c r="A1376" s="54" t="n">
        <x:v>4001</x:v>
      </x:c>
      <x:c r="B1376" s="54" t="n">
        <x:v>9</x:v>
      </x:c>
      <x:c r="C1376" s="54" t="n">
        <x:v>6</x:v>
      </x:c>
      <x:c r="D1376" s="54" t="n">
        <x:v>1</x:v>
      </x:c>
      <x:c r="E1376" s="103" t="str">
        <x:v>Material-row source portal</x:v>
      </x:c>
      <x:c r="F1376" s="103" t="str">
        <x:v>Source portal is identified, but edition/revision and property record locator remain unresolved.</x:v>
      </x:c>
    </x:row>
    <x:row r="1377">
      <x:c r="A1377" s="54" t="n">
        <x:v>4001</x:v>
      </x:c>
      <x:c r="B1377" s="54" t="n">
        <x:v>11</x:v>
      </x:c>
      <x:c r="C1377" s="54" t="n">
        <x:v>6</x:v>
      </x:c>
      <x:c r="D1377" s="54" t="n">
        <x:v>1</x:v>
      </x:c>
      <x:c r="E1377" s="103" t="str">
        <x:v>Material-row source portal</x:v>
      </x:c>
      <x:c r="F1377" s="103" t="str">
        <x:v>Source portal is identified, but edition/revision and property record locator remain unresolved.</x:v>
      </x:c>
    </x:row>
    <x:row r="1378">
      <x:c r="A1378" s="54" t="n">
        <x:v>4001</x:v>
      </x:c>
      <x:c r="B1378" s="54" t="n">
        <x:v>12</x:v>
      </x:c>
      <x:c r="C1378" s="54" t="n">
        <x:v>6</x:v>
      </x:c>
      <x:c r="D1378" s="54" t="n">
        <x:v>1</x:v>
      </x:c>
      <x:c r="E1378" s="103" t="str">
        <x:v>Material-row source portal</x:v>
      </x:c>
      <x:c r="F1378" s="103" t="str">
        <x:v>Source portal is identified, but edition/revision and property record locator remain unresolved.</x:v>
      </x:c>
    </x:row>
    <x:row r="1379">
      <x:c r="A1379" s="54" t="n">
        <x:v>4001</x:v>
      </x:c>
      <x:c r="B1379" s="54" t="n">
        <x:v>13</x:v>
      </x:c>
      <x:c r="C1379" s="54" t="n">
        <x:v>6</x:v>
      </x:c>
      <x:c r="D1379" s="54" t="n">
        <x:v>1</x:v>
      </x:c>
      <x:c r="E1379" s="103" t="str">
        <x:v>Material-row source portal</x:v>
      </x:c>
      <x:c r="F1379" s="103" t="str">
        <x:v>Source portal is identified, but edition/revision and property record locator remain unresolved.</x:v>
      </x:c>
    </x:row>
    <x:row r="1380">
      <x:c r="A1380" s="54" t="n">
        <x:v>4001</x:v>
      </x:c>
      <x:c r="B1380" s="54" t="n">
        <x:v>14</x:v>
      </x:c>
      <x:c r="C1380" s="54" t="n">
        <x:v>6</x:v>
      </x:c>
      <x:c r="D1380" s="54" t="n">
        <x:v>1</x:v>
      </x:c>
      <x:c r="E1380" s="103" t="str">
        <x:v>Material-row source portal</x:v>
      </x:c>
      <x:c r="F1380" s="103" t="str">
        <x:v>Source portal is identified, but edition/revision and property record locator remain unresolved.</x:v>
      </x:c>
    </x:row>
    <x:row r="1381">
      <x:c r="A1381" s="54" t="n">
        <x:v>4001</x:v>
      </x:c>
      <x:c r="B1381" s="54" t="n">
        <x:v>15</x:v>
      </x:c>
      <x:c r="C1381" s="54" t="n">
        <x:v>6</x:v>
      </x:c>
      <x:c r="D1381" s="54" t="n">
        <x:v>1</x:v>
      </x:c>
      <x:c r="E1381" s="103" t="str">
        <x:v>Material-row source portal</x:v>
      </x:c>
      <x:c r="F1381" s="103" t="str">
        <x:v>Source portal is identified, but edition/revision and property record locator remain unresolved.</x:v>
      </x:c>
    </x:row>
    <x:row r="1382">
      <x:c r="A1382" s="54" t="n">
        <x:v>4001</x:v>
      </x:c>
      <x:c r="B1382" s="54" t="n">
        <x:v>16</x:v>
      </x:c>
      <x:c r="C1382" s="54" t="n">
        <x:v>6</x:v>
      </x:c>
      <x:c r="D1382" s="54" t="n">
        <x:v>1</x:v>
      </x:c>
      <x:c r="E1382" s="103" t="str">
        <x:v>Material-row source portal</x:v>
      </x:c>
      <x:c r="F1382" s="103" t="str">
        <x:v>Source portal is identified, but edition/revision and property record locator remain unresolved.</x:v>
      </x:c>
    </x:row>
    <x:row r="1383">
      <x:c r="A1383" s="54" t="n">
        <x:v>4001</x:v>
      </x:c>
      <x:c r="B1383" s="54" t="n">
        <x:v>17</x:v>
      </x:c>
      <x:c r="C1383" s="54" t="n">
        <x:v>6</x:v>
      </x:c>
      <x:c r="D1383" s="54" t="n">
        <x:v>1</x:v>
      </x:c>
      <x:c r="E1383" s="103" t="str">
        <x:v>Material-row source portal</x:v>
      </x:c>
      <x:c r="F1383" s="103" t="str">
        <x:v>Source portal is identified, but edition/revision and property record locator remain unresolved.</x:v>
      </x:c>
    </x:row>
    <x:row r="1384">
      <x:c r="A1384" s="54" t="n">
        <x:v>4001</x:v>
      </x:c>
      <x:c r="B1384" s="54" t="n">
        <x:v>18</x:v>
      </x:c>
      <x:c r="C1384" s="54" t="n">
        <x:v>6</x:v>
      </x:c>
      <x:c r="D1384" s="54" t="n">
        <x:v>1</x:v>
      </x:c>
      <x:c r="E1384" s="103" t="str">
        <x:v>Formula-derived from E and Poisson ratio; input records inherit the material-row source</x:v>
      </x:c>
      <x:c r="F1384" s="103" t="str">
        <x:v>Source portal is identified, but edition/revision and property record locator remain unresolved.</x:v>
      </x:c>
    </x:row>
    <x:row r="1385">
      <x:c r="A1385" s="54" t="n">
        <x:v>4002</x:v>
      </x:c>
      <x:c r="B1385" s="54" t="n">
        <x:v>1</x:v>
      </x:c>
      <x:c r="C1385" s="54" t="n">
        <x:v>6</x:v>
      </x:c>
      <x:c r="D1385" s="54" t="n">
        <x:v>1</x:v>
      </x:c>
      <x:c r="E1385" s="103" t="str">
        <x:v>Material-row source portal</x:v>
      </x:c>
      <x:c r="F1385" s="103" t="str">
        <x:v>Source portal is identified, but edition/revision and property record locator remain unresolved.</x:v>
      </x:c>
    </x:row>
    <x:row r="1386">
      <x:c r="A1386" s="54" t="n">
        <x:v>4002</x:v>
      </x:c>
      <x:c r="B1386" s="54" t="n">
        <x:v>2</x:v>
      </x:c>
      <x:c r="C1386" s="54" t="n">
        <x:v>6</x:v>
      </x:c>
      <x:c r="D1386" s="54" t="n">
        <x:v>1</x:v>
      </x:c>
      <x:c r="E1386" s="103" t="str">
        <x:v>Material-row source portal</x:v>
      </x:c>
      <x:c r="F1386" s="103" t="str">
        <x:v>Source portal is identified, but edition/revision and property record locator remain unresolved.</x:v>
      </x:c>
    </x:row>
    <x:row r="1387">
      <x:c r="A1387" s="54" t="n">
        <x:v>4002</x:v>
      </x:c>
      <x:c r="B1387" s="54" t="n">
        <x:v>3</x:v>
      </x:c>
      <x:c r="C1387" s="54" t="n">
        <x:v>6</x:v>
      </x:c>
      <x:c r="D1387" s="54" t="n">
        <x:v>1</x:v>
      </x:c>
      <x:c r="E1387" s="103" t="str">
        <x:v>Formula-derived from E and Poisson ratio; input records inherit the material-row source</x:v>
      </x:c>
      <x:c r="F1387" s="103" t="str">
        <x:v>Source portal is identified, but edition/revision and property record locator remain unresolved.</x:v>
      </x:c>
    </x:row>
    <x:row r="1388">
      <x:c r="A1388" s="54" t="n">
        <x:v>4002</x:v>
      </x:c>
      <x:c r="B1388" s="54" t="n">
        <x:v>4</x:v>
      </x:c>
      <x:c r="C1388" s="54" t="n">
        <x:v>6</x:v>
      </x:c>
      <x:c r="D1388" s="54" t="n">
        <x:v>1</x:v>
      </x:c>
      <x:c r="E1388" s="103" t="str">
        <x:v>Material-row source portal</x:v>
      </x:c>
      <x:c r="F1388" s="103" t="str">
        <x:v>Source portal is identified, but edition/revision and property record locator remain unresolved.</x:v>
      </x:c>
    </x:row>
    <x:row r="1389">
      <x:c r="A1389" s="54" t="n">
        <x:v>4002</x:v>
      </x:c>
      <x:c r="B1389" s="54" t="n">
        <x:v>6</x:v>
      </x:c>
      <x:c r="C1389" s="54" t="n">
        <x:v>6</x:v>
      </x:c>
      <x:c r="D1389" s="54" t="n">
        <x:v>1</x:v>
      </x:c>
      <x:c r="E1389" s="103" t="str">
        <x:v>Material-row source portal</x:v>
      </x:c>
      <x:c r="F1389" s="103" t="str">
        <x:v>Source portal is identified, but edition/revision and property record locator remain unresolved.</x:v>
      </x:c>
    </x:row>
    <x:row r="1390">
      <x:c r="A1390" s="54" t="n">
        <x:v>4002</x:v>
      </x:c>
      <x:c r="B1390" s="54" t="n">
        <x:v>7</x:v>
      </x:c>
      <x:c r="C1390" s="54" t="n">
        <x:v>6</x:v>
      </x:c>
      <x:c r="D1390" s="54" t="n">
        <x:v>1</x:v>
      </x:c>
      <x:c r="E1390" s="103" t="str">
        <x:v>Material-row source portal</x:v>
      </x:c>
      <x:c r="F1390" s="103" t="str">
        <x:v>Source portal is identified, but edition/revision and property record locator remain unresolved.</x:v>
      </x:c>
    </x:row>
    <x:row r="1391">
      <x:c r="A1391" s="54" t="n">
        <x:v>4002</x:v>
      </x:c>
      <x:c r="B1391" s="54" t="n">
        <x:v>8</x:v>
      </x:c>
      <x:c r="C1391" s="54" t="n">
        <x:v>6</x:v>
      </x:c>
      <x:c r="D1391" s="54" t="n">
        <x:v>1</x:v>
      </x:c>
      <x:c r="E1391" s="103" t="str">
        <x:v>Material-row source portal</x:v>
      </x:c>
      <x:c r="F1391" s="103" t="str">
        <x:v>Source portal is identified, but edition/revision and property record locator remain unresolved.</x:v>
      </x:c>
    </x:row>
    <x:row r="1392">
      <x:c r="A1392" s="54" t="n">
        <x:v>4002</x:v>
      </x:c>
      <x:c r="B1392" s="54" t="n">
        <x:v>9</x:v>
      </x:c>
      <x:c r="C1392" s="54" t="n">
        <x:v>6</x:v>
      </x:c>
      <x:c r="D1392" s="54" t="n">
        <x:v>1</x:v>
      </x:c>
      <x:c r="E1392" s="103" t="str">
        <x:v>Material-row source portal</x:v>
      </x:c>
      <x:c r="F1392" s="103" t="str">
        <x:v>Source portal is identified, but edition/revision and property record locator remain unresolved.</x:v>
      </x:c>
    </x:row>
    <x:row r="1393">
      <x:c r="A1393" s="54" t="n">
        <x:v>4002</x:v>
      </x:c>
      <x:c r="B1393" s="54" t="n">
        <x:v>10</x:v>
      </x:c>
      <x:c r="C1393" s="54" t="n">
        <x:v>6</x:v>
      </x:c>
      <x:c r="D1393" s="54" t="n">
        <x:v>1</x:v>
      </x:c>
      <x:c r="E1393" s="103" t="str">
        <x:v>Material-row source portal</x:v>
      </x:c>
      <x:c r="F1393" s="103" t="str">
        <x:v>Source portal is identified, but edition/revision and property record locator remain unresolved.</x:v>
      </x:c>
    </x:row>
    <x:row r="1394">
      <x:c r="A1394" s="54" t="n">
        <x:v>4002</x:v>
      </x:c>
      <x:c r="B1394" s="54" t="n">
        <x:v>11</x:v>
      </x:c>
      <x:c r="C1394" s="54" t="n">
        <x:v>6</x:v>
      </x:c>
      <x:c r="D1394" s="54" t="n">
        <x:v>1</x:v>
      </x:c>
      <x:c r="E1394" s="103" t="str">
        <x:v>Material-row source portal</x:v>
      </x:c>
      <x:c r="F1394" s="103" t="str">
        <x:v>Source portal is identified, but edition/revision and property record locator remain unresolved.</x:v>
      </x:c>
    </x:row>
    <x:row r="1395">
      <x:c r="A1395" s="54" t="n">
        <x:v>4002</x:v>
      </x:c>
      <x:c r="B1395" s="54" t="n">
        <x:v>12</x:v>
      </x:c>
      <x:c r="C1395" s="54" t="n">
        <x:v>6</x:v>
      </x:c>
      <x:c r="D1395" s="54" t="n">
        <x:v>1</x:v>
      </x:c>
      <x:c r="E1395" s="103" t="str">
        <x:v>Material-row source portal</x:v>
      </x:c>
      <x:c r="F1395" s="103" t="str">
        <x:v>Source portal is identified, but edition/revision and property record locator remain unresolved.</x:v>
      </x:c>
    </x:row>
    <x:row r="1396">
      <x:c r="A1396" s="54" t="n">
        <x:v>4002</x:v>
      </x:c>
      <x:c r="B1396" s="54" t="n">
        <x:v>13</x:v>
      </x:c>
      <x:c r="C1396" s="54" t="n">
        <x:v>6</x:v>
      </x:c>
      <x:c r="D1396" s="54" t="n">
        <x:v>1</x:v>
      </x:c>
      <x:c r="E1396" s="103" t="str">
        <x:v>Material-row source portal</x:v>
      </x:c>
      <x:c r="F1396" s="103" t="str">
        <x:v>Source portal is identified, but edition/revision and property record locator remain unresolved.</x:v>
      </x:c>
    </x:row>
    <x:row r="1397">
      <x:c r="A1397" s="54" t="n">
        <x:v>4002</x:v>
      </x:c>
      <x:c r="B1397" s="54" t="n">
        <x:v>14</x:v>
      </x:c>
      <x:c r="C1397" s="54" t="n">
        <x:v>6</x:v>
      </x:c>
      <x:c r="D1397" s="54" t="n">
        <x:v>1</x:v>
      </x:c>
      <x:c r="E1397" s="103" t="str">
        <x:v>Material-row source portal</x:v>
      </x:c>
      <x:c r="F1397" s="103" t="str">
        <x:v>Source portal is identified, but edition/revision and property record locator remain unresolved.</x:v>
      </x:c>
    </x:row>
    <x:row r="1398">
      <x:c r="A1398" s="54" t="n">
        <x:v>4002</x:v>
      </x:c>
      <x:c r="B1398" s="54" t="n">
        <x:v>15</x:v>
      </x:c>
      <x:c r="C1398" s="54" t="n">
        <x:v>6</x:v>
      </x:c>
      <x:c r="D1398" s="54" t="n">
        <x:v>1</x:v>
      </x:c>
      <x:c r="E1398" s="103" t="str">
        <x:v>Material-row source portal</x:v>
      </x:c>
      <x:c r="F1398" s="103" t="str">
        <x:v>Source portal is identified, but edition/revision and property record locator remain unresolved.</x:v>
      </x:c>
    </x:row>
    <x:row r="1399">
      <x:c r="A1399" s="54" t="n">
        <x:v>4002</x:v>
      </x:c>
      <x:c r="B1399" s="54" t="n">
        <x:v>16</x:v>
      </x:c>
      <x:c r="C1399" s="54" t="n">
        <x:v>6</x:v>
      </x:c>
      <x:c r="D1399" s="54" t="n">
        <x:v>1</x:v>
      </x:c>
      <x:c r="E1399" s="103" t="str">
        <x:v>Material-row source portal</x:v>
      </x:c>
      <x:c r="F1399" s="103" t="str">
        <x:v>Source portal is identified, but edition/revision and property record locator remain unresolved.</x:v>
      </x:c>
    </x:row>
    <x:row r="1400">
      <x:c r="A1400" s="54" t="n">
        <x:v>4002</x:v>
      </x:c>
      <x:c r="B1400" s="54" t="n">
        <x:v>17</x:v>
      </x:c>
      <x:c r="C1400" s="54" t="n">
        <x:v>6</x:v>
      </x:c>
      <x:c r="D1400" s="54" t="n">
        <x:v>1</x:v>
      </x:c>
      <x:c r="E1400" s="103" t="str">
        <x:v>Material-row source portal</x:v>
      </x:c>
      <x:c r="F1400" s="103" t="str">
        <x:v>Source portal is identified, but edition/revision and property record locator remain unresolved.</x:v>
      </x:c>
    </x:row>
    <x:row r="1401">
      <x:c r="A1401" s="54" t="n">
        <x:v>4002</x:v>
      </x:c>
      <x:c r="B1401" s="54" t="n">
        <x:v>18</x:v>
      </x:c>
      <x:c r="C1401" s="54" t="n">
        <x:v>6</x:v>
      </x:c>
      <x:c r="D1401" s="54" t="n">
        <x:v>1</x:v>
      </x:c>
      <x:c r="E1401" s="103" t="str">
        <x:v>Formula-derived from E and Poisson ratio; input records inherit the material-row source</x:v>
      </x:c>
      <x:c r="F1401" s="103" t="str">
        <x:v>Source portal is identified, but edition/revision and property record locator remain unresolved.</x:v>
      </x:c>
    </x:row>
    <x:row r="1402">
      <x:c r="A1402" s="54" t="n">
        <x:v>4003</x:v>
      </x:c>
      <x:c r="B1402" s="54" t="n">
        <x:v>1</x:v>
      </x:c>
      <x:c r="C1402" s="54" t="n">
        <x:v>6</x:v>
      </x:c>
      <x:c r="D1402" s="54" t="n">
        <x:v>1</x:v>
      </x:c>
      <x:c r="E1402" s="103" t="str">
        <x:v>Material-row source portal</x:v>
      </x:c>
      <x:c r="F1402" s="103" t="str">
        <x:v>Source portal is identified, but edition/revision and property record locator remain unresolved.</x:v>
      </x:c>
    </x:row>
    <x:row r="1403">
      <x:c r="A1403" s="54" t="n">
        <x:v>4003</x:v>
      </x:c>
      <x:c r="B1403" s="54" t="n">
        <x:v>2</x:v>
      </x:c>
      <x:c r="C1403" s="54" t="n">
        <x:v>6</x:v>
      </x:c>
      <x:c r="D1403" s="54" t="n">
        <x:v>1</x:v>
      </x:c>
      <x:c r="E1403" s="103" t="str">
        <x:v>Material-row source portal</x:v>
      </x:c>
      <x:c r="F1403" s="103" t="str">
        <x:v>Source portal is identified, but edition/revision and property record locator remain unresolved.</x:v>
      </x:c>
    </x:row>
    <x:row r="1404">
      <x:c r="A1404" s="54" t="n">
        <x:v>4003</x:v>
      </x:c>
      <x:c r="B1404" s="54" t="n">
        <x:v>3</x:v>
      </x:c>
      <x:c r="C1404" s="54" t="n">
        <x:v>6</x:v>
      </x:c>
      <x:c r="D1404" s="54" t="n">
        <x:v>1</x:v>
      </x:c>
      <x:c r="E1404" s="103" t="str">
        <x:v>Formula-derived from E and Poisson ratio; input records inherit the material-row source</x:v>
      </x:c>
      <x:c r="F1404" s="103" t="str">
        <x:v>Source portal is identified, but edition/revision and property record locator remain unresolved.</x:v>
      </x:c>
    </x:row>
    <x:row r="1405">
      <x:c r="A1405" s="54" t="n">
        <x:v>4003</x:v>
      </x:c>
      <x:c r="B1405" s="54" t="n">
        <x:v>4</x:v>
      </x:c>
      <x:c r="C1405" s="54" t="n">
        <x:v>6</x:v>
      </x:c>
      <x:c r="D1405" s="54" t="n">
        <x:v>1</x:v>
      </x:c>
      <x:c r="E1405" s="103" t="str">
        <x:v>Material-row source portal</x:v>
      </x:c>
      <x:c r="F1405" s="103" t="str">
        <x:v>Source portal is identified, but edition/revision and property record locator remain unresolved.</x:v>
      </x:c>
    </x:row>
    <x:row r="1406">
      <x:c r="A1406" s="54" t="n">
        <x:v>4003</x:v>
      </x:c>
      <x:c r="B1406" s="54" t="n">
        <x:v>6</x:v>
      </x:c>
      <x:c r="C1406" s="54" t="n">
        <x:v>6</x:v>
      </x:c>
      <x:c r="D1406" s="54" t="n">
        <x:v>1</x:v>
      </x:c>
      <x:c r="E1406" s="103" t="str">
        <x:v>Material-row source portal</x:v>
      </x:c>
      <x:c r="F1406" s="103" t="str">
        <x:v>Source portal is identified, but edition/revision and property record locator remain unresolved.</x:v>
      </x:c>
    </x:row>
    <x:row r="1407">
      <x:c r="A1407" s="54" t="n">
        <x:v>4003</x:v>
      </x:c>
      <x:c r="B1407" s="54" t="n">
        <x:v>7</x:v>
      </x:c>
      <x:c r="C1407" s="54" t="n">
        <x:v>6</x:v>
      </x:c>
      <x:c r="D1407" s="54" t="n">
        <x:v>1</x:v>
      </x:c>
      <x:c r="E1407" s="103" t="str">
        <x:v>Material-row source portal</x:v>
      </x:c>
      <x:c r="F1407" s="103" t="str">
        <x:v>Source portal is identified, but edition/revision and property record locator remain unresolved.</x:v>
      </x:c>
    </x:row>
    <x:row r="1408">
      <x:c r="A1408" s="54" t="n">
        <x:v>4003</x:v>
      </x:c>
      <x:c r="B1408" s="54" t="n">
        <x:v>8</x:v>
      </x:c>
      <x:c r="C1408" s="54" t="n">
        <x:v>6</x:v>
      </x:c>
      <x:c r="D1408" s="54" t="n">
        <x:v>1</x:v>
      </x:c>
      <x:c r="E1408" s="103" t="str">
        <x:v>Material-row source portal</x:v>
      </x:c>
      <x:c r="F1408" s="103" t="str">
        <x:v>Source portal is identified, but edition/revision and property record locator remain unresolved.</x:v>
      </x:c>
    </x:row>
    <x:row r="1409">
      <x:c r="A1409" s="54" t="n">
        <x:v>4003</x:v>
      </x:c>
      <x:c r="B1409" s="54" t="n">
        <x:v>9</x:v>
      </x:c>
      <x:c r="C1409" s="54" t="n">
        <x:v>6</x:v>
      </x:c>
      <x:c r="D1409" s="54" t="n">
        <x:v>1</x:v>
      </x:c>
      <x:c r="E1409" s="103" t="str">
        <x:v>Material-row source portal</x:v>
      </x:c>
      <x:c r="F1409" s="103" t="str">
        <x:v>Source portal is identified, but edition/revision and property record locator remain unresolved.</x:v>
      </x:c>
    </x:row>
    <x:row r="1410">
      <x:c r="A1410" s="54" t="n">
        <x:v>4003</x:v>
      </x:c>
      <x:c r="B1410" s="54" t="n">
        <x:v>10</x:v>
      </x:c>
      <x:c r="C1410" s="54" t="n">
        <x:v>6</x:v>
      </x:c>
      <x:c r="D1410" s="54" t="n">
        <x:v>1</x:v>
      </x:c>
      <x:c r="E1410" s="103" t="str">
        <x:v>Material-row source portal</x:v>
      </x:c>
      <x:c r="F1410" s="103" t="str">
        <x:v>Source portal is identified, but edition/revision and property record locator remain unresolved.</x:v>
      </x:c>
    </x:row>
    <x:row r="1411">
      <x:c r="A1411" s="54" t="n">
        <x:v>4003</x:v>
      </x:c>
      <x:c r="B1411" s="54" t="n">
        <x:v>11</x:v>
      </x:c>
      <x:c r="C1411" s="54" t="n">
        <x:v>6</x:v>
      </x:c>
      <x:c r="D1411" s="54" t="n">
        <x:v>1</x:v>
      </x:c>
      <x:c r="E1411" s="103" t="str">
        <x:v>Material-row source portal</x:v>
      </x:c>
      <x:c r="F1411" s="103" t="str">
        <x:v>Source portal is identified, but edition/revision and property record locator remain unresolved.</x:v>
      </x:c>
    </x:row>
    <x:row r="1412">
      <x:c r="A1412" s="54" t="n">
        <x:v>4003</x:v>
      </x:c>
      <x:c r="B1412" s="54" t="n">
        <x:v>12</x:v>
      </x:c>
      <x:c r="C1412" s="54" t="n">
        <x:v>6</x:v>
      </x:c>
      <x:c r="D1412" s="54" t="n">
        <x:v>1</x:v>
      </x:c>
      <x:c r="E1412" s="103" t="str">
        <x:v>Material-row source portal</x:v>
      </x:c>
      <x:c r="F1412" s="103" t="str">
        <x:v>Source portal is identified, but edition/revision and property record locator remain unresolved.</x:v>
      </x:c>
    </x:row>
    <x:row r="1413">
      <x:c r="A1413" s="54" t="n">
        <x:v>4003</x:v>
      </x:c>
      <x:c r="B1413" s="54" t="n">
        <x:v>13</x:v>
      </x:c>
      <x:c r="C1413" s="54" t="n">
        <x:v>6</x:v>
      </x:c>
      <x:c r="D1413" s="54" t="n">
        <x:v>1</x:v>
      </x:c>
      <x:c r="E1413" s="103" t="str">
        <x:v>Material-row source portal</x:v>
      </x:c>
      <x:c r="F1413" s="103" t="str">
        <x:v>Source portal is identified, but edition/revision and property record locator remain unresolved.</x:v>
      </x:c>
    </x:row>
    <x:row r="1414">
      <x:c r="A1414" s="54" t="n">
        <x:v>4003</x:v>
      </x:c>
      <x:c r="B1414" s="54" t="n">
        <x:v>14</x:v>
      </x:c>
      <x:c r="C1414" s="54" t="n">
        <x:v>6</x:v>
      </x:c>
      <x:c r="D1414" s="54" t="n">
        <x:v>1</x:v>
      </x:c>
      <x:c r="E1414" s="103" t="str">
        <x:v>Material-row source portal</x:v>
      </x:c>
      <x:c r="F1414" s="103" t="str">
        <x:v>Source portal is identified, but edition/revision and property record locator remain unresolved.</x:v>
      </x:c>
    </x:row>
    <x:row r="1415">
      <x:c r="A1415" s="54" t="n">
        <x:v>4003</x:v>
      </x:c>
      <x:c r="B1415" s="54" t="n">
        <x:v>15</x:v>
      </x:c>
      <x:c r="C1415" s="54" t="n">
        <x:v>6</x:v>
      </x:c>
      <x:c r="D1415" s="54" t="n">
        <x:v>1</x:v>
      </x:c>
      <x:c r="E1415" s="103" t="str">
        <x:v>Material-row source portal</x:v>
      </x:c>
      <x:c r="F1415" s="103" t="str">
        <x:v>Source portal is identified, but edition/revision and property record locator remain unresolved.</x:v>
      </x:c>
    </x:row>
    <x:row r="1416">
      <x:c r="A1416" s="54" t="n">
        <x:v>4003</x:v>
      </x:c>
      <x:c r="B1416" s="54" t="n">
        <x:v>16</x:v>
      </x:c>
      <x:c r="C1416" s="54" t="n">
        <x:v>6</x:v>
      </x:c>
      <x:c r="D1416" s="54" t="n">
        <x:v>1</x:v>
      </x:c>
      <x:c r="E1416" s="103" t="str">
        <x:v>Material-row source portal</x:v>
      </x:c>
      <x:c r="F1416" s="103" t="str">
        <x:v>Source portal is identified, but edition/revision and property record locator remain unresolved.</x:v>
      </x:c>
    </x:row>
    <x:row r="1417">
      <x:c r="A1417" s="54" t="n">
        <x:v>4003</x:v>
      </x:c>
      <x:c r="B1417" s="54" t="n">
        <x:v>17</x:v>
      </x:c>
      <x:c r="C1417" s="54" t="n">
        <x:v>6</x:v>
      </x:c>
      <x:c r="D1417" s="54" t="n">
        <x:v>1</x:v>
      </x:c>
      <x:c r="E1417" s="103" t="str">
        <x:v>Material-row source portal</x:v>
      </x:c>
      <x:c r="F1417" s="103" t="str">
        <x:v>Source portal is identified, but edition/revision and property record locator remain unresolved.</x:v>
      </x:c>
    </x:row>
    <x:row r="1418">
      <x:c r="A1418" s="54" t="n">
        <x:v>4003</x:v>
      </x:c>
      <x:c r="B1418" s="54" t="n">
        <x:v>18</x:v>
      </x:c>
      <x:c r="C1418" s="54" t="n">
        <x:v>6</x:v>
      </x:c>
      <x:c r="D1418" s="54" t="n">
        <x:v>1</x:v>
      </x:c>
      <x:c r="E1418" s="103" t="str">
        <x:v>Formula-derived from E and Poisson ratio; input records inherit the material-row source</x:v>
      </x:c>
      <x:c r="F1418" s="103" t="str">
        <x:v>Source portal is identified, but edition/revision and property record locator remain unresolved.</x:v>
      </x:c>
    </x:row>
    <x:row r="1419">
      <x:c r="A1419" s="54" t="n">
        <x:v>4101</x:v>
      </x:c>
      <x:c r="B1419" s="54" t="n">
        <x:v>1</x:v>
      </x:c>
      <x:c r="C1419" s="54" t="n">
        <x:v>6</x:v>
      </x:c>
      <x:c r="D1419" s="54" t="n">
        <x:v>1</x:v>
      </x:c>
      <x:c r="E1419" s="103" t="str">
        <x:v>Material-row source portal</x:v>
      </x:c>
      <x:c r="F1419" s="103" t="str">
        <x:v>Source portal is identified, but edition/revision and property record locator remain unresolved.</x:v>
      </x:c>
    </x:row>
    <x:row r="1420">
      <x:c r="A1420" s="54" t="n">
        <x:v>4101</x:v>
      </x:c>
      <x:c r="B1420" s="54" t="n">
        <x:v>2</x:v>
      </x:c>
      <x:c r="C1420" s="54" t="n">
        <x:v>6</x:v>
      </x:c>
      <x:c r="D1420" s="54" t="n">
        <x:v>1</x:v>
      </x:c>
      <x:c r="E1420" s="103" t="str">
        <x:v>Material-row source portal</x:v>
      </x:c>
      <x:c r="F1420" s="103" t="str">
        <x:v>Source portal is identified, but edition/revision and property record locator remain unresolved.</x:v>
      </x:c>
    </x:row>
    <x:row r="1421">
      <x:c r="A1421" s="54" t="n">
        <x:v>4101</x:v>
      </x:c>
      <x:c r="B1421" s="54" t="n">
        <x:v>3</x:v>
      </x:c>
      <x:c r="C1421" s="54" t="n">
        <x:v>6</x:v>
      </x:c>
      <x:c r="D1421" s="54" t="n">
        <x:v>1</x:v>
      </x:c>
      <x:c r="E1421" s="103" t="str">
        <x:v>Formula-derived from E and Poisson ratio; input records inherit the material-row source</x:v>
      </x:c>
      <x:c r="F1421" s="103" t="str">
        <x:v>Source portal is identified, but edition/revision and property record locator remain unresolved.</x:v>
      </x:c>
    </x:row>
    <x:row r="1422">
      <x:c r="A1422" s="54" t="n">
        <x:v>4101</x:v>
      </x:c>
      <x:c r="B1422" s="54" t="n">
        <x:v>4</x:v>
      </x:c>
      <x:c r="C1422" s="54" t="n">
        <x:v>6</x:v>
      </x:c>
      <x:c r="D1422" s="54" t="n">
        <x:v>1</x:v>
      </x:c>
      <x:c r="E1422" s="103" t="str">
        <x:v>Material-row source portal</x:v>
      </x:c>
      <x:c r="F1422" s="103" t="str">
        <x:v>Source portal is identified, but edition/revision and property record locator remain unresolved.</x:v>
      </x:c>
    </x:row>
    <x:row r="1423">
      <x:c r="A1423" s="54" t="n">
        <x:v>4101</x:v>
      </x:c>
      <x:c r="B1423" s="54" t="n">
        <x:v>6</x:v>
      </x:c>
      <x:c r="C1423" s="54" t="n">
        <x:v>6</x:v>
      </x:c>
      <x:c r="D1423" s="54" t="n">
        <x:v>1</x:v>
      </x:c>
      <x:c r="E1423" s="103" t="str">
        <x:v>Material-row source portal</x:v>
      </x:c>
      <x:c r="F1423" s="103" t="str">
        <x:v>Source portal is identified, but edition/revision and property record locator remain unresolved.</x:v>
      </x:c>
    </x:row>
    <x:row r="1424">
      <x:c r="A1424" s="54" t="n">
        <x:v>4101</x:v>
      </x:c>
      <x:c r="B1424" s="54" t="n">
        <x:v>7</x:v>
      </x:c>
      <x:c r="C1424" s="54" t="n">
        <x:v>6</x:v>
      </x:c>
      <x:c r="D1424" s="54" t="n">
        <x:v>1</x:v>
      </x:c>
      <x:c r="E1424" s="103" t="str">
        <x:v>Material-row source portal</x:v>
      </x:c>
      <x:c r="F1424" s="103" t="str">
        <x:v>Source portal is identified, but edition/revision and property record locator remain unresolved.</x:v>
      </x:c>
    </x:row>
    <x:row r="1425">
      <x:c r="A1425" s="54" t="n">
        <x:v>4101</x:v>
      </x:c>
      <x:c r="B1425" s="54" t="n">
        <x:v>8</x:v>
      </x:c>
      <x:c r="C1425" s="54" t="n">
        <x:v>6</x:v>
      </x:c>
      <x:c r="D1425" s="54" t="n">
        <x:v>1</x:v>
      </x:c>
      <x:c r="E1425" s="103" t="str">
        <x:v>Material-row source portal</x:v>
      </x:c>
      <x:c r="F1425" s="103" t="str">
        <x:v>Source portal is identified, but edition/revision and property record locator remain unresolved.</x:v>
      </x:c>
    </x:row>
    <x:row r="1426">
      <x:c r="A1426" s="54" t="n">
        <x:v>4101</x:v>
      </x:c>
      <x:c r="B1426" s="54" t="n">
        <x:v>9</x:v>
      </x:c>
      <x:c r="C1426" s="54" t="n">
        <x:v>6</x:v>
      </x:c>
      <x:c r="D1426" s="54" t="n">
        <x:v>1</x:v>
      </x:c>
      <x:c r="E1426" s="103" t="str">
        <x:v>Material-row source portal</x:v>
      </x:c>
      <x:c r="F1426" s="103" t="str">
        <x:v>Source portal is identified, but edition/revision and property record locator remain unresolved.</x:v>
      </x:c>
    </x:row>
    <x:row r="1427">
      <x:c r="A1427" s="54" t="n">
        <x:v>4101</x:v>
      </x:c>
      <x:c r="B1427" s="54" t="n">
        <x:v>10</x:v>
      </x:c>
      <x:c r="C1427" s="54" t="n">
        <x:v>6</x:v>
      </x:c>
      <x:c r="D1427" s="54" t="n">
        <x:v>1</x:v>
      </x:c>
      <x:c r="E1427" s="103" t="str">
        <x:v>Material-row source portal</x:v>
      </x:c>
      <x:c r="F1427" s="103" t="str">
        <x:v>Source portal is identified, but edition/revision and property record locator remain unresolved.</x:v>
      </x:c>
    </x:row>
    <x:row r="1428">
      <x:c r="A1428" s="54" t="n">
        <x:v>4101</x:v>
      </x:c>
      <x:c r="B1428" s="54" t="n">
        <x:v>11</x:v>
      </x:c>
      <x:c r="C1428" s="54" t="n">
        <x:v>6</x:v>
      </x:c>
      <x:c r="D1428" s="54" t="n">
        <x:v>1</x:v>
      </x:c>
      <x:c r="E1428" s="103" t="str">
        <x:v>Material-row source portal</x:v>
      </x:c>
      <x:c r="F1428" s="103" t="str">
        <x:v>Source portal is identified, but edition/revision and property record locator remain unresolved.</x:v>
      </x:c>
    </x:row>
    <x:row r="1429">
      <x:c r="A1429" s="54" t="n">
        <x:v>4101</x:v>
      </x:c>
      <x:c r="B1429" s="54" t="n">
        <x:v>12</x:v>
      </x:c>
      <x:c r="C1429" s="54" t="n">
        <x:v>6</x:v>
      </x:c>
      <x:c r="D1429" s="54" t="n">
        <x:v>1</x:v>
      </x:c>
      <x:c r="E1429" s="103" t="str">
        <x:v>Material-row source portal</x:v>
      </x:c>
      <x:c r="F1429" s="103" t="str">
        <x:v>Source portal is identified, but edition/revision and property record locator remain unresolved.</x:v>
      </x:c>
    </x:row>
    <x:row r="1430">
      <x:c r="A1430" s="54" t="n">
        <x:v>4101</x:v>
      </x:c>
      <x:c r="B1430" s="54" t="n">
        <x:v>13</x:v>
      </x:c>
      <x:c r="C1430" s="54" t="n">
        <x:v>6</x:v>
      </x:c>
      <x:c r="D1430" s="54" t="n">
        <x:v>1</x:v>
      </x:c>
      <x:c r="E1430" s="103" t="str">
        <x:v>Material-row source portal</x:v>
      </x:c>
      <x:c r="F1430" s="103" t="str">
        <x:v>Source portal is identified, but edition/revision and property record locator remain unresolved.</x:v>
      </x:c>
    </x:row>
    <x:row r="1431">
      <x:c r="A1431" s="54" t="n">
        <x:v>4101</x:v>
      </x:c>
      <x:c r="B1431" s="54" t="n">
        <x:v>14</x:v>
      </x:c>
      <x:c r="C1431" s="54" t="n">
        <x:v>6</x:v>
      </x:c>
      <x:c r="D1431" s="54" t="n">
        <x:v>1</x:v>
      </x:c>
      <x:c r="E1431" s="103" t="str">
        <x:v>Material-row source portal</x:v>
      </x:c>
      <x:c r="F1431" s="103" t="str">
        <x:v>Source portal is identified, but edition/revision and property record locator remain unresolved.</x:v>
      </x:c>
    </x:row>
    <x:row r="1432">
      <x:c r="A1432" s="54" t="n">
        <x:v>4101</x:v>
      </x:c>
      <x:c r="B1432" s="54" t="n">
        <x:v>15</x:v>
      </x:c>
      <x:c r="C1432" s="54" t="n">
        <x:v>6</x:v>
      </x:c>
      <x:c r="D1432" s="54" t="n">
        <x:v>1</x:v>
      </x:c>
      <x:c r="E1432" s="103" t="str">
        <x:v>Material-row source portal</x:v>
      </x:c>
      <x:c r="F1432" s="103" t="str">
        <x:v>Source portal is identified, but edition/revision and property record locator remain unresolved.</x:v>
      </x:c>
    </x:row>
    <x:row r="1433">
      <x:c r="A1433" s="54" t="n">
        <x:v>4101</x:v>
      </x:c>
      <x:c r="B1433" s="54" t="n">
        <x:v>16</x:v>
      </x:c>
      <x:c r="C1433" s="54" t="n">
        <x:v>6</x:v>
      </x:c>
      <x:c r="D1433" s="54" t="n">
        <x:v>1</x:v>
      </x:c>
      <x:c r="E1433" s="103" t="str">
        <x:v>Material-row source portal</x:v>
      </x:c>
      <x:c r="F1433" s="103" t="str">
        <x:v>Source portal is identified, but edition/revision and property record locator remain unresolved.</x:v>
      </x:c>
    </x:row>
    <x:row r="1434">
      <x:c r="A1434" s="54" t="n">
        <x:v>4101</x:v>
      </x:c>
      <x:c r="B1434" s="54" t="n">
        <x:v>17</x:v>
      </x:c>
      <x:c r="C1434" s="54" t="n">
        <x:v>6</x:v>
      </x:c>
      <x:c r="D1434" s="54" t="n">
        <x:v>1</x:v>
      </x:c>
      <x:c r="E1434" s="103" t="str">
        <x:v>Material-row source portal</x:v>
      </x:c>
      <x:c r="F1434" s="103" t="str">
        <x:v>Source portal is identified, but edition/revision and property record locator remain unresolved.</x:v>
      </x:c>
    </x:row>
    <x:row r="1435">
      <x:c r="A1435" s="54" t="n">
        <x:v>4101</x:v>
      </x:c>
      <x:c r="B1435" s="54" t="n">
        <x:v>18</x:v>
      </x:c>
      <x:c r="C1435" s="54" t="n">
        <x:v>6</x:v>
      </x:c>
      <x:c r="D1435" s="54" t="n">
        <x:v>1</x:v>
      </x:c>
      <x:c r="E1435" s="103" t="str">
        <x:v>Formula-derived from E and Poisson ratio; input records inherit the material-row source</x:v>
      </x:c>
      <x:c r="F1435" s="103" t="str">
        <x:v>Source portal is identified, but edition/revision and property record locator remain unresolved.</x:v>
      </x:c>
    </x:row>
    <x:row r="1436">
      <x:c r="A1436" s="54" t="n">
        <x:v>4102</x:v>
      </x:c>
      <x:c r="B1436" s="54" t="n">
        <x:v>1</x:v>
      </x:c>
      <x:c r="C1436" s="54" t="n">
        <x:v>6</x:v>
      </x:c>
      <x:c r="D1436" s="54" t="n">
        <x:v>1</x:v>
      </x:c>
      <x:c r="E1436" s="103" t="str">
        <x:v>Material-row source portal</x:v>
      </x:c>
      <x:c r="F1436" s="103" t="str">
        <x:v>Source portal is identified, but edition/revision and property record locator remain unresolved.</x:v>
      </x:c>
    </x:row>
    <x:row r="1437">
      <x:c r="A1437" s="54" t="n">
        <x:v>4102</x:v>
      </x:c>
      <x:c r="B1437" s="54" t="n">
        <x:v>2</x:v>
      </x:c>
      <x:c r="C1437" s="54" t="n">
        <x:v>6</x:v>
      </x:c>
      <x:c r="D1437" s="54" t="n">
        <x:v>1</x:v>
      </x:c>
      <x:c r="E1437" s="103" t="str">
        <x:v>Material-row source portal</x:v>
      </x:c>
      <x:c r="F1437" s="103" t="str">
        <x:v>Source portal is identified, but edition/revision and property record locator remain unresolved.</x:v>
      </x:c>
    </x:row>
    <x:row r="1438">
      <x:c r="A1438" s="54" t="n">
        <x:v>4102</x:v>
      </x:c>
      <x:c r="B1438" s="54" t="n">
        <x:v>3</x:v>
      </x:c>
      <x:c r="C1438" s="54" t="n">
        <x:v>6</x:v>
      </x:c>
      <x:c r="D1438" s="54" t="n">
        <x:v>1</x:v>
      </x:c>
      <x:c r="E1438" s="103" t="str">
        <x:v>Formula-derived from E and Poisson ratio; input records inherit the material-row source</x:v>
      </x:c>
      <x:c r="F1438" s="103" t="str">
        <x:v>Source portal is identified, but edition/revision and property record locator remain unresolved.</x:v>
      </x:c>
    </x:row>
    <x:row r="1439">
      <x:c r="A1439" s="54" t="n">
        <x:v>4102</x:v>
      </x:c>
      <x:c r="B1439" s="54" t="n">
        <x:v>4</x:v>
      </x:c>
      <x:c r="C1439" s="54" t="n">
        <x:v>6</x:v>
      </x:c>
      <x:c r="D1439" s="54" t="n">
        <x:v>1</x:v>
      </x:c>
      <x:c r="E1439" s="103" t="str">
        <x:v>Material-row source portal</x:v>
      </x:c>
      <x:c r="F1439" s="103" t="str">
        <x:v>Source portal is identified, but edition/revision and property record locator remain unresolved.</x:v>
      </x:c>
    </x:row>
    <x:row r="1440">
      <x:c r="A1440" s="54" t="n">
        <x:v>4102</x:v>
      </x:c>
      <x:c r="B1440" s="54" t="n">
        <x:v>6</x:v>
      </x:c>
      <x:c r="C1440" s="54" t="n">
        <x:v>6</x:v>
      </x:c>
      <x:c r="D1440" s="54" t="n">
        <x:v>1</x:v>
      </x:c>
      <x:c r="E1440" s="103" t="str">
        <x:v>Material-row source portal</x:v>
      </x:c>
      <x:c r="F1440" s="103" t="str">
        <x:v>Source portal is identified, but edition/revision and property record locator remain unresolved.</x:v>
      </x:c>
    </x:row>
    <x:row r="1441">
      <x:c r="A1441" s="54" t="n">
        <x:v>4102</x:v>
      </x:c>
      <x:c r="B1441" s="54" t="n">
        <x:v>7</x:v>
      </x:c>
      <x:c r="C1441" s="54" t="n">
        <x:v>6</x:v>
      </x:c>
      <x:c r="D1441" s="54" t="n">
        <x:v>1</x:v>
      </x:c>
      <x:c r="E1441" s="103" t="str">
        <x:v>Material-row source portal</x:v>
      </x:c>
      <x:c r="F1441" s="103" t="str">
        <x:v>Source portal is identified, but edition/revision and property record locator remain unresolved.</x:v>
      </x:c>
    </x:row>
    <x:row r="1442">
      <x:c r="A1442" s="54" t="n">
        <x:v>4102</x:v>
      </x:c>
      <x:c r="B1442" s="54" t="n">
        <x:v>8</x:v>
      </x:c>
      <x:c r="C1442" s="54" t="n">
        <x:v>6</x:v>
      </x:c>
      <x:c r="D1442" s="54" t="n">
        <x:v>1</x:v>
      </x:c>
      <x:c r="E1442" s="103" t="str">
        <x:v>Material-row source portal</x:v>
      </x:c>
      <x:c r="F1442" s="103" t="str">
        <x:v>Source portal is identified, but edition/revision and property record locator remain unresolved.</x:v>
      </x:c>
    </x:row>
    <x:row r="1443">
      <x:c r="A1443" s="54" t="n">
        <x:v>4102</x:v>
      </x:c>
      <x:c r="B1443" s="54" t="n">
        <x:v>9</x:v>
      </x:c>
      <x:c r="C1443" s="54" t="n">
        <x:v>6</x:v>
      </x:c>
      <x:c r="D1443" s="54" t="n">
        <x:v>1</x:v>
      </x:c>
      <x:c r="E1443" s="103" t="str">
        <x:v>Material-row source portal</x:v>
      </x:c>
      <x:c r="F1443" s="103" t="str">
        <x:v>Source portal is identified, but edition/revision and property record locator remain unresolved.</x:v>
      </x:c>
    </x:row>
    <x:row r="1444">
      <x:c r="A1444" s="54" t="n">
        <x:v>4102</x:v>
      </x:c>
      <x:c r="B1444" s="54" t="n">
        <x:v>10</x:v>
      </x:c>
      <x:c r="C1444" s="54" t="n">
        <x:v>6</x:v>
      </x:c>
      <x:c r="D1444" s="54" t="n">
        <x:v>1</x:v>
      </x:c>
      <x:c r="E1444" s="103" t="str">
        <x:v>Material-row source portal</x:v>
      </x:c>
      <x:c r="F1444" s="103" t="str">
        <x:v>Source portal is identified, but edition/revision and property record locator remain unresolved.</x:v>
      </x:c>
    </x:row>
    <x:row r="1445">
      <x:c r="A1445" s="54" t="n">
        <x:v>4102</x:v>
      </x:c>
      <x:c r="B1445" s="54" t="n">
        <x:v>11</x:v>
      </x:c>
      <x:c r="C1445" s="54" t="n">
        <x:v>6</x:v>
      </x:c>
      <x:c r="D1445" s="54" t="n">
        <x:v>1</x:v>
      </x:c>
      <x:c r="E1445" s="103" t="str">
        <x:v>Material-row source portal</x:v>
      </x:c>
      <x:c r="F1445" s="103" t="str">
        <x:v>Source portal is identified, but edition/revision and property record locator remain unresolved.</x:v>
      </x:c>
    </x:row>
    <x:row r="1446">
      <x:c r="A1446" s="54" t="n">
        <x:v>4102</x:v>
      </x:c>
      <x:c r="B1446" s="54" t="n">
        <x:v>12</x:v>
      </x:c>
      <x:c r="C1446" s="54" t="n">
        <x:v>6</x:v>
      </x:c>
      <x:c r="D1446" s="54" t="n">
        <x:v>1</x:v>
      </x:c>
      <x:c r="E1446" s="103" t="str">
        <x:v>Material-row source portal</x:v>
      </x:c>
      <x:c r="F1446" s="103" t="str">
        <x:v>Source portal is identified, but edition/revision and property record locator remain unresolved.</x:v>
      </x:c>
    </x:row>
    <x:row r="1447">
      <x:c r="A1447" s="54" t="n">
        <x:v>4102</x:v>
      </x:c>
      <x:c r="B1447" s="54" t="n">
        <x:v>13</x:v>
      </x:c>
      <x:c r="C1447" s="54" t="n">
        <x:v>6</x:v>
      </x:c>
      <x:c r="D1447" s="54" t="n">
        <x:v>1</x:v>
      </x:c>
      <x:c r="E1447" s="103" t="str">
        <x:v>Material-row source portal</x:v>
      </x:c>
      <x:c r="F1447" s="103" t="str">
        <x:v>Source portal is identified, but edition/revision and property record locator remain unresolved.</x:v>
      </x:c>
    </x:row>
    <x:row r="1448">
      <x:c r="A1448" s="54" t="n">
        <x:v>4102</x:v>
      </x:c>
      <x:c r="B1448" s="54" t="n">
        <x:v>14</x:v>
      </x:c>
      <x:c r="C1448" s="54" t="n">
        <x:v>6</x:v>
      </x:c>
      <x:c r="D1448" s="54" t="n">
        <x:v>1</x:v>
      </x:c>
      <x:c r="E1448" s="103" t="str">
        <x:v>Material-row source portal</x:v>
      </x:c>
      <x:c r="F1448" s="103" t="str">
        <x:v>Source portal is identified, but edition/revision and property record locator remain unresolved.</x:v>
      </x:c>
    </x:row>
    <x:row r="1449">
      <x:c r="A1449" s="54" t="n">
        <x:v>4102</x:v>
      </x:c>
      <x:c r="B1449" s="54" t="n">
        <x:v>15</x:v>
      </x:c>
      <x:c r="C1449" s="54" t="n">
        <x:v>6</x:v>
      </x:c>
      <x:c r="D1449" s="54" t="n">
        <x:v>1</x:v>
      </x:c>
      <x:c r="E1449" s="103" t="str">
        <x:v>Material-row source portal</x:v>
      </x:c>
      <x:c r="F1449" s="103" t="str">
        <x:v>Source portal is identified, but edition/revision and property record locator remain unresolved.</x:v>
      </x:c>
    </x:row>
    <x:row r="1450">
      <x:c r="A1450" s="54" t="n">
        <x:v>4102</x:v>
      </x:c>
      <x:c r="B1450" s="54" t="n">
        <x:v>16</x:v>
      </x:c>
      <x:c r="C1450" s="54" t="n">
        <x:v>6</x:v>
      </x:c>
      <x:c r="D1450" s="54" t="n">
        <x:v>1</x:v>
      </x:c>
      <x:c r="E1450" s="103" t="str">
        <x:v>Material-row source portal</x:v>
      </x:c>
      <x:c r="F1450" s="103" t="str">
        <x:v>Source portal is identified, but edition/revision and property record locator remain unresolved.</x:v>
      </x:c>
    </x:row>
    <x:row r="1451">
      <x:c r="A1451" s="54" t="n">
        <x:v>4102</x:v>
      </x:c>
      <x:c r="B1451" s="54" t="n">
        <x:v>17</x:v>
      </x:c>
      <x:c r="C1451" s="54" t="n">
        <x:v>6</x:v>
      </x:c>
      <x:c r="D1451" s="54" t="n">
        <x:v>1</x:v>
      </x:c>
      <x:c r="E1451" s="103" t="str">
        <x:v>Material-row source portal</x:v>
      </x:c>
      <x:c r="F1451" s="103" t="str">
        <x:v>Source portal is identified, but edition/revision and property record locator remain unresolved.</x:v>
      </x:c>
    </x:row>
    <x:row r="1452">
      <x:c r="A1452" s="54" t="n">
        <x:v>4102</x:v>
      </x:c>
      <x:c r="B1452" s="54" t="n">
        <x:v>18</x:v>
      </x:c>
      <x:c r="C1452" s="54" t="n">
        <x:v>6</x:v>
      </x:c>
      <x:c r="D1452" s="54" t="n">
        <x:v>1</x:v>
      </x:c>
      <x:c r="E1452" s="103" t="str">
        <x:v>Formula-derived from E and Poisson ratio; input records inherit the material-row source</x:v>
      </x:c>
      <x:c r="F1452" s="103" t="str">
        <x:v>Source portal is identified, but edition/revision and property record locator remain unresolved.</x:v>
      </x:c>
    </x:row>
    <x:row r="1453">
      <x:c r="A1453" s="54" t="n">
        <x:v>4103</x:v>
      </x:c>
      <x:c r="B1453" s="54" t="n">
        <x:v>1</x:v>
      </x:c>
      <x:c r="C1453" s="54" t="n">
        <x:v>6</x:v>
      </x:c>
      <x:c r="D1453" s="54" t="n">
        <x:v>1</x:v>
      </x:c>
      <x:c r="E1453" s="103" t="str">
        <x:v>Material-row source portal</x:v>
      </x:c>
      <x:c r="F1453" s="103" t="str">
        <x:v>Source portal is identified, but edition/revision and property record locator remain unresolved.</x:v>
      </x:c>
    </x:row>
    <x:row r="1454">
      <x:c r="A1454" s="54" t="n">
        <x:v>4103</x:v>
      </x:c>
      <x:c r="B1454" s="54" t="n">
        <x:v>2</x:v>
      </x:c>
      <x:c r="C1454" s="54" t="n">
        <x:v>6</x:v>
      </x:c>
      <x:c r="D1454" s="54" t="n">
        <x:v>1</x:v>
      </x:c>
      <x:c r="E1454" s="103" t="str">
        <x:v>Material-row source portal</x:v>
      </x:c>
      <x:c r="F1454" s="103" t="str">
        <x:v>Source portal is identified, but edition/revision and property record locator remain unresolved.</x:v>
      </x:c>
    </x:row>
    <x:row r="1455">
      <x:c r="A1455" s="54" t="n">
        <x:v>4103</x:v>
      </x:c>
      <x:c r="B1455" s="54" t="n">
        <x:v>3</x:v>
      </x:c>
      <x:c r="C1455" s="54" t="n">
        <x:v>6</x:v>
      </x:c>
      <x:c r="D1455" s="54" t="n">
        <x:v>1</x:v>
      </x:c>
      <x:c r="E1455" s="103" t="str">
        <x:v>Formula-derived from E and Poisson ratio; input records inherit the material-row source</x:v>
      </x:c>
      <x:c r="F1455" s="103" t="str">
        <x:v>Source portal is identified, but edition/revision and property record locator remain unresolved.</x:v>
      </x:c>
    </x:row>
    <x:row r="1456">
      <x:c r="A1456" s="54" t="n">
        <x:v>4103</x:v>
      </x:c>
      <x:c r="B1456" s="54" t="n">
        <x:v>4</x:v>
      </x:c>
      <x:c r="C1456" s="54" t="n">
        <x:v>6</x:v>
      </x:c>
      <x:c r="D1456" s="54" t="n">
        <x:v>1</x:v>
      </x:c>
      <x:c r="E1456" s="103" t="str">
        <x:v>Material-row source portal</x:v>
      </x:c>
      <x:c r="F1456" s="103" t="str">
        <x:v>Source portal is identified, but edition/revision and property record locator remain unresolved.</x:v>
      </x:c>
    </x:row>
    <x:row r="1457">
      <x:c r="A1457" s="54" t="n">
        <x:v>4103</x:v>
      </x:c>
      <x:c r="B1457" s="54" t="n">
        <x:v>6</x:v>
      </x:c>
      <x:c r="C1457" s="54" t="n">
        <x:v>6</x:v>
      </x:c>
      <x:c r="D1457" s="54" t="n">
        <x:v>1</x:v>
      </x:c>
      <x:c r="E1457" s="103" t="str">
        <x:v>Material-row source portal</x:v>
      </x:c>
      <x:c r="F1457" s="103" t="str">
        <x:v>Source portal is identified, but edition/revision and property record locator remain unresolved.</x:v>
      </x:c>
    </x:row>
    <x:row r="1458">
      <x:c r="A1458" s="54" t="n">
        <x:v>4103</x:v>
      </x:c>
      <x:c r="B1458" s="54" t="n">
        <x:v>7</x:v>
      </x:c>
      <x:c r="C1458" s="54" t="n">
        <x:v>6</x:v>
      </x:c>
      <x:c r="D1458" s="54" t="n">
        <x:v>1</x:v>
      </x:c>
      <x:c r="E1458" s="103" t="str">
        <x:v>Material-row source portal</x:v>
      </x:c>
      <x:c r="F1458" s="103" t="str">
        <x:v>Source portal is identified, but edition/revision and property record locator remain unresolved.</x:v>
      </x:c>
    </x:row>
    <x:row r="1459">
      <x:c r="A1459" s="54" t="n">
        <x:v>4103</x:v>
      </x:c>
      <x:c r="B1459" s="54" t="n">
        <x:v>8</x:v>
      </x:c>
      <x:c r="C1459" s="54" t="n">
        <x:v>6</x:v>
      </x:c>
      <x:c r="D1459" s="54" t="n">
        <x:v>1</x:v>
      </x:c>
      <x:c r="E1459" s="103" t="str">
        <x:v>Material-row source portal</x:v>
      </x:c>
      <x:c r="F1459" s="103" t="str">
        <x:v>Source portal is identified, but edition/revision and property record locator remain unresolved.</x:v>
      </x:c>
    </x:row>
    <x:row r="1460">
      <x:c r="A1460" s="54" t="n">
        <x:v>4103</x:v>
      </x:c>
      <x:c r="B1460" s="54" t="n">
        <x:v>9</x:v>
      </x:c>
      <x:c r="C1460" s="54" t="n">
        <x:v>6</x:v>
      </x:c>
      <x:c r="D1460" s="54" t="n">
        <x:v>1</x:v>
      </x:c>
      <x:c r="E1460" s="103" t="str">
        <x:v>Material-row source portal</x:v>
      </x:c>
      <x:c r="F1460" s="103" t="str">
        <x:v>Source portal is identified, but edition/revision and property record locator remain unresolved.</x:v>
      </x:c>
    </x:row>
    <x:row r="1461">
      <x:c r="A1461" s="54" t="n">
        <x:v>4103</x:v>
      </x:c>
      <x:c r="B1461" s="54" t="n">
        <x:v>10</x:v>
      </x:c>
      <x:c r="C1461" s="54" t="n">
        <x:v>6</x:v>
      </x:c>
      <x:c r="D1461" s="54" t="n">
        <x:v>1</x:v>
      </x:c>
      <x:c r="E1461" s="103" t="str">
        <x:v>Material-row source portal</x:v>
      </x:c>
      <x:c r="F1461" s="103" t="str">
        <x:v>Source portal is identified, but edition/revision and property record locator remain unresolved.</x:v>
      </x:c>
    </x:row>
    <x:row r="1462">
      <x:c r="A1462" s="54" t="n">
        <x:v>4103</x:v>
      </x:c>
      <x:c r="B1462" s="54" t="n">
        <x:v>11</x:v>
      </x:c>
      <x:c r="C1462" s="54" t="n">
        <x:v>6</x:v>
      </x:c>
      <x:c r="D1462" s="54" t="n">
        <x:v>1</x:v>
      </x:c>
      <x:c r="E1462" s="103" t="str">
        <x:v>Material-row source portal</x:v>
      </x:c>
      <x:c r="F1462" s="103" t="str">
        <x:v>Source portal is identified, but edition/revision and property record locator remain unresolved.</x:v>
      </x:c>
    </x:row>
    <x:row r="1463">
      <x:c r="A1463" s="54" t="n">
        <x:v>4103</x:v>
      </x:c>
      <x:c r="B1463" s="54" t="n">
        <x:v>12</x:v>
      </x:c>
      <x:c r="C1463" s="54" t="n">
        <x:v>6</x:v>
      </x:c>
      <x:c r="D1463" s="54" t="n">
        <x:v>1</x:v>
      </x:c>
      <x:c r="E1463" s="103" t="str">
        <x:v>Material-row source portal</x:v>
      </x:c>
      <x:c r="F1463" s="103" t="str">
        <x:v>Source portal is identified, but edition/revision and property record locator remain unresolved.</x:v>
      </x:c>
    </x:row>
    <x:row r="1464">
      <x:c r="A1464" s="54" t="n">
        <x:v>4103</x:v>
      </x:c>
      <x:c r="B1464" s="54" t="n">
        <x:v>13</x:v>
      </x:c>
      <x:c r="C1464" s="54" t="n">
        <x:v>6</x:v>
      </x:c>
      <x:c r="D1464" s="54" t="n">
        <x:v>1</x:v>
      </x:c>
      <x:c r="E1464" s="103" t="str">
        <x:v>Material-row source portal</x:v>
      </x:c>
      <x:c r="F1464" s="103" t="str">
        <x:v>Source portal is identified, but edition/revision and property record locator remain unresolved.</x:v>
      </x:c>
    </x:row>
    <x:row r="1465">
      <x:c r="A1465" s="54" t="n">
        <x:v>4103</x:v>
      </x:c>
      <x:c r="B1465" s="54" t="n">
        <x:v>14</x:v>
      </x:c>
      <x:c r="C1465" s="54" t="n">
        <x:v>6</x:v>
      </x:c>
      <x:c r="D1465" s="54" t="n">
        <x:v>1</x:v>
      </x:c>
      <x:c r="E1465" s="103" t="str">
        <x:v>Material-row source portal</x:v>
      </x:c>
      <x:c r="F1465" s="103" t="str">
        <x:v>Source portal is identified, but edition/revision and property record locator remain unresolved.</x:v>
      </x:c>
    </x:row>
    <x:row r="1466">
      <x:c r="A1466" s="54" t="n">
        <x:v>4103</x:v>
      </x:c>
      <x:c r="B1466" s="54" t="n">
        <x:v>15</x:v>
      </x:c>
      <x:c r="C1466" s="54" t="n">
        <x:v>6</x:v>
      </x:c>
      <x:c r="D1466" s="54" t="n">
        <x:v>1</x:v>
      </x:c>
      <x:c r="E1466" s="103" t="str">
        <x:v>Material-row source portal</x:v>
      </x:c>
      <x:c r="F1466" s="103" t="str">
        <x:v>Source portal is identified, but edition/revision and property record locator remain unresolved.</x:v>
      </x:c>
    </x:row>
    <x:row r="1467">
      <x:c r="A1467" s="54" t="n">
        <x:v>4103</x:v>
      </x:c>
      <x:c r="B1467" s="54" t="n">
        <x:v>16</x:v>
      </x:c>
      <x:c r="C1467" s="54" t="n">
        <x:v>6</x:v>
      </x:c>
      <x:c r="D1467" s="54" t="n">
        <x:v>1</x:v>
      </x:c>
      <x:c r="E1467" s="103" t="str">
        <x:v>Material-row source portal</x:v>
      </x:c>
      <x:c r="F1467" s="103" t="str">
        <x:v>Source portal is identified, but edition/revision and property record locator remain unresolved.</x:v>
      </x:c>
    </x:row>
    <x:row r="1468">
      <x:c r="A1468" s="54" t="n">
        <x:v>4103</x:v>
      </x:c>
      <x:c r="B1468" s="54" t="n">
        <x:v>17</x:v>
      </x:c>
      <x:c r="C1468" s="54" t="n">
        <x:v>6</x:v>
      </x:c>
      <x:c r="D1468" s="54" t="n">
        <x:v>1</x:v>
      </x:c>
      <x:c r="E1468" s="103" t="str">
        <x:v>Material-row source portal</x:v>
      </x:c>
      <x:c r="F1468" s="103" t="str">
        <x:v>Source portal is identified, but edition/revision and property record locator remain unresolved.</x:v>
      </x:c>
    </x:row>
    <x:row r="1469">
      <x:c r="A1469" s="54" t="n">
        <x:v>4103</x:v>
      </x:c>
      <x:c r="B1469" s="54" t="n">
        <x:v>18</x:v>
      </x:c>
      <x:c r="C1469" s="54" t="n">
        <x:v>6</x:v>
      </x:c>
      <x:c r="D1469" s="54" t="n">
        <x:v>1</x:v>
      </x:c>
      <x:c r="E1469" s="103" t="str">
        <x:v>Formula-derived from E and Poisson ratio; input records inherit the material-row source</x:v>
      </x:c>
      <x:c r="F1469" s="103" t="str">
        <x:v>Source portal is identified, but edition/revision and property record locator remain unresolved.</x:v>
      </x:c>
    </x:row>
    <x:row r="1470">
      <x:c r="A1470" s="54" t="n">
        <x:v>4104</x:v>
      </x:c>
      <x:c r="B1470" s="54" t="n">
        <x:v>1</x:v>
      </x:c>
      <x:c r="C1470" s="54" t="n">
        <x:v>6</x:v>
      </x:c>
      <x:c r="D1470" s="54" t="n">
        <x:v>1</x:v>
      </x:c>
      <x:c r="E1470" s="103" t="str">
        <x:v>Material-row source portal</x:v>
      </x:c>
      <x:c r="F1470" s="103" t="str">
        <x:v>Source portal is identified, but edition/revision and property record locator remain unresolved.</x:v>
      </x:c>
    </x:row>
    <x:row r="1471">
      <x:c r="A1471" s="54" t="n">
        <x:v>4104</x:v>
      </x:c>
      <x:c r="B1471" s="54" t="n">
        <x:v>2</x:v>
      </x:c>
      <x:c r="C1471" s="54" t="n">
        <x:v>6</x:v>
      </x:c>
      <x:c r="D1471" s="54" t="n">
        <x:v>1</x:v>
      </x:c>
      <x:c r="E1471" s="103" t="str">
        <x:v>Material-row source portal</x:v>
      </x:c>
      <x:c r="F1471" s="103" t="str">
        <x:v>Source portal is identified, but edition/revision and property record locator remain unresolved.</x:v>
      </x:c>
    </x:row>
    <x:row r="1472">
      <x:c r="A1472" s="54" t="n">
        <x:v>4104</x:v>
      </x:c>
      <x:c r="B1472" s="54" t="n">
        <x:v>3</x:v>
      </x:c>
      <x:c r="C1472" s="54" t="n">
        <x:v>6</x:v>
      </x:c>
      <x:c r="D1472" s="54" t="n">
        <x:v>1</x:v>
      </x:c>
      <x:c r="E1472" s="103" t="str">
        <x:v>Formula-derived from E and Poisson ratio; input records inherit the material-row source</x:v>
      </x:c>
      <x:c r="F1472" s="103" t="str">
        <x:v>Source portal is identified, but edition/revision and property record locator remain unresolved.</x:v>
      </x:c>
    </x:row>
    <x:row r="1473">
      <x:c r="A1473" s="54" t="n">
        <x:v>4104</x:v>
      </x:c>
      <x:c r="B1473" s="54" t="n">
        <x:v>4</x:v>
      </x:c>
      <x:c r="C1473" s="54" t="n">
        <x:v>6</x:v>
      </x:c>
      <x:c r="D1473" s="54" t="n">
        <x:v>1</x:v>
      </x:c>
      <x:c r="E1473" s="103" t="str">
        <x:v>Material-row source portal</x:v>
      </x:c>
      <x:c r="F1473" s="103" t="str">
        <x:v>Source portal is identified, but edition/revision and property record locator remain unresolved.</x:v>
      </x:c>
    </x:row>
    <x:row r="1474">
      <x:c r="A1474" s="54" t="n">
        <x:v>4104</x:v>
      </x:c>
      <x:c r="B1474" s="54" t="n">
        <x:v>6</x:v>
      </x:c>
      <x:c r="C1474" s="54" t="n">
        <x:v>6</x:v>
      </x:c>
      <x:c r="D1474" s="54" t="n">
        <x:v>1</x:v>
      </x:c>
      <x:c r="E1474" s="103" t="str">
        <x:v>Material-row source portal</x:v>
      </x:c>
      <x:c r="F1474" s="103" t="str">
        <x:v>Source portal is identified, but edition/revision and property record locator remain unresolved.</x:v>
      </x:c>
    </x:row>
    <x:row r="1475">
      <x:c r="A1475" s="54" t="n">
        <x:v>4104</x:v>
      </x:c>
      <x:c r="B1475" s="54" t="n">
        <x:v>7</x:v>
      </x:c>
      <x:c r="C1475" s="54" t="n">
        <x:v>6</x:v>
      </x:c>
      <x:c r="D1475" s="54" t="n">
        <x:v>1</x:v>
      </x:c>
      <x:c r="E1475" s="103" t="str">
        <x:v>Material-row source portal</x:v>
      </x:c>
      <x:c r="F1475" s="103" t="str">
        <x:v>Source portal is identified, but edition/revision and property record locator remain unresolved.</x:v>
      </x:c>
    </x:row>
    <x:row r="1476">
      <x:c r="A1476" s="54" t="n">
        <x:v>4104</x:v>
      </x:c>
      <x:c r="B1476" s="54" t="n">
        <x:v>8</x:v>
      </x:c>
      <x:c r="C1476" s="54" t="n">
        <x:v>6</x:v>
      </x:c>
      <x:c r="D1476" s="54" t="n">
        <x:v>1</x:v>
      </x:c>
      <x:c r="E1476" s="103" t="str">
        <x:v>Material-row source portal</x:v>
      </x:c>
      <x:c r="F1476" s="103" t="str">
        <x:v>Source portal is identified, but edition/revision and property record locator remain unresolved.</x:v>
      </x:c>
    </x:row>
    <x:row r="1477">
      <x:c r="A1477" s="54" t="n">
        <x:v>4104</x:v>
      </x:c>
      <x:c r="B1477" s="54" t="n">
        <x:v>9</x:v>
      </x:c>
      <x:c r="C1477" s="54" t="n">
        <x:v>6</x:v>
      </x:c>
      <x:c r="D1477" s="54" t="n">
        <x:v>1</x:v>
      </x:c>
      <x:c r="E1477" s="103" t="str">
        <x:v>Material-row source portal</x:v>
      </x:c>
      <x:c r="F1477" s="103" t="str">
        <x:v>Source portal is identified, but edition/revision and property record locator remain unresolved.</x:v>
      </x:c>
    </x:row>
    <x:row r="1478">
      <x:c r="A1478" s="54" t="n">
        <x:v>4104</x:v>
      </x:c>
      <x:c r="B1478" s="54" t="n">
        <x:v>10</x:v>
      </x:c>
      <x:c r="C1478" s="54" t="n">
        <x:v>6</x:v>
      </x:c>
      <x:c r="D1478" s="54" t="n">
        <x:v>1</x:v>
      </x:c>
      <x:c r="E1478" s="103" t="str">
        <x:v>Material-row source portal</x:v>
      </x:c>
      <x:c r="F1478" s="103" t="str">
        <x:v>Source portal is identified, but edition/revision and property record locator remain unresolved.</x:v>
      </x:c>
    </x:row>
    <x:row r="1479">
      <x:c r="A1479" s="54" t="n">
        <x:v>4104</x:v>
      </x:c>
      <x:c r="B1479" s="54" t="n">
        <x:v>11</x:v>
      </x:c>
      <x:c r="C1479" s="54" t="n">
        <x:v>6</x:v>
      </x:c>
      <x:c r="D1479" s="54" t="n">
        <x:v>1</x:v>
      </x:c>
      <x:c r="E1479" s="103" t="str">
        <x:v>Material-row source portal</x:v>
      </x:c>
      <x:c r="F1479" s="103" t="str">
        <x:v>Source portal is identified, but edition/revision and property record locator remain unresolved.</x:v>
      </x:c>
    </x:row>
    <x:row r="1480">
      <x:c r="A1480" s="54" t="n">
        <x:v>4104</x:v>
      </x:c>
      <x:c r="B1480" s="54" t="n">
        <x:v>12</x:v>
      </x:c>
      <x:c r="C1480" s="54" t="n">
        <x:v>6</x:v>
      </x:c>
      <x:c r="D1480" s="54" t="n">
        <x:v>1</x:v>
      </x:c>
      <x:c r="E1480" s="103" t="str">
        <x:v>Material-row source portal</x:v>
      </x:c>
      <x:c r="F1480" s="103" t="str">
        <x:v>Source portal is identified, but edition/revision and property record locator remain unresolved.</x:v>
      </x:c>
    </x:row>
    <x:row r="1481">
      <x:c r="A1481" s="54" t="n">
        <x:v>4104</x:v>
      </x:c>
      <x:c r="B1481" s="54" t="n">
        <x:v>13</x:v>
      </x:c>
      <x:c r="C1481" s="54" t="n">
        <x:v>6</x:v>
      </x:c>
      <x:c r="D1481" s="54" t="n">
        <x:v>1</x:v>
      </x:c>
      <x:c r="E1481" s="103" t="str">
        <x:v>Material-row source portal</x:v>
      </x:c>
      <x:c r="F1481" s="103" t="str">
        <x:v>Source portal is identified, but edition/revision and property record locator remain unresolved.</x:v>
      </x:c>
    </x:row>
    <x:row r="1482">
      <x:c r="A1482" s="54" t="n">
        <x:v>4104</x:v>
      </x:c>
      <x:c r="B1482" s="54" t="n">
        <x:v>14</x:v>
      </x:c>
      <x:c r="C1482" s="54" t="n">
        <x:v>6</x:v>
      </x:c>
      <x:c r="D1482" s="54" t="n">
        <x:v>1</x:v>
      </x:c>
      <x:c r="E1482" s="103" t="str">
        <x:v>Material-row source portal</x:v>
      </x:c>
      <x:c r="F1482" s="103" t="str">
        <x:v>Source portal is identified, but edition/revision and property record locator remain unresolved.</x:v>
      </x:c>
    </x:row>
    <x:row r="1483">
      <x:c r="A1483" s="54" t="n">
        <x:v>4104</x:v>
      </x:c>
      <x:c r="B1483" s="54" t="n">
        <x:v>15</x:v>
      </x:c>
      <x:c r="C1483" s="54" t="n">
        <x:v>6</x:v>
      </x:c>
      <x:c r="D1483" s="54" t="n">
        <x:v>1</x:v>
      </x:c>
      <x:c r="E1483" s="103" t="str">
        <x:v>Material-row source portal</x:v>
      </x:c>
      <x:c r="F1483" s="103" t="str">
        <x:v>Source portal is identified, but edition/revision and property record locator remain unresolved.</x:v>
      </x:c>
    </x:row>
    <x:row r="1484">
      <x:c r="A1484" s="54" t="n">
        <x:v>4104</x:v>
      </x:c>
      <x:c r="B1484" s="54" t="n">
        <x:v>16</x:v>
      </x:c>
      <x:c r="C1484" s="54" t="n">
        <x:v>6</x:v>
      </x:c>
      <x:c r="D1484" s="54" t="n">
        <x:v>1</x:v>
      </x:c>
      <x:c r="E1484" s="103" t="str">
        <x:v>Material-row source portal</x:v>
      </x:c>
      <x:c r="F1484" s="103" t="str">
        <x:v>Source portal is identified, but edition/revision and property record locator remain unresolved.</x:v>
      </x:c>
    </x:row>
    <x:row r="1485">
      <x:c r="A1485" s="54" t="n">
        <x:v>4104</x:v>
      </x:c>
      <x:c r="B1485" s="54" t="n">
        <x:v>17</x:v>
      </x:c>
      <x:c r="C1485" s="54" t="n">
        <x:v>6</x:v>
      </x:c>
      <x:c r="D1485" s="54" t="n">
        <x:v>1</x:v>
      </x:c>
      <x:c r="E1485" s="103" t="str">
        <x:v>Material-row source portal</x:v>
      </x:c>
      <x:c r="F1485" s="103" t="str">
        <x:v>Source portal is identified, but edition/revision and property record locator remain unresolved.</x:v>
      </x:c>
    </x:row>
    <x:row r="1486">
      <x:c r="A1486" s="54" t="n">
        <x:v>4104</x:v>
      </x:c>
      <x:c r="B1486" s="54" t="n">
        <x:v>18</x:v>
      </x:c>
      <x:c r="C1486" s="54" t="n">
        <x:v>6</x:v>
      </x:c>
      <x:c r="D1486" s="54" t="n">
        <x:v>1</x:v>
      </x:c>
      <x:c r="E1486" s="103" t="str">
        <x:v>Formula-derived from E and Poisson ratio; input records inherit the material-row source</x:v>
      </x:c>
      <x:c r="F1486" s="103" t="str">
        <x:v>Source portal is identified, but edition/revision and property record locator remain unresolved.</x:v>
      </x:c>
    </x:row>
    <x:row r="1487">
      <x:c r="A1487" s="54" t="n">
        <x:v>4105</x:v>
      </x:c>
      <x:c r="B1487" s="54" t="n">
        <x:v>1</x:v>
      </x:c>
      <x:c r="C1487" s="54" t="n">
        <x:v>6</x:v>
      </x:c>
      <x:c r="D1487" s="54" t="n">
        <x:v>1</x:v>
      </x:c>
      <x:c r="E1487" s="103" t="str">
        <x:v>Material-row source portal</x:v>
      </x:c>
      <x:c r="F1487" s="103" t="str">
        <x:v>Source portal is identified, but edition/revision and property record locator remain unresolved.</x:v>
      </x:c>
    </x:row>
    <x:row r="1488">
      <x:c r="A1488" s="54" t="n">
        <x:v>4105</x:v>
      </x:c>
      <x:c r="B1488" s="54" t="n">
        <x:v>2</x:v>
      </x:c>
      <x:c r="C1488" s="54" t="n">
        <x:v>6</x:v>
      </x:c>
      <x:c r="D1488" s="54" t="n">
        <x:v>1</x:v>
      </x:c>
      <x:c r="E1488" s="103" t="str">
        <x:v>Material-row source portal</x:v>
      </x:c>
      <x:c r="F1488" s="103" t="str">
        <x:v>Source portal is identified, but edition/revision and property record locator remain unresolved.</x:v>
      </x:c>
    </x:row>
    <x:row r="1489">
      <x:c r="A1489" s="54" t="n">
        <x:v>4105</x:v>
      </x:c>
      <x:c r="B1489" s="54" t="n">
        <x:v>3</x:v>
      </x:c>
      <x:c r="C1489" s="54" t="n">
        <x:v>6</x:v>
      </x:c>
      <x:c r="D1489" s="54" t="n">
        <x:v>1</x:v>
      </x:c>
      <x:c r="E1489" s="103" t="str">
        <x:v>Formula-derived from E and Poisson ratio; input records inherit the material-row source</x:v>
      </x:c>
      <x:c r="F1489" s="103" t="str">
        <x:v>Source portal is identified, but edition/revision and property record locator remain unresolved.</x:v>
      </x:c>
    </x:row>
    <x:row r="1490">
      <x:c r="A1490" s="54" t="n">
        <x:v>4105</x:v>
      </x:c>
      <x:c r="B1490" s="54" t="n">
        <x:v>4</x:v>
      </x:c>
      <x:c r="C1490" s="54" t="n">
        <x:v>6</x:v>
      </x:c>
      <x:c r="D1490" s="54" t="n">
        <x:v>1</x:v>
      </x:c>
      <x:c r="E1490" s="103" t="str">
        <x:v>Material-row source portal</x:v>
      </x:c>
      <x:c r="F1490" s="103" t="str">
        <x:v>Source portal is identified, but edition/revision and property record locator remain unresolved.</x:v>
      </x:c>
    </x:row>
    <x:row r="1491">
      <x:c r="A1491" s="54" t="n">
        <x:v>4105</x:v>
      </x:c>
      <x:c r="B1491" s="54" t="n">
        <x:v>6</x:v>
      </x:c>
      <x:c r="C1491" s="54" t="n">
        <x:v>6</x:v>
      </x:c>
      <x:c r="D1491" s="54" t="n">
        <x:v>1</x:v>
      </x:c>
      <x:c r="E1491" s="103" t="str">
        <x:v>Material-row source portal</x:v>
      </x:c>
      <x:c r="F1491" s="103" t="str">
        <x:v>Source portal is identified, but edition/revision and property record locator remain unresolved.</x:v>
      </x:c>
    </x:row>
    <x:row r="1492">
      <x:c r="A1492" s="54" t="n">
        <x:v>4105</x:v>
      </x:c>
      <x:c r="B1492" s="54" t="n">
        <x:v>7</x:v>
      </x:c>
      <x:c r="C1492" s="54" t="n">
        <x:v>6</x:v>
      </x:c>
      <x:c r="D1492" s="54" t="n">
        <x:v>1</x:v>
      </x:c>
      <x:c r="E1492" s="103" t="str">
        <x:v>Material-row source portal</x:v>
      </x:c>
      <x:c r="F1492" s="103" t="str">
        <x:v>Source portal is identified, but edition/revision and property record locator remain unresolved.</x:v>
      </x:c>
    </x:row>
    <x:row r="1493">
      <x:c r="A1493" s="54" t="n">
        <x:v>4105</x:v>
      </x:c>
      <x:c r="B1493" s="54" t="n">
        <x:v>8</x:v>
      </x:c>
      <x:c r="C1493" s="54" t="n">
        <x:v>6</x:v>
      </x:c>
      <x:c r="D1493" s="54" t="n">
        <x:v>1</x:v>
      </x:c>
      <x:c r="E1493" s="103" t="str">
        <x:v>Material-row source portal</x:v>
      </x:c>
      <x:c r="F1493" s="103" t="str">
        <x:v>Source portal is identified, but edition/revision and property record locator remain unresolved.</x:v>
      </x:c>
    </x:row>
    <x:row r="1494">
      <x:c r="A1494" s="54" t="n">
        <x:v>4105</x:v>
      </x:c>
      <x:c r="B1494" s="54" t="n">
        <x:v>9</x:v>
      </x:c>
      <x:c r="C1494" s="54" t="n">
        <x:v>6</x:v>
      </x:c>
      <x:c r="D1494" s="54" t="n">
        <x:v>1</x:v>
      </x:c>
      <x:c r="E1494" s="103" t="str">
        <x:v>Material-row source portal</x:v>
      </x:c>
      <x:c r="F1494" s="103" t="str">
        <x:v>Source portal is identified, but edition/revision and property record locator remain unresolved.</x:v>
      </x:c>
    </x:row>
    <x:row r="1495">
      <x:c r="A1495" s="54" t="n">
        <x:v>4105</x:v>
      </x:c>
      <x:c r="B1495" s="54" t="n">
        <x:v>10</x:v>
      </x:c>
      <x:c r="C1495" s="54" t="n">
        <x:v>6</x:v>
      </x:c>
      <x:c r="D1495" s="54" t="n">
        <x:v>1</x:v>
      </x:c>
      <x:c r="E1495" s="103" t="str">
        <x:v>Material-row source portal</x:v>
      </x:c>
      <x:c r="F1495" s="103" t="str">
        <x:v>Source portal is identified, but edition/revision and property record locator remain unresolved.</x:v>
      </x:c>
    </x:row>
    <x:row r="1496">
      <x:c r="A1496" s="54" t="n">
        <x:v>4105</x:v>
      </x:c>
      <x:c r="B1496" s="54" t="n">
        <x:v>11</x:v>
      </x:c>
      <x:c r="C1496" s="54" t="n">
        <x:v>6</x:v>
      </x:c>
      <x:c r="D1496" s="54" t="n">
        <x:v>1</x:v>
      </x:c>
      <x:c r="E1496" s="103" t="str">
        <x:v>Material-row source portal</x:v>
      </x:c>
      <x:c r="F1496" s="103" t="str">
        <x:v>Source portal is identified, but edition/revision and property record locator remain unresolved.</x:v>
      </x:c>
    </x:row>
    <x:row r="1497">
      <x:c r="A1497" s="54" t="n">
        <x:v>4105</x:v>
      </x:c>
      <x:c r="B1497" s="54" t="n">
        <x:v>12</x:v>
      </x:c>
      <x:c r="C1497" s="54" t="n">
        <x:v>6</x:v>
      </x:c>
      <x:c r="D1497" s="54" t="n">
        <x:v>1</x:v>
      </x:c>
      <x:c r="E1497" s="103" t="str">
        <x:v>Material-row source portal</x:v>
      </x:c>
      <x:c r="F1497" s="103" t="str">
        <x:v>Source portal is identified, but edition/revision and property record locator remain unresolved.</x:v>
      </x:c>
    </x:row>
    <x:row r="1498">
      <x:c r="A1498" s="54" t="n">
        <x:v>4105</x:v>
      </x:c>
      <x:c r="B1498" s="54" t="n">
        <x:v>13</x:v>
      </x:c>
      <x:c r="C1498" s="54" t="n">
        <x:v>6</x:v>
      </x:c>
      <x:c r="D1498" s="54" t="n">
        <x:v>1</x:v>
      </x:c>
      <x:c r="E1498" s="103" t="str">
        <x:v>Material-row source portal</x:v>
      </x:c>
      <x:c r="F1498" s="103" t="str">
        <x:v>Source portal is identified, but edition/revision and property record locator remain unresolved.</x:v>
      </x:c>
    </x:row>
    <x:row r="1499">
      <x:c r="A1499" s="54" t="n">
        <x:v>4105</x:v>
      </x:c>
      <x:c r="B1499" s="54" t="n">
        <x:v>14</x:v>
      </x:c>
      <x:c r="C1499" s="54" t="n">
        <x:v>6</x:v>
      </x:c>
      <x:c r="D1499" s="54" t="n">
        <x:v>1</x:v>
      </x:c>
      <x:c r="E1499" s="103" t="str">
        <x:v>Material-row source portal</x:v>
      </x:c>
      <x:c r="F1499" s="103" t="str">
        <x:v>Source portal is identified, but edition/revision and property record locator remain unresolved.</x:v>
      </x:c>
    </x:row>
    <x:row r="1500">
      <x:c r="A1500" s="54" t="n">
        <x:v>4105</x:v>
      </x:c>
      <x:c r="B1500" s="54" t="n">
        <x:v>15</x:v>
      </x:c>
      <x:c r="C1500" s="54" t="n">
        <x:v>6</x:v>
      </x:c>
      <x:c r="D1500" s="54" t="n">
        <x:v>1</x:v>
      </x:c>
      <x:c r="E1500" s="103" t="str">
        <x:v>Material-row source portal</x:v>
      </x:c>
      <x:c r="F1500" s="103" t="str">
        <x:v>Source portal is identified, but edition/revision and property record locator remain unresolved.</x:v>
      </x:c>
    </x:row>
    <x:row r="1501">
      <x:c r="A1501" s="54" t="n">
        <x:v>4105</x:v>
      </x:c>
      <x:c r="B1501" s="54" t="n">
        <x:v>16</x:v>
      </x:c>
      <x:c r="C1501" s="54" t="n">
        <x:v>6</x:v>
      </x:c>
      <x:c r="D1501" s="54" t="n">
        <x:v>1</x:v>
      </x:c>
      <x:c r="E1501" s="103" t="str">
        <x:v>Material-row source portal</x:v>
      </x:c>
      <x:c r="F1501" s="103" t="str">
        <x:v>Source portal is identified, but edition/revision and property record locator remain unresolved.</x:v>
      </x:c>
    </x:row>
    <x:row r="1502">
      <x:c r="A1502" s="54" t="n">
        <x:v>4105</x:v>
      </x:c>
      <x:c r="B1502" s="54" t="n">
        <x:v>17</x:v>
      </x:c>
      <x:c r="C1502" s="54" t="n">
        <x:v>6</x:v>
      </x:c>
      <x:c r="D1502" s="54" t="n">
        <x:v>1</x:v>
      </x:c>
      <x:c r="E1502" s="103" t="str">
        <x:v>Material-row source portal</x:v>
      </x:c>
      <x:c r="F1502" s="103" t="str">
        <x:v>Source portal is identified, but edition/revision and property record locator remain unresolved.</x:v>
      </x:c>
    </x:row>
    <x:row r="1503">
      <x:c r="A1503" s="54" t="n">
        <x:v>4105</x:v>
      </x:c>
      <x:c r="B1503" s="54" t="n">
        <x:v>18</x:v>
      </x:c>
      <x:c r="C1503" s="54" t="n">
        <x:v>6</x:v>
      </x:c>
      <x:c r="D1503" s="54" t="n">
        <x:v>1</x:v>
      </x:c>
      <x:c r="E1503" s="103" t="str">
        <x:v>Formula-derived from E and Poisson ratio; input records inherit the material-row source</x:v>
      </x:c>
      <x:c r="F1503" s="103" t="str">
        <x:v>Source portal is identified, but edition/revision and property record locator remain unresolved.</x:v>
      </x:c>
    </x:row>
    <x:row r="1504">
      <x:c r="A1504" s="54" t="n">
        <x:v>4106</x:v>
      </x:c>
      <x:c r="B1504" s="54" t="n">
        <x:v>1</x:v>
      </x:c>
      <x:c r="C1504" s="54" t="n">
        <x:v>6</x:v>
      </x:c>
      <x:c r="D1504" s="54" t="n">
        <x:v>1</x:v>
      </x:c>
      <x:c r="E1504" s="103" t="str">
        <x:v>Material-row source portal</x:v>
      </x:c>
      <x:c r="F1504" s="103" t="str">
        <x:v>Source portal is identified, but edition/revision and property record locator remain unresolved.</x:v>
      </x:c>
    </x:row>
    <x:row r="1505">
      <x:c r="A1505" s="54" t="n">
        <x:v>4106</x:v>
      </x:c>
      <x:c r="B1505" s="54" t="n">
        <x:v>2</x:v>
      </x:c>
      <x:c r="C1505" s="54" t="n">
        <x:v>6</x:v>
      </x:c>
      <x:c r="D1505" s="54" t="n">
        <x:v>1</x:v>
      </x:c>
      <x:c r="E1505" s="103" t="str">
        <x:v>Material-row source portal</x:v>
      </x:c>
      <x:c r="F1505" s="103" t="str">
        <x:v>Source portal is identified, but edition/revision and property record locator remain unresolved.</x:v>
      </x:c>
    </x:row>
    <x:row r="1506">
      <x:c r="A1506" s="54" t="n">
        <x:v>4106</x:v>
      </x:c>
      <x:c r="B1506" s="54" t="n">
        <x:v>3</x:v>
      </x:c>
      <x:c r="C1506" s="54" t="n">
        <x:v>6</x:v>
      </x:c>
      <x:c r="D1506" s="54" t="n">
        <x:v>1</x:v>
      </x:c>
      <x:c r="E1506" s="103" t="str">
        <x:v>Formula-derived from E and Poisson ratio; input records inherit the material-row source</x:v>
      </x:c>
      <x:c r="F1506" s="103" t="str">
        <x:v>Source portal is identified, but edition/revision and property record locator remain unresolved.</x:v>
      </x:c>
    </x:row>
    <x:row r="1507">
      <x:c r="A1507" s="54" t="n">
        <x:v>4106</x:v>
      </x:c>
      <x:c r="B1507" s="54" t="n">
        <x:v>4</x:v>
      </x:c>
      <x:c r="C1507" s="54" t="n">
        <x:v>6</x:v>
      </x:c>
      <x:c r="D1507" s="54" t="n">
        <x:v>1</x:v>
      </x:c>
      <x:c r="E1507" s="103" t="str">
        <x:v>Material-row source portal</x:v>
      </x:c>
      <x:c r="F1507" s="103" t="str">
        <x:v>Source portal is identified, but edition/revision and property record locator remain unresolved.</x:v>
      </x:c>
    </x:row>
    <x:row r="1508">
      <x:c r="A1508" s="54" t="n">
        <x:v>4106</x:v>
      </x:c>
      <x:c r="B1508" s="54" t="n">
        <x:v>6</x:v>
      </x:c>
      <x:c r="C1508" s="54" t="n">
        <x:v>6</x:v>
      </x:c>
      <x:c r="D1508" s="54" t="n">
        <x:v>1</x:v>
      </x:c>
      <x:c r="E1508" s="103" t="str">
        <x:v>Material-row source portal</x:v>
      </x:c>
      <x:c r="F1508" s="103" t="str">
        <x:v>Source portal is identified, but edition/revision and property record locator remain unresolved.</x:v>
      </x:c>
    </x:row>
    <x:row r="1509">
      <x:c r="A1509" s="54" t="n">
        <x:v>4106</x:v>
      </x:c>
      <x:c r="B1509" s="54" t="n">
        <x:v>7</x:v>
      </x:c>
      <x:c r="C1509" s="54" t="n">
        <x:v>6</x:v>
      </x:c>
      <x:c r="D1509" s="54" t="n">
        <x:v>1</x:v>
      </x:c>
      <x:c r="E1509" s="103" t="str">
        <x:v>Material-row source portal</x:v>
      </x:c>
      <x:c r="F1509" s="103" t="str">
        <x:v>Source portal is identified, but edition/revision and property record locator remain unresolved.</x:v>
      </x:c>
    </x:row>
    <x:row r="1510">
      <x:c r="A1510" s="54" t="n">
        <x:v>4106</x:v>
      </x:c>
      <x:c r="B1510" s="54" t="n">
        <x:v>8</x:v>
      </x:c>
      <x:c r="C1510" s="54" t="n">
        <x:v>6</x:v>
      </x:c>
      <x:c r="D1510" s="54" t="n">
        <x:v>1</x:v>
      </x:c>
      <x:c r="E1510" s="103" t="str">
        <x:v>Material-row source portal</x:v>
      </x:c>
      <x:c r="F1510" s="103" t="str">
        <x:v>Source portal is identified, but edition/revision and property record locator remain unresolved.</x:v>
      </x:c>
    </x:row>
    <x:row r="1511">
      <x:c r="A1511" s="54" t="n">
        <x:v>4106</x:v>
      </x:c>
      <x:c r="B1511" s="54" t="n">
        <x:v>9</x:v>
      </x:c>
      <x:c r="C1511" s="54" t="n">
        <x:v>6</x:v>
      </x:c>
      <x:c r="D1511" s="54" t="n">
        <x:v>1</x:v>
      </x:c>
      <x:c r="E1511" s="103" t="str">
        <x:v>Material-row source portal</x:v>
      </x:c>
      <x:c r="F1511" s="103" t="str">
        <x:v>Source portal is identified, but edition/revision and property record locator remain unresolved.</x:v>
      </x:c>
    </x:row>
    <x:row r="1512">
      <x:c r="A1512" s="54" t="n">
        <x:v>4106</x:v>
      </x:c>
      <x:c r="B1512" s="54" t="n">
        <x:v>10</x:v>
      </x:c>
      <x:c r="C1512" s="54" t="n">
        <x:v>6</x:v>
      </x:c>
      <x:c r="D1512" s="54" t="n">
        <x:v>1</x:v>
      </x:c>
      <x:c r="E1512" s="103" t="str">
        <x:v>Material-row source portal</x:v>
      </x:c>
      <x:c r="F1512" s="103" t="str">
        <x:v>Source portal is identified, but edition/revision and property record locator remain unresolved.</x:v>
      </x:c>
    </x:row>
    <x:row r="1513">
      <x:c r="A1513" s="54" t="n">
        <x:v>4106</x:v>
      </x:c>
      <x:c r="B1513" s="54" t="n">
        <x:v>11</x:v>
      </x:c>
      <x:c r="C1513" s="54" t="n">
        <x:v>6</x:v>
      </x:c>
      <x:c r="D1513" s="54" t="n">
        <x:v>1</x:v>
      </x:c>
      <x:c r="E1513" s="103" t="str">
        <x:v>Material-row source portal</x:v>
      </x:c>
      <x:c r="F1513" s="103" t="str">
        <x:v>Source portal is identified, but edition/revision and property record locator remain unresolved.</x:v>
      </x:c>
    </x:row>
    <x:row r="1514">
      <x:c r="A1514" s="54" t="n">
        <x:v>4106</x:v>
      </x:c>
      <x:c r="B1514" s="54" t="n">
        <x:v>12</x:v>
      </x:c>
      <x:c r="C1514" s="54" t="n">
        <x:v>6</x:v>
      </x:c>
      <x:c r="D1514" s="54" t="n">
        <x:v>1</x:v>
      </x:c>
      <x:c r="E1514" s="103" t="str">
        <x:v>Material-row source portal</x:v>
      </x:c>
      <x:c r="F1514" s="103" t="str">
        <x:v>Source portal is identified, but edition/revision and property record locator remain unresolved.</x:v>
      </x:c>
    </x:row>
    <x:row r="1515">
      <x:c r="A1515" s="54" t="n">
        <x:v>4106</x:v>
      </x:c>
      <x:c r="B1515" s="54" t="n">
        <x:v>13</x:v>
      </x:c>
      <x:c r="C1515" s="54" t="n">
        <x:v>6</x:v>
      </x:c>
      <x:c r="D1515" s="54" t="n">
        <x:v>1</x:v>
      </x:c>
      <x:c r="E1515" s="103" t="str">
        <x:v>Material-row source portal</x:v>
      </x:c>
      <x:c r="F1515" s="103" t="str">
        <x:v>Source portal is identified, but edition/revision and property record locator remain unresolved.</x:v>
      </x:c>
    </x:row>
    <x:row r="1516">
      <x:c r="A1516" s="54" t="n">
        <x:v>4106</x:v>
      </x:c>
      <x:c r="B1516" s="54" t="n">
        <x:v>14</x:v>
      </x:c>
      <x:c r="C1516" s="54" t="n">
        <x:v>6</x:v>
      </x:c>
      <x:c r="D1516" s="54" t="n">
        <x:v>1</x:v>
      </x:c>
      <x:c r="E1516" s="103" t="str">
        <x:v>Material-row source portal</x:v>
      </x:c>
      <x:c r="F1516" s="103" t="str">
        <x:v>Source portal is identified, but edition/revision and property record locator remain unresolved.</x:v>
      </x:c>
    </x:row>
    <x:row r="1517">
      <x:c r="A1517" s="54" t="n">
        <x:v>4106</x:v>
      </x:c>
      <x:c r="B1517" s="54" t="n">
        <x:v>15</x:v>
      </x:c>
      <x:c r="C1517" s="54" t="n">
        <x:v>6</x:v>
      </x:c>
      <x:c r="D1517" s="54" t="n">
        <x:v>1</x:v>
      </x:c>
      <x:c r="E1517" s="103" t="str">
        <x:v>Material-row source portal</x:v>
      </x:c>
      <x:c r="F1517" s="103" t="str">
        <x:v>Source portal is identified, but edition/revision and property record locator remain unresolved.</x:v>
      </x:c>
    </x:row>
    <x:row r="1518">
      <x:c r="A1518" s="54" t="n">
        <x:v>4106</x:v>
      </x:c>
      <x:c r="B1518" s="54" t="n">
        <x:v>16</x:v>
      </x:c>
      <x:c r="C1518" s="54" t="n">
        <x:v>6</x:v>
      </x:c>
      <x:c r="D1518" s="54" t="n">
        <x:v>1</x:v>
      </x:c>
      <x:c r="E1518" s="103" t="str">
        <x:v>Material-row source portal</x:v>
      </x:c>
      <x:c r="F1518" s="103" t="str">
        <x:v>Source portal is identified, but edition/revision and property record locator remain unresolved.</x:v>
      </x:c>
    </x:row>
    <x:row r="1519">
      <x:c r="A1519" s="54" t="n">
        <x:v>4106</x:v>
      </x:c>
      <x:c r="B1519" s="54" t="n">
        <x:v>17</x:v>
      </x:c>
      <x:c r="C1519" s="54" t="n">
        <x:v>6</x:v>
      </x:c>
      <x:c r="D1519" s="54" t="n">
        <x:v>1</x:v>
      </x:c>
      <x:c r="E1519" s="103" t="str">
        <x:v>Material-row source portal</x:v>
      </x:c>
      <x:c r="F1519" s="103" t="str">
        <x:v>Source portal is identified, but edition/revision and property record locator remain unresolved.</x:v>
      </x:c>
    </x:row>
    <x:row r="1520">
      <x:c r="A1520" s="54" t="n">
        <x:v>4106</x:v>
      </x:c>
      <x:c r="B1520" s="54" t="n">
        <x:v>18</x:v>
      </x:c>
      <x:c r="C1520" s="54" t="n">
        <x:v>6</x:v>
      </x:c>
      <x:c r="D1520" s="54" t="n">
        <x:v>1</x:v>
      </x:c>
      <x:c r="E1520" s="103" t="str">
        <x:v>Formula-derived from E and Poisson ratio; input records inherit the material-row source</x:v>
      </x:c>
      <x:c r="F1520" s="103" t="str">
        <x:v>Source portal is identified, but edition/revision and property record locator remain unresolved.</x:v>
      </x:c>
    </x:row>
    <x:row r="1521">
      <x:c r="A1521" s="54" t="n">
        <x:v>4107</x:v>
      </x:c>
      <x:c r="B1521" s="54" t="n">
        <x:v>1</x:v>
      </x:c>
      <x:c r="C1521" s="54" t="n">
        <x:v>6</x:v>
      </x:c>
      <x:c r="D1521" s="54" t="n">
        <x:v>1</x:v>
      </x:c>
      <x:c r="E1521" s="103" t="str">
        <x:v>Material-row source portal</x:v>
      </x:c>
      <x:c r="F1521" s="103" t="str">
        <x:v>Source portal is identified, but edition/revision and property record locator remain unresolved.</x:v>
      </x:c>
    </x:row>
    <x:row r="1522">
      <x:c r="A1522" s="54" t="n">
        <x:v>4107</x:v>
      </x:c>
      <x:c r="B1522" s="54" t="n">
        <x:v>2</x:v>
      </x:c>
      <x:c r="C1522" s="54" t="n">
        <x:v>6</x:v>
      </x:c>
      <x:c r="D1522" s="54" t="n">
        <x:v>1</x:v>
      </x:c>
      <x:c r="E1522" s="103" t="str">
        <x:v>Material-row source portal</x:v>
      </x:c>
      <x:c r="F1522" s="103" t="str">
        <x:v>Source portal is identified, but edition/revision and property record locator remain unresolved.</x:v>
      </x:c>
    </x:row>
    <x:row r="1523">
      <x:c r="A1523" s="54" t="n">
        <x:v>4107</x:v>
      </x:c>
      <x:c r="B1523" s="54" t="n">
        <x:v>3</x:v>
      </x:c>
      <x:c r="C1523" s="54" t="n">
        <x:v>6</x:v>
      </x:c>
      <x:c r="D1523" s="54" t="n">
        <x:v>1</x:v>
      </x:c>
      <x:c r="E1523" s="103" t="str">
        <x:v>Formula-derived from E and Poisson ratio; input records inherit the material-row source</x:v>
      </x:c>
      <x:c r="F1523" s="103" t="str">
        <x:v>Source portal is identified, but edition/revision and property record locator remain unresolved.</x:v>
      </x:c>
    </x:row>
    <x:row r="1524">
      <x:c r="A1524" s="54" t="n">
        <x:v>4107</x:v>
      </x:c>
      <x:c r="B1524" s="54" t="n">
        <x:v>4</x:v>
      </x:c>
      <x:c r="C1524" s="54" t="n">
        <x:v>6</x:v>
      </x:c>
      <x:c r="D1524" s="54" t="n">
        <x:v>1</x:v>
      </x:c>
      <x:c r="E1524" s="103" t="str">
        <x:v>Material-row source portal</x:v>
      </x:c>
      <x:c r="F1524" s="103" t="str">
        <x:v>Source portal is identified, but edition/revision and property record locator remain unresolved.</x:v>
      </x:c>
    </x:row>
    <x:row r="1525">
      <x:c r="A1525" s="54" t="n">
        <x:v>4107</x:v>
      </x:c>
      <x:c r="B1525" s="54" t="n">
        <x:v>6</x:v>
      </x:c>
      <x:c r="C1525" s="54" t="n">
        <x:v>6</x:v>
      </x:c>
      <x:c r="D1525" s="54" t="n">
        <x:v>1</x:v>
      </x:c>
      <x:c r="E1525" s="103" t="str">
        <x:v>Material-row source portal</x:v>
      </x:c>
      <x:c r="F1525" s="103" t="str">
        <x:v>Source portal is identified, but edition/revision and property record locator remain unresolved.</x:v>
      </x:c>
    </x:row>
    <x:row r="1526">
      <x:c r="A1526" s="54" t="n">
        <x:v>4107</x:v>
      </x:c>
      <x:c r="B1526" s="54" t="n">
        <x:v>7</x:v>
      </x:c>
      <x:c r="C1526" s="54" t="n">
        <x:v>6</x:v>
      </x:c>
      <x:c r="D1526" s="54" t="n">
        <x:v>1</x:v>
      </x:c>
      <x:c r="E1526" s="103" t="str">
        <x:v>Material-row source portal</x:v>
      </x:c>
      <x:c r="F1526" s="103" t="str">
        <x:v>Source portal is identified, but edition/revision and property record locator remain unresolved.</x:v>
      </x:c>
    </x:row>
    <x:row r="1527">
      <x:c r="A1527" s="54" t="n">
        <x:v>4107</x:v>
      </x:c>
      <x:c r="B1527" s="54" t="n">
        <x:v>8</x:v>
      </x:c>
      <x:c r="C1527" s="54" t="n">
        <x:v>6</x:v>
      </x:c>
      <x:c r="D1527" s="54" t="n">
        <x:v>1</x:v>
      </x:c>
      <x:c r="E1527" s="103" t="str">
        <x:v>Material-row source portal</x:v>
      </x:c>
      <x:c r="F1527" s="103" t="str">
        <x:v>Source portal is identified, but edition/revision and property record locator remain unresolved.</x:v>
      </x:c>
    </x:row>
    <x:row r="1528">
      <x:c r="A1528" s="54" t="n">
        <x:v>4107</x:v>
      </x:c>
      <x:c r="B1528" s="54" t="n">
        <x:v>9</x:v>
      </x:c>
      <x:c r="C1528" s="54" t="n">
        <x:v>6</x:v>
      </x:c>
      <x:c r="D1528" s="54" t="n">
        <x:v>1</x:v>
      </x:c>
      <x:c r="E1528" s="103" t="str">
        <x:v>Material-row source portal</x:v>
      </x:c>
      <x:c r="F1528" s="103" t="str">
        <x:v>Source portal is identified, but edition/revision and property record locator remain unresolved.</x:v>
      </x:c>
    </x:row>
    <x:row r="1529">
      <x:c r="A1529" s="54" t="n">
        <x:v>4107</x:v>
      </x:c>
      <x:c r="B1529" s="54" t="n">
        <x:v>10</x:v>
      </x:c>
      <x:c r="C1529" s="54" t="n">
        <x:v>6</x:v>
      </x:c>
      <x:c r="D1529" s="54" t="n">
        <x:v>1</x:v>
      </x:c>
      <x:c r="E1529" s="103" t="str">
        <x:v>Material-row source portal</x:v>
      </x:c>
      <x:c r="F1529" s="103" t="str">
        <x:v>Source portal is identified, but edition/revision and property record locator remain unresolved.</x:v>
      </x:c>
    </x:row>
    <x:row r="1530">
      <x:c r="A1530" s="54" t="n">
        <x:v>4107</x:v>
      </x:c>
      <x:c r="B1530" s="54" t="n">
        <x:v>11</x:v>
      </x:c>
      <x:c r="C1530" s="54" t="n">
        <x:v>6</x:v>
      </x:c>
      <x:c r="D1530" s="54" t="n">
        <x:v>1</x:v>
      </x:c>
      <x:c r="E1530" s="103" t="str">
        <x:v>Material-row source portal</x:v>
      </x:c>
      <x:c r="F1530" s="103" t="str">
        <x:v>Source portal is identified, but edition/revision and property record locator remain unresolved.</x:v>
      </x:c>
    </x:row>
    <x:row r="1531">
      <x:c r="A1531" s="54" t="n">
        <x:v>4107</x:v>
      </x:c>
      <x:c r="B1531" s="54" t="n">
        <x:v>12</x:v>
      </x:c>
      <x:c r="C1531" s="54" t="n">
        <x:v>6</x:v>
      </x:c>
      <x:c r="D1531" s="54" t="n">
        <x:v>1</x:v>
      </x:c>
      <x:c r="E1531" s="103" t="str">
        <x:v>Material-row source portal</x:v>
      </x:c>
      <x:c r="F1531" s="103" t="str">
        <x:v>Source portal is identified, but edition/revision and property record locator remain unresolved.</x:v>
      </x:c>
    </x:row>
    <x:row r="1532">
      <x:c r="A1532" s="54" t="n">
        <x:v>4107</x:v>
      </x:c>
      <x:c r="B1532" s="54" t="n">
        <x:v>13</x:v>
      </x:c>
      <x:c r="C1532" s="54" t="n">
        <x:v>6</x:v>
      </x:c>
      <x:c r="D1532" s="54" t="n">
        <x:v>1</x:v>
      </x:c>
      <x:c r="E1532" s="103" t="str">
        <x:v>Material-row source portal</x:v>
      </x:c>
      <x:c r="F1532" s="103" t="str">
        <x:v>Source portal is identified, but edition/revision and property record locator remain unresolved.</x:v>
      </x:c>
    </x:row>
    <x:row r="1533">
      <x:c r="A1533" s="54" t="n">
        <x:v>4107</x:v>
      </x:c>
      <x:c r="B1533" s="54" t="n">
        <x:v>14</x:v>
      </x:c>
      <x:c r="C1533" s="54" t="n">
        <x:v>6</x:v>
      </x:c>
      <x:c r="D1533" s="54" t="n">
        <x:v>1</x:v>
      </x:c>
      <x:c r="E1533" s="103" t="str">
        <x:v>Material-row source portal</x:v>
      </x:c>
      <x:c r="F1533" s="103" t="str">
        <x:v>Source portal is identified, but edition/revision and property record locator remain unresolved.</x:v>
      </x:c>
    </x:row>
    <x:row r="1534">
      <x:c r="A1534" s="54" t="n">
        <x:v>4107</x:v>
      </x:c>
      <x:c r="B1534" s="54" t="n">
        <x:v>15</x:v>
      </x:c>
      <x:c r="C1534" s="54" t="n">
        <x:v>6</x:v>
      </x:c>
      <x:c r="D1534" s="54" t="n">
        <x:v>1</x:v>
      </x:c>
      <x:c r="E1534" s="103" t="str">
        <x:v>Material-row source portal</x:v>
      </x:c>
      <x:c r="F1534" s="103" t="str">
        <x:v>Source portal is identified, but edition/revision and property record locator remain unresolved.</x:v>
      </x:c>
    </x:row>
    <x:row r="1535">
      <x:c r="A1535" s="54" t="n">
        <x:v>4107</x:v>
      </x:c>
      <x:c r="B1535" s="54" t="n">
        <x:v>16</x:v>
      </x:c>
      <x:c r="C1535" s="54" t="n">
        <x:v>6</x:v>
      </x:c>
      <x:c r="D1535" s="54" t="n">
        <x:v>1</x:v>
      </x:c>
      <x:c r="E1535" s="103" t="str">
        <x:v>Material-row source portal</x:v>
      </x:c>
      <x:c r="F1535" s="103" t="str">
        <x:v>Source portal is identified, but edition/revision and property record locator remain unresolved.</x:v>
      </x:c>
    </x:row>
    <x:row r="1536">
      <x:c r="A1536" s="54" t="n">
        <x:v>4107</x:v>
      </x:c>
      <x:c r="B1536" s="54" t="n">
        <x:v>17</x:v>
      </x:c>
      <x:c r="C1536" s="54" t="n">
        <x:v>6</x:v>
      </x:c>
      <x:c r="D1536" s="54" t="n">
        <x:v>1</x:v>
      </x:c>
      <x:c r="E1536" s="103" t="str">
        <x:v>Material-row source portal</x:v>
      </x:c>
      <x:c r="F1536" s="103" t="str">
        <x:v>Source portal is identified, but edition/revision and property record locator remain unresolved.</x:v>
      </x:c>
    </x:row>
    <x:row r="1537">
      <x:c r="A1537" s="54" t="n">
        <x:v>4107</x:v>
      </x:c>
      <x:c r="B1537" s="54" t="n">
        <x:v>18</x:v>
      </x:c>
      <x:c r="C1537" s="54" t="n">
        <x:v>6</x:v>
      </x:c>
      <x:c r="D1537" s="54" t="n">
        <x:v>1</x:v>
      </x:c>
      <x:c r="E1537" s="103" t="str">
        <x:v>Formula-derived from E and Poisson ratio; input records inherit the material-row source</x:v>
      </x:c>
      <x:c r="F1537" s="103" t="str">
        <x:v>Source portal is identified, but edition/revision and property record locator remain unresolved.</x:v>
      </x:c>
    </x:row>
    <x:row r="1538">
      <x:c r="A1538" s="54" t="n">
        <x:v>4108</x:v>
      </x:c>
      <x:c r="B1538" s="54" t="n">
        <x:v>1</x:v>
      </x:c>
      <x:c r="C1538" s="54" t="n">
        <x:v>6</x:v>
      </x:c>
      <x:c r="D1538" s="54" t="n">
        <x:v>1</x:v>
      </x:c>
      <x:c r="E1538" s="103" t="str">
        <x:v>Material-row source portal</x:v>
      </x:c>
      <x:c r="F1538" s="103" t="str">
        <x:v>Source portal is identified, but edition/revision and property record locator remain unresolved.</x:v>
      </x:c>
    </x:row>
    <x:row r="1539">
      <x:c r="A1539" s="54" t="n">
        <x:v>4108</x:v>
      </x:c>
      <x:c r="B1539" s="54" t="n">
        <x:v>2</x:v>
      </x:c>
      <x:c r="C1539" s="54" t="n">
        <x:v>6</x:v>
      </x:c>
      <x:c r="D1539" s="54" t="n">
        <x:v>1</x:v>
      </x:c>
      <x:c r="E1539" s="103" t="str">
        <x:v>Material-row source portal</x:v>
      </x:c>
      <x:c r="F1539" s="103" t="str">
        <x:v>Source portal is identified, but edition/revision and property record locator remain unresolved.</x:v>
      </x:c>
    </x:row>
    <x:row r="1540">
      <x:c r="A1540" s="54" t="n">
        <x:v>4108</x:v>
      </x:c>
      <x:c r="B1540" s="54" t="n">
        <x:v>3</x:v>
      </x:c>
      <x:c r="C1540" s="54" t="n">
        <x:v>6</x:v>
      </x:c>
      <x:c r="D1540" s="54" t="n">
        <x:v>1</x:v>
      </x:c>
      <x:c r="E1540" s="103" t="str">
        <x:v>Formula-derived from E and Poisson ratio; input records inherit the material-row source</x:v>
      </x:c>
      <x:c r="F1540" s="103" t="str">
        <x:v>Source portal is identified, but edition/revision and property record locator remain unresolved.</x:v>
      </x:c>
    </x:row>
    <x:row r="1541">
      <x:c r="A1541" s="54" t="n">
        <x:v>4108</x:v>
      </x:c>
      <x:c r="B1541" s="54" t="n">
        <x:v>4</x:v>
      </x:c>
      <x:c r="C1541" s="54" t="n">
        <x:v>6</x:v>
      </x:c>
      <x:c r="D1541" s="54" t="n">
        <x:v>1</x:v>
      </x:c>
      <x:c r="E1541" s="103" t="str">
        <x:v>Material-row source portal</x:v>
      </x:c>
      <x:c r="F1541" s="103" t="str">
        <x:v>Source portal is identified, but edition/revision and property record locator remain unresolved.</x:v>
      </x:c>
    </x:row>
    <x:row r="1542">
      <x:c r="A1542" s="54" t="n">
        <x:v>4108</x:v>
      </x:c>
      <x:c r="B1542" s="54" t="n">
        <x:v>6</x:v>
      </x:c>
      <x:c r="C1542" s="54" t="n">
        <x:v>6</x:v>
      </x:c>
      <x:c r="D1542" s="54" t="n">
        <x:v>1</x:v>
      </x:c>
      <x:c r="E1542" s="103" t="str">
        <x:v>Material-row source portal</x:v>
      </x:c>
      <x:c r="F1542" s="103" t="str">
        <x:v>Source portal is identified, but edition/revision and property record locator remain unresolved.</x:v>
      </x:c>
    </x:row>
    <x:row r="1543">
      <x:c r="A1543" s="54" t="n">
        <x:v>4108</x:v>
      </x:c>
      <x:c r="B1543" s="54" t="n">
        <x:v>7</x:v>
      </x:c>
      <x:c r="C1543" s="54" t="n">
        <x:v>6</x:v>
      </x:c>
      <x:c r="D1543" s="54" t="n">
        <x:v>1</x:v>
      </x:c>
      <x:c r="E1543" s="103" t="str">
        <x:v>Material-row source portal</x:v>
      </x:c>
      <x:c r="F1543" s="103" t="str">
        <x:v>Source portal is identified, but edition/revision and property record locator remain unresolved.</x:v>
      </x:c>
    </x:row>
    <x:row r="1544">
      <x:c r="A1544" s="54" t="n">
        <x:v>4108</x:v>
      </x:c>
      <x:c r="B1544" s="54" t="n">
        <x:v>8</x:v>
      </x:c>
      <x:c r="C1544" s="54" t="n">
        <x:v>6</x:v>
      </x:c>
      <x:c r="D1544" s="54" t="n">
        <x:v>1</x:v>
      </x:c>
      <x:c r="E1544" s="103" t="str">
        <x:v>Material-row source portal</x:v>
      </x:c>
      <x:c r="F1544" s="103" t="str">
        <x:v>Source portal is identified, but edition/revision and property record locator remain unresolved.</x:v>
      </x:c>
    </x:row>
    <x:row r="1545">
      <x:c r="A1545" s="54" t="n">
        <x:v>4108</x:v>
      </x:c>
      <x:c r="B1545" s="54" t="n">
        <x:v>9</x:v>
      </x:c>
      <x:c r="C1545" s="54" t="n">
        <x:v>6</x:v>
      </x:c>
      <x:c r="D1545" s="54" t="n">
        <x:v>1</x:v>
      </x:c>
      <x:c r="E1545" s="103" t="str">
        <x:v>Material-row source portal</x:v>
      </x:c>
      <x:c r="F1545" s="103" t="str">
        <x:v>Source portal is identified, but edition/revision and property record locator remain unresolved.</x:v>
      </x:c>
    </x:row>
    <x:row r="1546">
      <x:c r="A1546" s="54" t="n">
        <x:v>4108</x:v>
      </x:c>
      <x:c r="B1546" s="54" t="n">
        <x:v>10</x:v>
      </x:c>
      <x:c r="C1546" s="54" t="n">
        <x:v>6</x:v>
      </x:c>
      <x:c r="D1546" s="54" t="n">
        <x:v>1</x:v>
      </x:c>
      <x:c r="E1546" s="103" t="str">
        <x:v>Material-row source portal</x:v>
      </x:c>
      <x:c r="F1546" s="103" t="str">
        <x:v>Source portal is identified, but edition/revision and property record locator remain unresolved.</x:v>
      </x:c>
    </x:row>
    <x:row r="1547">
      <x:c r="A1547" s="54" t="n">
        <x:v>4108</x:v>
      </x:c>
      <x:c r="B1547" s="54" t="n">
        <x:v>11</x:v>
      </x:c>
      <x:c r="C1547" s="54" t="n">
        <x:v>6</x:v>
      </x:c>
      <x:c r="D1547" s="54" t="n">
        <x:v>1</x:v>
      </x:c>
      <x:c r="E1547" s="103" t="str">
        <x:v>Material-row source portal</x:v>
      </x:c>
      <x:c r="F1547" s="103" t="str">
        <x:v>Source portal is identified, but edition/revision and property record locator remain unresolved.</x:v>
      </x:c>
    </x:row>
    <x:row r="1548">
      <x:c r="A1548" s="54" t="n">
        <x:v>4108</x:v>
      </x:c>
      <x:c r="B1548" s="54" t="n">
        <x:v>12</x:v>
      </x:c>
      <x:c r="C1548" s="54" t="n">
        <x:v>6</x:v>
      </x:c>
      <x:c r="D1548" s="54" t="n">
        <x:v>1</x:v>
      </x:c>
      <x:c r="E1548" s="103" t="str">
        <x:v>Material-row source portal</x:v>
      </x:c>
      <x:c r="F1548" s="103" t="str">
        <x:v>Source portal is identified, but edition/revision and property record locator remain unresolved.</x:v>
      </x:c>
    </x:row>
    <x:row r="1549">
      <x:c r="A1549" s="54" t="n">
        <x:v>4108</x:v>
      </x:c>
      <x:c r="B1549" s="54" t="n">
        <x:v>13</x:v>
      </x:c>
      <x:c r="C1549" s="54" t="n">
        <x:v>6</x:v>
      </x:c>
      <x:c r="D1549" s="54" t="n">
        <x:v>1</x:v>
      </x:c>
      <x:c r="E1549" s="103" t="str">
        <x:v>Material-row source portal</x:v>
      </x:c>
      <x:c r="F1549" s="103" t="str">
        <x:v>Source portal is identified, but edition/revision and property record locator remain unresolved.</x:v>
      </x:c>
    </x:row>
    <x:row r="1550">
      <x:c r="A1550" s="54" t="n">
        <x:v>4108</x:v>
      </x:c>
      <x:c r="B1550" s="54" t="n">
        <x:v>14</x:v>
      </x:c>
      <x:c r="C1550" s="54" t="n">
        <x:v>6</x:v>
      </x:c>
      <x:c r="D1550" s="54" t="n">
        <x:v>1</x:v>
      </x:c>
      <x:c r="E1550" s="103" t="str">
        <x:v>Material-row source portal</x:v>
      </x:c>
      <x:c r="F1550" s="103" t="str">
        <x:v>Source portal is identified, but edition/revision and property record locator remain unresolved.</x:v>
      </x:c>
    </x:row>
    <x:row r="1551">
      <x:c r="A1551" s="54" t="n">
        <x:v>4108</x:v>
      </x:c>
      <x:c r="B1551" s="54" t="n">
        <x:v>15</x:v>
      </x:c>
      <x:c r="C1551" s="54" t="n">
        <x:v>6</x:v>
      </x:c>
      <x:c r="D1551" s="54" t="n">
        <x:v>1</x:v>
      </x:c>
      <x:c r="E1551" s="103" t="str">
        <x:v>Material-row source portal</x:v>
      </x:c>
      <x:c r="F1551" s="103" t="str">
        <x:v>Source portal is identified, but edition/revision and property record locator remain unresolved.</x:v>
      </x:c>
    </x:row>
    <x:row r="1552">
      <x:c r="A1552" s="54" t="n">
        <x:v>4108</x:v>
      </x:c>
      <x:c r="B1552" s="54" t="n">
        <x:v>16</x:v>
      </x:c>
      <x:c r="C1552" s="54" t="n">
        <x:v>6</x:v>
      </x:c>
      <x:c r="D1552" s="54" t="n">
        <x:v>1</x:v>
      </x:c>
      <x:c r="E1552" s="103" t="str">
        <x:v>Material-row source portal</x:v>
      </x:c>
      <x:c r="F1552" s="103" t="str">
        <x:v>Source portal is identified, but edition/revision and property record locator remain unresolved.</x:v>
      </x:c>
    </x:row>
    <x:row r="1553">
      <x:c r="A1553" s="54" t="n">
        <x:v>4108</x:v>
      </x:c>
      <x:c r="B1553" s="54" t="n">
        <x:v>17</x:v>
      </x:c>
      <x:c r="C1553" s="54" t="n">
        <x:v>6</x:v>
      </x:c>
      <x:c r="D1553" s="54" t="n">
        <x:v>1</x:v>
      </x:c>
      <x:c r="E1553" s="103" t="str">
        <x:v>Material-row source portal</x:v>
      </x:c>
      <x:c r="F1553" s="103" t="str">
        <x:v>Source portal is identified, but edition/revision and property record locator remain unresolved.</x:v>
      </x:c>
    </x:row>
    <x:row r="1554">
      <x:c r="A1554" s="54" t="n">
        <x:v>4108</x:v>
      </x:c>
      <x:c r="B1554" s="54" t="n">
        <x:v>18</x:v>
      </x:c>
      <x:c r="C1554" s="54" t="n">
        <x:v>6</x:v>
      </x:c>
      <x:c r="D1554" s="54" t="n">
        <x:v>1</x:v>
      </x:c>
      <x:c r="E1554" s="103" t="str">
        <x:v>Formula-derived from E and Poisson ratio; input records inherit the material-row source</x:v>
      </x:c>
      <x:c r="F1554" s="103" t="str">
        <x:v>Source portal is identified, but edition/revision and property record locator remain unresolved.</x:v>
      </x:c>
    </x:row>
    <x:row r="1555">
      <x:c r="A1555" s="54" t="n">
        <x:v>4109</x:v>
      </x:c>
      <x:c r="B1555" s="54" t="n">
        <x:v>1</x:v>
      </x:c>
      <x:c r="C1555" s="54" t="n">
        <x:v>6</x:v>
      </x:c>
      <x:c r="D1555" s="54" t="n">
        <x:v>1</x:v>
      </x:c>
      <x:c r="E1555" s="103" t="str">
        <x:v>Material-row source portal</x:v>
      </x:c>
      <x:c r="F1555" s="103" t="str">
        <x:v>Source portal is identified, but edition/revision and property record locator remain unresolved.</x:v>
      </x:c>
    </x:row>
    <x:row r="1556">
      <x:c r="A1556" s="54" t="n">
        <x:v>4109</x:v>
      </x:c>
      <x:c r="B1556" s="54" t="n">
        <x:v>2</x:v>
      </x:c>
      <x:c r="C1556" s="54" t="n">
        <x:v>6</x:v>
      </x:c>
      <x:c r="D1556" s="54" t="n">
        <x:v>1</x:v>
      </x:c>
      <x:c r="E1556" s="103" t="str">
        <x:v>Material-row source portal</x:v>
      </x:c>
      <x:c r="F1556" s="103" t="str">
        <x:v>Source portal is identified, but edition/revision and property record locator remain unresolved.</x:v>
      </x:c>
    </x:row>
    <x:row r="1557">
      <x:c r="A1557" s="54" t="n">
        <x:v>4109</x:v>
      </x:c>
      <x:c r="B1557" s="54" t="n">
        <x:v>3</x:v>
      </x:c>
      <x:c r="C1557" s="54" t="n">
        <x:v>6</x:v>
      </x:c>
      <x:c r="D1557" s="54" t="n">
        <x:v>1</x:v>
      </x:c>
      <x:c r="E1557" s="103" t="str">
        <x:v>Formula-derived from E and Poisson ratio; input records inherit the material-row source</x:v>
      </x:c>
      <x:c r="F1557" s="103" t="str">
        <x:v>Source portal is identified, but edition/revision and property record locator remain unresolved.</x:v>
      </x:c>
    </x:row>
    <x:row r="1558">
      <x:c r="A1558" s="54" t="n">
        <x:v>4109</x:v>
      </x:c>
      <x:c r="B1558" s="54" t="n">
        <x:v>4</x:v>
      </x:c>
      <x:c r="C1558" s="54" t="n">
        <x:v>6</x:v>
      </x:c>
      <x:c r="D1558" s="54" t="n">
        <x:v>1</x:v>
      </x:c>
      <x:c r="E1558" s="103" t="str">
        <x:v>Material-row source portal</x:v>
      </x:c>
      <x:c r="F1558" s="103" t="str">
        <x:v>Source portal is identified, but edition/revision and property record locator remain unresolved.</x:v>
      </x:c>
    </x:row>
    <x:row r="1559">
      <x:c r="A1559" s="54" t="n">
        <x:v>4109</x:v>
      </x:c>
      <x:c r="B1559" s="54" t="n">
        <x:v>6</x:v>
      </x:c>
      <x:c r="C1559" s="54" t="n">
        <x:v>6</x:v>
      </x:c>
      <x:c r="D1559" s="54" t="n">
        <x:v>1</x:v>
      </x:c>
      <x:c r="E1559" s="103" t="str">
        <x:v>Material-row source portal</x:v>
      </x:c>
      <x:c r="F1559" s="103" t="str">
        <x:v>Source portal is identified, but edition/revision and property record locator remain unresolved.</x:v>
      </x:c>
    </x:row>
    <x:row r="1560">
      <x:c r="A1560" s="54" t="n">
        <x:v>4109</x:v>
      </x:c>
      <x:c r="B1560" s="54" t="n">
        <x:v>7</x:v>
      </x:c>
      <x:c r="C1560" s="54" t="n">
        <x:v>6</x:v>
      </x:c>
      <x:c r="D1560" s="54" t="n">
        <x:v>1</x:v>
      </x:c>
      <x:c r="E1560" s="103" t="str">
        <x:v>Material-row source portal</x:v>
      </x:c>
      <x:c r="F1560" s="103" t="str">
        <x:v>Source portal is identified, but edition/revision and property record locator remain unresolved.</x:v>
      </x:c>
    </x:row>
    <x:row r="1561">
      <x:c r="A1561" s="54" t="n">
        <x:v>4109</x:v>
      </x:c>
      <x:c r="B1561" s="54" t="n">
        <x:v>8</x:v>
      </x:c>
      <x:c r="C1561" s="54" t="n">
        <x:v>6</x:v>
      </x:c>
      <x:c r="D1561" s="54" t="n">
        <x:v>1</x:v>
      </x:c>
      <x:c r="E1561" s="103" t="str">
        <x:v>Material-row source portal</x:v>
      </x:c>
      <x:c r="F1561" s="103" t="str">
        <x:v>Source portal is identified, but edition/revision and property record locator remain unresolved.</x:v>
      </x:c>
    </x:row>
    <x:row r="1562">
      <x:c r="A1562" s="54" t="n">
        <x:v>4109</x:v>
      </x:c>
      <x:c r="B1562" s="54" t="n">
        <x:v>9</x:v>
      </x:c>
      <x:c r="C1562" s="54" t="n">
        <x:v>6</x:v>
      </x:c>
      <x:c r="D1562" s="54" t="n">
        <x:v>1</x:v>
      </x:c>
      <x:c r="E1562" s="103" t="str">
        <x:v>Material-row source portal</x:v>
      </x:c>
      <x:c r="F1562" s="103" t="str">
        <x:v>Source portal is identified, but edition/revision and property record locator remain unresolved.</x:v>
      </x:c>
    </x:row>
    <x:row r="1563">
      <x:c r="A1563" s="54" t="n">
        <x:v>4109</x:v>
      </x:c>
      <x:c r="B1563" s="54" t="n">
        <x:v>10</x:v>
      </x:c>
      <x:c r="C1563" s="54" t="n">
        <x:v>6</x:v>
      </x:c>
      <x:c r="D1563" s="54" t="n">
        <x:v>1</x:v>
      </x:c>
      <x:c r="E1563" s="103" t="str">
        <x:v>Material-row source portal</x:v>
      </x:c>
      <x:c r="F1563" s="103" t="str">
        <x:v>Source portal is identified, but edition/revision and property record locator remain unresolved.</x:v>
      </x:c>
    </x:row>
    <x:row r="1564">
      <x:c r="A1564" s="54" t="n">
        <x:v>4109</x:v>
      </x:c>
      <x:c r="B1564" s="54" t="n">
        <x:v>11</x:v>
      </x:c>
      <x:c r="C1564" s="54" t="n">
        <x:v>6</x:v>
      </x:c>
      <x:c r="D1564" s="54" t="n">
        <x:v>1</x:v>
      </x:c>
      <x:c r="E1564" s="103" t="str">
        <x:v>Material-row source portal</x:v>
      </x:c>
      <x:c r="F1564" s="103" t="str">
        <x:v>Source portal is identified, but edition/revision and property record locator remain unresolved.</x:v>
      </x:c>
    </x:row>
    <x:row r="1565">
      <x:c r="A1565" s="54" t="n">
        <x:v>4109</x:v>
      </x:c>
      <x:c r="B1565" s="54" t="n">
        <x:v>12</x:v>
      </x:c>
      <x:c r="C1565" s="54" t="n">
        <x:v>6</x:v>
      </x:c>
      <x:c r="D1565" s="54" t="n">
        <x:v>1</x:v>
      </x:c>
      <x:c r="E1565" s="103" t="str">
        <x:v>Material-row source portal</x:v>
      </x:c>
      <x:c r="F1565" s="103" t="str">
        <x:v>Source portal is identified, but edition/revision and property record locator remain unresolved.</x:v>
      </x:c>
    </x:row>
    <x:row r="1566">
      <x:c r="A1566" s="54" t="n">
        <x:v>4109</x:v>
      </x:c>
      <x:c r="B1566" s="54" t="n">
        <x:v>13</x:v>
      </x:c>
      <x:c r="C1566" s="54" t="n">
        <x:v>6</x:v>
      </x:c>
      <x:c r="D1566" s="54" t="n">
        <x:v>1</x:v>
      </x:c>
      <x:c r="E1566" s="103" t="str">
        <x:v>Material-row source portal</x:v>
      </x:c>
      <x:c r="F1566" s="103" t="str">
        <x:v>Source portal is identified, but edition/revision and property record locator remain unresolved.</x:v>
      </x:c>
    </x:row>
    <x:row r="1567">
      <x:c r="A1567" s="54" t="n">
        <x:v>4109</x:v>
      </x:c>
      <x:c r="B1567" s="54" t="n">
        <x:v>14</x:v>
      </x:c>
      <x:c r="C1567" s="54" t="n">
        <x:v>6</x:v>
      </x:c>
      <x:c r="D1567" s="54" t="n">
        <x:v>1</x:v>
      </x:c>
      <x:c r="E1567" s="103" t="str">
        <x:v>Material-row source portal</x:v>
      </x:c>
      <x:c r="F1567" s="103" t="str">
        <x:v>Source portal is identified, but edition/revision and property record locator remain unresolved.</x:v>
      </x:c>
    </x:row>
    <x:row r="1568">
      <x:c r="A1568" s="54" t="n">
        <x:v>4109</x:v>
      </x:c>
      <x:c r="B1568" s="54" t="n">
        <x:v>15</x:v>
      </x:c>
      <x:c r="C1568" s="54" t="n">
        <x:v>6</x:v>
      </x:c>
      <x:c r="D1568" s="54" t="n">
        <x:v>1</x:v>
      </x:c>
      <x:c r="E1568" s="103" t="str">
        <x:v>Material-row source portal</x:v>
      </x:c>
      <x:c r="F1568" s="103" t="str">
        <x:v>Source portal is identified, but edition/revision and property record locator remain unresolved.</x:v>
      </x:c>
    </x:row>
    <x:row r="1569">
      <x:c r="A1569" s="54" t="n">
        <x:v>4109</x:v>
      </x:c>
      <x:c r="B1569" s="54" t="n">
        <x:v>16</x:v>
      </x:c>
      <x:c r="C1569" s="54" t="n">
        <x:v>6</x:v>
      </x:c>
      <x:c r="D1569" s="54" t="n">
        <x:v>1</x:v>
      </x:c>
      <x:c r="E1569" s="103" t="str">
        <x:v>Material-row source portal</x:v>
      </x:c>
      <x:c r="F1569" s="103" t="str">
        <x:v>Source portal is identified, but edition/revision and property record locator remain unresolved.</x:v>
      </x:c>
    </x:row>
    <x:row r="1570">
      <x:c r="A1570" s="54" t="n">
        <x:v>4109</x:v>
      </x:c>
      <x:c r="B1570" s="54" t="n">
        <x:v>17</x:v>
      </x:c>
      <x:c r="C1570" s="54" t="n">
        <x:v>6</x:v>
      </x:c>
      <x:c r="D1570" s="54" t="n">
        <x:v>1</x:v>
      </x:c>
      <x:c r="E1570" s="103" t="str">
        <x:v>Material-row source portal</x:v>
      </x:c>
      <x:c r="F1570" s="103" t="str">
        <x:v>Source portal is identified, but edition/revision and property record locator remain unresolved.</x:v>
      </x:c>
    </x:row>
    <x:row r="1571">
      <x:c r="A1571" s="54" t="n">
        <x:v>4109</x:v>
      </x:c>
      <x:c r="B1571" s="54" t="n">
        <x:v>18</x:v>
      </x:c>
      <x:c r="C1571" s="54" t="n">
        <x:v>6</x:v>
      </x:c>
      <x:c r="D1571" s="54" t="n">
        <x:v>1</x:v>
      </x:c>
      <x:c r="E1571" s="103" t="str">
        <x:v>Formula-derived from E and Poisson ratio; input records inherit the material-row source</x:v>
      </x:c>
      <x:c r="F1571" s="103" t="str">
        <x:v>Source portal is identified, but edition/revision and property record locator remain unresolved.</x:v>
      </x:c>
    </x:row>
    <x:row r="1572">
      <x:c r="A1572" s="54" t="n">
        <x:v>4110</x:v>
      </x:c>
      <x:c r="B1572" s="54" t="n">
        <x:v>1</x:v>
      </x:c>
      <x:c r="C1572" s="54" t="n">
        <x:v>11</x:v>
      </x:c>
      <x:c r="D1572" s="54" t="n">
        <x:v>1</x:v>
      </x:c>
      <x:c r="E1572" s="103" t="str">
        <x:v>Material-row source portal</x:v>
      </x:c>
      <x:c r="F1572" s="103" t="str">
        <x:v>Source portal is identified, but edition/revision and property record locator remain unresolved.</x:v>
      </x:c>
    </x:row>
    <x:row r="1573">
      <x:c r="A1573" s="54" t="n">
        <x:v>4110</x:v>
      </x:c>
      <x:c r="B1573" s="54" t="n">
        <x:v>2</x:v>
      </x:c>
      <x:c r="C1573" s="54" t="n">
        <x:v>11</x:v>
      </x:c>
      <x:c r="D1573" s="54" t="n">
        <x:v>1</x:v>
      </x:c>
      <x:c r="E1573" s="103" t="str">
        <x:v>Material-row source portal</x:v>
      </x:c>
      <x:c r="F1573" s="103" t="str">
        <x:v>Source portal is identified, but edition/revision and property record locator remain unresolved.</x:v>
      </x:c>
    </x:row>
    <x:row r="1574">
      <x:c r="A1574" s="54" t="n">
        <x:v>4110</x:v>
      </x:c>
      <x:c r="B1574" s="54" t="n">
        <x:v>3</x:v>
      </x:c>
      <x:c r="C1574" s="54" t="n">
        <x:v>11</x:v>
      </x:c>
      <x:c r="D1574" s="54" t="n">
        <x:v>1</x:v>
      </x:c>
      <x:c r="E1574" s="103" t="str">
        <x:v>Formula-derived from E and Poisson ratio; input records inherit the material-row source</x:v>
      </x:c>
      <x:c r="F1574" s="103" t="str">
        <x:v>Source portal is identified, but edition/revision and property record locator remain unresolved.</x:v>
      </x:c>
    </x:row>
    <x:row r="1575">
      <x:c r="A1575" s="54" t="n">
        <x:v>4110</x:v>
      </x:c>
      <x:c r="B1575" s="54" t="n">
        <x:v>4</x:v>
      </x:c>
      <x:c r="C1575" s="54" t="n">
        <x:v>11</x:v>
      </x:c>
      <x:c r="D1575" s="54" t="n">
        <x:v>1</x:v>
      </x:c>
      <x:c r="E1575" s="103" t="str">
        <x:v>Material-row source portal</x:v>
      </x:c>
      <x:c r="F1575" s="103" t="str">
        <x:v>Source portal is identified, but edition/revision and property record locator remain unresolved.</x:v>
      </x:c>
    </x:row>
    <x:row r="1576">
      <x:c r="A1576" s="54" t="n">
        <x:v>4110</x:v>
      </x:c>
      <x:c r="B1576" s="54" t="n">
        <x:v>6</x:v>
      </x:c>
      <x:c r="C1576" s="54" t="n">
        <x:v>11</x:v>
      </x:c>
      <x:c r="D1576" s="54" t="n">
        <x:v>1</x:v>
      </x:c>
      <x:c r="E1576" s="103" t="str">
        <x:v>Material-row source portal</x:v>
      </x:c>
      <x:c r="F1576" s="103" t="str">
        <x:v>Source portal is identified, but edition/revision and property record locator remain unresolved.</x:v>
      </x:c>
    </x:row>
    <x:row r="1577">
      <x:c r="A1577" s="54" t="n">
        <x:v>4110</x:v>
      </x:c>
      <x:c r="B1577" s="54" t="n">
        <x:v>7</x:v>
      </x:c>
      <x:c r="C1577" s="54" t="n">
        <x:v>11</x:v>
      </x:c>
      <x:c r="D1577" s="54" t="n">
        <x:v>1</x:v>
      </x:c>
      <x:c r="E1577" s="103" t="str">
        <x:v>Material-row source portal</x:v>
      </x:c>
      <x:c r="F1577" s="103" t="str">
        <x:v>Source portal is identified, but edition/revision and property record locator remain unresolved.</x:v>
      </x:c>
    </x:row>
    <x:row r="1578">
      <x:c r="A1578" s="54" t="n">
        <x:v>4110</x:v>
      </x:c>
      <x:c r="B1578" s="54" t="n">
        <x:v>8</x:v>
      </x:c>
      <x:c r="C1578" s="54" t="n">
        <x:v>11</x:v>
      </x:c>
      <x:c r="D1578" s="54" t="n">
        <x:v>1</x:v>
      </x:c>
      <x:c r="E1578" s="103" t="str">
        <x:v>Material-row source portal</x:v>
      </x:c>
      <x:c r="F1578" s="103" t="str">
        <x:v>Source portal is identified, but edition/revision and property record locator remain unresolved.</x:v>
      </x:c>
    </x:row>
    <x:row r="1579">
      <x:c r="A1579" s="54" t="n">
        <x:v>4110</x:v>
      </x:c>
      <x:c r="B1579" s="54" t="n">
        <x:v>9</x:v>
      </x:c>
      <x:c r="C1579" s="54" t="n">
        <x:v>11</x:v>
      </x:c>
      <x:c r="D1579" s="54" t="n">
        <x:v>1</x:v>
      </x:c>
      <x:c r="E1579" s="103" t="str">
        <x:v>Material-row source portal</x:v>
      </x:c>
      <x:c r="F1579" s="103" t="str">
        <x:v>Source portal is identified, but edition/revision and property record locator remain unresolved.</x:v>
      </x:c>
    </x:row>
    <x:row r="1580">
      <x:c r="A1580" s="54" t="n">
        <x:v>4110</x:v>
      </x:c>
      <x:c r="B1580" s="54" t="n">
        <x:v>10</x:v>
      </x:c>
      <x:c r="C1580" s="54" t="n">
        <x:v>11</x:v>
      </x:c>
      <x:c r="D1580" s="54" t="n">
        <x:v>1</x:v>
      </x:c>
      <x:c r="E1580" s="103" t="str">
        <x:v>Material-row source portal</x:v>
      </x:c>
      <x:c r="F1580" s="103" t="str">
        <x:v>Source portal is identified, but edition/revision and property record locator remain unresolved.</x:v>
      </x:c>
    </x:row>
    <x:row r="1581">
      <x:c r="A1581" s="54" t="n">
        <x:v>4110</x:v>
      </x:c>
      <x:c r="B1581" s="54" t="n">
        <x:v>11</x:v>
      </x:c>
      <x:c r="C1581" s="54" t="n">
        <x:v>11</x:v>
      </x:c>
      <x:c r="D1581" s="54" t="n">
        <x:v>1</x:v>
      </x:c>
      <x:c r="E1581" s="103" t="str">
        <x:v>Material-row source portal</x:v>
      </x:c>
      <x:c r="F1581" s="103" t="str">
        <x:v>Source portal is identified, but edition/revision and property record locator remain unresolved.</x:v>
      </x:c>
    </x:row>
    <x:row r="1582">
      <x:c r="A1582" s="54" t="n">
        <x:v>4110</x:v>
      </x:c>
      <x:c r="B1582" s="54" t="n">
        <x:v>12</x:v>
      </x:c>
      <x:c r="C1582" s="54" t="n">
        <x:v>11</x:v>
      </x:c>
      <x:c r="D1582" s="54" t="n">
        <x:v>1</x:v>
      </x:c>
      <x:c r="E1582" s="103" t="str">
        <x:v>Material-row source portal</x:v>
      </x:c>
      <x:c r="F1582" s="103" t="str">
        <x:v>Source portal is identified, but edition/revision and property record locator remain unresolved.</x:v>
      </x:c>
    </x:row>
    <x:row r="1583">
      <x:c r="A1583" s="54" t="n">
        <x:v>4110</x:v>
      </x:c>
      <x:c r="B1583" s="54" t="n">
        <x:v>13</x:v>
      </x:c>
      <x:c r="C1583" s="54" t="n">
        <x:v>11</x:v>
      </x:c>
      <x:c r="D1583" s="54" t="n">
        <x:v>1</x:v>
      </x:c>
      <x:c r="E1583" s="103" t="str">
        <x:v>Material-row source portal</x:v>
      </x:c>
      <x:c r="F1583" s="103" t="str">
        <x:v>Source portal is identified, but edition/revision and property record locator remain unresolved.</x:v>
      </x:c>
    </x:row>
    <x:row r="1584">
      <x:c r="A1584" s="54" t="n">
        <x:v>4110</x:v>
      </x:c>
      <x:c r="B1584" s="54" t="n">
        <x:v>14</x:v>
      </x:c>
      <x:c r="C1584" s="54" t="n">
        <x:v>11</x:v>
      </x:c>
      <x:c r="D1584" s="54" t="n">
        <x:v>1</x:v>
      </x:c>
      <x:c r="E1584" s="103" t="str">
        <x:v>Material-row source portal</x:v>
      </x:c>
      <x:c r="F1584" s="103" t="str">
        <x:v>Source portal is identified, but edition/revision and property record locator remain unresolved.</x:v>
      </x:c>
    </x:row>
    <x:row r="1585">
      <x:c r="A1585" s="54" t="n">
        <x:v>4110</x:v>
      </x:c>
      <x:c r="B1585" s="54" t="n">
        <x:v>15</x:v>
      </x:c>
      <x:c r="C1585" s="54" t="n">
        <x:v>11</x:v>
      </x:c>
      <x:c r="D1585" s="54" t="n">
        <x:v>1</x:v>
      </x:c>
      <x:c r="E1585" s="103" t="str">
        <x:v>Material-row source portal</x:v>
      </x:c>
      <x:c r="F1585" s="103" t="str">
        <x:v>Source portal is identified, but edition/revision and property record locator remain unresolved.</x:v>
      </x:c>
    </x:row>
    <x:row r="1586">
      <x:c r="A1586" s="54" t="n">
        <x:v>4110</x:v>
      </x:c>
      <x:c r="B1586" s="54" t="n">
        <x:v>16</x:v>
      </x:c>
      <x:c r="C1586" s="54" t="n">
        <x:v>11</x:v>
      </x:c>
      <x:c r="D1586" s="54" t="n">
        <x:v>1</x:v>
      </x:c>
      <x:c r="E1586" s="103" t="str">
        <x:v>Material-row source portal</x:v>
      </x:c>
      <x:c r="F1586" s="103" t="str">
        <x:v>Source portal is identified, but edition/revision and property record locator remain unresolved.</x:v>
      </x:c>
    </x:row>
    <x:row r="1587">
      <x:c r="A1587" s="54" t="n">
        <x:v>4110</x:v>
      </x:c>
      <x:c r="B1587" s="54" t="n">
        <x:v>17</x:v>
      </x:c>
      <x:c r="C1587" s="54" t="n">
        <x:v>11</x:v>
      </x:c>
      <x:c r="D1587" s="54" t="n">
        <x:v>1</x:v>
      </x:c>
      <x:c r="E1587" s="103" t="str">
        <x:v>Material-row source portal</x:v>
      </x:c>
      <x:c r="F1587" s="103" t="str">
        <x:v>Source portal is identified, but edition/revision and property record locator remain unresolved.</x:v>
      </x:c>
    </x:row>
    <x:row r="1588">
      <x:c r="A1588" s="54" t="n">
        <x:v>4110</x:v>
      </x:c>
      <x:c r="B1588" s="54" t="n">
        <x:v>18</x:v>
      </x:c>
      <x:c r="C1588" s="54" t="n">
        <x:v>11</x:v>
      </x:c>
      <x:c r="D1588" s="54" t="n">
        <x:v>1</x:v>
      </x:c>
      <x:c r="E1588" s="103" t="str">
        <x:v>Formula-derived from E and Poisson ratio; input records inherit the material-row source</x:v>
      </x:c>
      <x:c r="F1588" s="103" t="str">
        <x:v>Source portal is identified, but edition/revision and property record locator remain unresolved.</x:v>
      </x:c>
    </x:row>
    <x:row r="1589">
      <x:c r="A1589" s="54" t="n">
        <x:v>4111</x:v>
      </x:c>
      <x:c r="B1589" s="54" t="n">
        <x:v>1</x:v>
      </x:c>
      <x:c r="C1589" s="54" t="n">
        <x:v>6</x:v>
      </x:c>
      <x:c r="D1589" s="54" t="n">
        <x:v>1</x:v>
      </x:c>
      <x:c r="E1589" s="103" t="str">
        <x:v>Material-row source portal</x:v>
      </x:c>
      <x:c r="F1589" s="103" t="str">
        <x:v>Source portal is identified, but edition/revision and property record locator remain unresolved.</x:v>
      </x:c>
    </x:row>
    <x:row r="1590">
      <x:c r="A1590" s="54" t="n">
        <x:v>4111</x:v>
      </x:c>
      <x:c r="B1590" s="54" t="n">
        <x:v>2</x:v>
      </x:c>
      <x:c r="C1590" s="54" t="n">
        <x:v>6</x:v>
      </x:c>
      <x:c r="D1590" s="54" t="n">
        <x:v>1</x:v>
      </x:c>
      <x:c r="E1590" s="103" t="str">
        <x:v>Material-row source portal</x:v>
      </x:c>
      <x:c r="F1590" s="103" t="str">
        <x:v>Source portal is identified, but edition/revision and property record locator remain unresolved.</x:v>
      </x:c>
    </x:row>
    <x:row r="1591">
      <x:c r="A1591" s="54" t="n">
        <x:v>4111</x:v>
      </x:c>
      <x:c r="B1591" s="54" t="n">
        <x:v>3</x:v>
      </x:c>
      <x:c r="C1591" s="54" t="n">
        <x:v>6</x:v>
      </x:c>
      <x:c r="D1591" s="54" t="n">
        <x:v>1</x:v>
      </x:c>
      <x:c r="E1591" s="103" t="str">
        <x:v>Formula-derived from E and Poisson ratio; input records inherit the material-row source</x:v>
      </x:c>
      <x:c r="F1591" s="103" t="str">
        <x:v>Source portal is identified, but edition/revision and property record locator remain unresolved.</x:v>
      </x:c>
    </x:row>
    <x:row r="1592">
      <x:c r="A1592" s="54" t="n">
        <x:v>4111</x:v>
      </x:c>
      <x:c r="B1592" s="54" t="n">
        <x:v>4</x:v>
      </x:c>
      <x:c r="C1592" s="54" t="n">
        <x:v>6</x:v>
      </x:c>
      <x:c r="D1592" s="54" t="n">
        <x:v>1</x:v>
      </x:c>
      <x:c r="E1592" s="103" t="str">
        <x:v>Material-row source portal</x:v>
      </x:c>
      <x:c r="F1592" s="103" t="str">
        <x:v>Source portal is identified, but edition/revision and property record locator remain unresolved.</x:v>
      </x:c>
    </x:row>
    <x:row r="1593">
      <x:c r="A1593" s="54" t="n">
        <x:v>4111</x:v>
      </x:c>
      <x:c r="B1593" s="54" t="n">
        <x:v>6</x:v>
      </x:c>
      <x:c r="C1593" s="54" t="n">
        <x:v>6</x:v>
      </x:c>
      <x:c r="D1593" s="54" t="n">
        <x:v>1</x:v>
      </x:c>
      <x:c r="E1593" s="103" t="str">
        <x:v>Material-row source portal</x:v>
      </x:c>
      <x:c r="F1593" s="103" t="str">
        <x:v>Source portal is identified, but edition/revision and property record locator remain unresolved.</x:v>
      </x:c>
    </x:row>
    <x:row r="1594">
      <x:c r="A1594" s="54" t="n">
        <x:v>4111</x:v>
      </x:c>
      <x:c r="B1594" s="54" t="n">
        <x:v>7</x:v>
      </x:c>
      <x:c r="C1594" s="54" t="n">
        <x:v>6</x:v>
      </x:c>
      <x:c r="D1594" s="54" t="n">
        <x:v>1</x:v>
      </x:c>
      <x:c r="E1594" s="103" t="str">
        <x:v>Material-row source portal</x:v>
      </x:c>
      <x:c r="F1594" s="103" t="str">
        <x:v>Source portal is identified, but edition/revision and property record locator remain unresolved.</x:v>
      </x:c>
    </x:row>
    <x:row r="1595">
      <x:c r="A1595" s="54" t="n">
        <x:v>4111</x:v>
      </x:c>
      <x:c r="B1595" s="54" t="n">
        <x:v>8</x:v>
      </x:c>
      <x:c r="C1595" s="54" t="n">
        <x:v>6</x:v>
      </x:c>
      <x:c r="D1595" s="54" t="n">
        <x:v>1</x:v>
      </x:c>
      <x:c r="E1595" s="103" t="str">
        <x:v>Material-row source portal</x:v>
      </x:c>
      <x:c r="F1595" s="103" t="str">
        <x:v>Source portal is identified, but edition/revision and property record locator remain unresolved.</x:v>
      </x:c>
    </x:row>
    <x:row r="1596">
      <x:c r="A1596" s="54" t="n">
        <x:v>4111</x:v>
      </x:c>
      <x:c r="B1596" s="54" t="n">
        <x:v>9</x:v>
      </x:c>
      <x:c r="C1596" s="54" t="n">
        <x:v>6</x:v>
      </x:c>
      <x:c r="D1596" s="54" t="n">
        <x:v>1</x:v>
      </x:c>
      <x:c r="E1596" s="103" t="str">
        <x:v>Material-row source portal</x:v>
      </x:c>
      <x:c r="F1596" s="103" t="str">
        <x:v>Source portal is identified, but edition/revision and property record locator remain unresolved.</x:v>
      </x:c>
    </x:row>
    <x:row r="1597">
      <x:c r="A1597" s="54" t="n">
        <x:v>4111</x:v>
      </x:c>
      <x:c r="B1597" s="54" t="n">
        <x:v>10</x:v>
      </x:c>
      <x:c r="C1597" s="54" t="n">
        <x:v>6</x:v>
      </x:c>
      <x:c r="D1597" s="54" t="n">
        <x:v>1</x:v>
      </x:c>
      <x:c r="E1597" s="103" t="str">
        <x:v>Material-row source portal</x:v>
      </x:c>
      <x:c r="F1597" s="103" t="str">
        <x:v>Source portal is identified, but edition/revision and property record locator remain unresolved.</x:v>
      </x:c>
    </x:row>
    <x:row r="1598">
      <x:c r="A1598" s="54" t="n">
        <x:v>4111</x:v>
      </x:c>
      <x:c r="B1598" s="54" t="n">
        <x:v>11</x:v>
      </x:c>
      <x:c r="C1598" s="54" t="n">
        <x:v>6</x:v>
      </x:c>
      <x:c r="D1598" s="54" t="n">
        <x:v>1</x:v>
      </x:c>
      <x:c r="E1598" s="103" t="str">
        <x:v>Material-row source portal</x:v>
      </x:c>
      <x:c r="F1598" s="103" t="str">
        <x:v>Source portal is identified, but edition/revision and property record locator remain unresolved.</x:v>
      </x:c>
    </x:row>
    <x:row r="1599">
      <x:c r="A1599" s="54" t="n">
        <x:v>4111</x:v>
      </x:c>
      <x:c r="B1599" s="54" t="n">
        <x:v>12</x:v>
      </x:c>
      <x:c r="C1599" s="54" t="n">
        <x:v>6</x:v>
      </x:c>
      <x:c r="D1599" s="54" t="n">
        <x:v>1</x:v>
      </x:c>
      <x:c r="E1599" s="103" t="str">
        <x:v>Material-row source portal</x:v>
      </x:c>
      <x:c r="F1599" s="103" t="str">
        <x:v>Source portal is identified, but edition/revision and property record locator remain unresolved.</x:v>
      </x:c>
    </x:row>
    <x:row r="1600">
      <x:c r="A1600" s="54" t="n">
        <x:v>4111</x:v>
      </x:c>
      <x:c r="B1600" s="54" t="n">
        <x:v>13</x:v>
      </x:c>
      <x:c r="C1600" s="54" t="n">
        <x:v>6</x:v>
      </x:c>
      <x:c r="D1600" s="54" t="n">
        <x:v>1</x:v>
      </x:c>
      <x:c r="E1600" s="103" t="str">
        <x:v>Material-row source portal</x:v>
      </x:c>
      <x:c r="F1600" s="103" t="str">
        <x:v>Source portal is identified, but edition/revision and property record locator remain unresolved.</x:v>
      </x:c>
    </x:row>
    <x:row r="1601">
      <x:c r="A1601" s="54" t="n">
        <x:v>4111</x:v>
      </x:c>
      <x:c r="B1601" s="54" t="n">
        <x:v>14</x:v>
      </x:c>
      <x:c r="C1601" s="54" t="n">
        <x:v>6</x:v>
      </x:c>
      <x:c r="D1601" s="54" t="n">
        <x:v>1</x:v>
      </x:c>
      <x:c r="E1601" s="103" t="str">
        <x:v>Material-row source portal</x:v>
      </x:c>
      <x:c r="F1601" s="103" t="str">
        <x:v>Source portal is identified, but edition/revision and property record locator remain unresolved.</x:v>
      </x:c>
    </x:row>
    <x:row r="1602">
      <x:c r="A1602" s="54" t="n">
        <x:v>4111</x:v>
      </x:c>
      <x:c r="B1602" s="54" t="n">
        <x:v>15</x:v>
      </x:c>
      <x:c r="C1602" s="54" t="n">
        <x:v>6</x:v>
      </x:c>
      <x:c r="D1602" s="54" t="n">
        <x:v>1</x:v>
      </x:c>
      <x:c r="E1602" s="103" t="str">
        <x:v>Material-row source portal</x:v>
      </x:c>
      <x:c r="F1602" s="103" t="str">
        <x:v>Source portal is identified, but edition/revision and property record locator remain unresolved.</x:v>
      </x:c>
    </x:row>
    <x:row r="1603">
      <x:c r="A1603" s="54" t="n">
        <x:v>4111</x:v>
      </x:c>
      <x:c r="B1603" s="54" t="n">
        <x:v>16</x:v>
      </x:c>
      <x:c r="C1603" s="54" t="n">
        <x:v>6</x:v>
      </x:c>
      <x:c r="D1603" s="54" t="n">
        <x:v>1</x:v>
      </x:c>
      <x:c r="E1603" s="103" t="str">
        <x:v>Material-row source portal</x:v>
      </x:c>
      <x:c r="F1603" s="103" t="str">
        <x:v>Source portal is identified, but edition/revision and property record locator remain unresolved.</x:v>
      </x:c>
    </x:row>
    <x:row r="1604">
      <x:c r="A1604" s="54" t="n">
        <x:v>4111</x:v>
      </x:c>
      <x:c r="B1604" s="54" t="n">
        <x:v>17</x:v>
      </x:c>
      <x:c r="C1604" s="54" t="n">
        <x:v>6</x:v>
      </x:c>
      <x:c r="D1604" s="54" t="n">
        <x:v>1</x:v>
      </x:c>
      <x:c r="E1604" s="103" t="str">
        <x:v>Material-row source portal</x:v>
      </x:c>
      <x:c r="F1604" s="103" t="str">
        <x:v>Source portal is identified, but edition/revision and property record locator remain unresolved.</x:v>
      </x:c>
    </x:row>
    <x:row r="1605">
      <x:c r="A1605" s="54" t="n">
        <x:v>4111</x:v>
      </x:c>
      <x:c r="B1605" s="54" t="n">
        <x:v>18</x:v>
      </x:c>
      <x:c r="C1605" s="54" t="n">
        <x:v>6</x:v>
      </x:c>
      <x:c r="D1605" s="54" t="n">
        <x:v>1</x:v>
      </x:c>
      <x:c r="E1605" s="103" t="str">
        <x:v>Formula-derived from E and Poisson ratio; input records inherit the material-row source</x:v>
      </x:c>
      <x:c r="F1605" s="103" t="str">
        <x:v>Source portal is identified, but edition/revision and property record locator remain unresolved.</x:v>
      </x:c>
    </x:row>
    <x:row r="1606">
      <x:c r="A1606" s="54" t="n">
        <x:v>4112</x:v>
      </x:c>
      <x:c r="B1606" s="54" t="n">
        <x:v>1</x:v>
      </x:c>
      <x:c r="C1606" s="54" t="n">
        <x:v>6</x:v>
      </x:c>
      <x:c r="D1606" s="54" t="n">
        <x:v>1</x:v>
      </x:c>
      <x:c r="E1606" s="103" t="str">
        <x:v>Material-row source portal</x:v>
      </x:c>
      <x:c r="F1606" s="103" t="str">
        <x:v>Source portal is identified, but edition/revision and property record locator remain unresolved.</x:v>
      </x:c>
    </x:row>
    <x:row r="1607">
      <x:c r="A1607" s="54" t="n">
        <x:v>4112</x:v>
      </x:c>
      <x:c r="B1607" s="54" t="n">
        <x:v>2</x:v>
      </x:c>
      <x:c r="C1607" s="54" t="n">
        <x:v>6</x:v>
      </x:c>
      <x:c r="D1607" s="54" t="n">
        <x:v>1</x:v>
      </x:c>
      <x:c r="E1607" s="103" t="str">
        <x:v>Material-row source portal</x:v>
      </x:c>
      <x:c r="F1607" s="103" t="str">
        <x:v>Source portal is identified, but edition/revision and property record locator remain unresolved.</x:v>
      </x:c>
    </x:row>
    <x:row r="1608">
      <x:c r="A1608" s="54" t="n">
        <x:v>4112</x:v>
      </x:c>
      <x:c r="B1608" s="54" t="n">
        <x:v>3</x:v>
      </x:c>
      <x:c r="C1608" s="54" t="n">
        <x:v>6</x:v>
      </x:c>
      <x:c r="D1608" s="54" t="n">
        <x:v>1</x:v>
      </x:c>
      <x:c r="E1608" s="103" t="str">
        <x:v>Formula-derived from E and Poisson ratio; input records inherit the material-row source</x:v>
      </x:c>
      <x:c r="F1608" s="103" t="str">
        <x:v>Source portal is identified, but edition/revision and property record locator remain unresolved.</x:v>
      </x:c>
    </x:row>
    <x:row r="1609">
      <x:c r="A1609" s="54" t="n">
        <x:v>4112</x:v>
      </x:c>
      <x:c r="B1609" s="54" t="n">
        <x:v>4</x:v>
      </x:c>
      <x:c r="C1609" s="54" t="n">
        <x:v>6</x:v>
      </x:c>
      <x:c r="D1609" s="54" t="n">
        <x:v>1</x:v>
      </x:c>
      <x:c r="E1609" s="103" t="str">
        <x:v>Material-row source portal</x:v>
      </x:c>
      <x:c r="F1609" s="103" t="str">
        <x:v>Source portal is identified, but edition/revision and property record locator remain unresolved.</x:v>
      </x:c>
    </x:row>
    <x:row r="1610">
      <x:c r="A1610" s="54" t="n">
        <x:v>4112</x:v>
      </x:c>
      <x:c r="B1610" s="54" t="n">
        <x:v>6</x:v>
      </x:c>
      <x:c r="C1610" s="54" t="n">
        <x:v>6</x:v>
      </x:c>
      <x:c r="D1610" s="54" t="n">
        <x:v>1</x:v>
      </x:c>
      <x:c r="E1610" s="103" t="str">
        <x:v>Material-row source portal</x:v>
      </x:c>
      <x:c r="F1610" s="103" t="str">
        <x:v>Source portal is identified, but edition/revision and property record locator remain unresolved.</x:v>
      </x:c>
    </x:row>
    <x:row r="1611">
      <x:c r="A1611" s="54" t="n">
        <x:v>4112</x:v>
      </x:c>
      <x:c r="B1611" s="54" t="n">
        <x:v>7</x:v>
      </x:c>
      <x:c r="C1611" s="54" t="n">
        <x:v>6</x:v>
      </x:c>
      <x:c r="D1611" s="54" t="n">
        <x:v>1</x:v>
      </x:c>
      <x:c r="E1611" s="103" t="str">
        <x:v>Material-row source portal</x:v>
      </x:c>
      <x:c r="F1611" s="103" t="str">
        <x:v>Source portal is identified, but edition/revision and property record locator remain unresolved.</x:v>
      </x:c>
    </x:row>
    <x:row r="1612">
      <x:c r="A1612" s="54" t="n">
        <x:v>4112</x:v>
      </x:c>
      <x:c r="B1612" s="54" t="n">
        <x:v>8</x:v>
      </x:c>
      <x:c r="C1612" s="54" t="n">
        <x:v>6</x:v>
      </x:c>
      <x:c r="D1612" s="54" t="n">
        <x:v>1</x:v>
      </x:c>
      <x:c r="E1612" s="103" t="str">
        <x:v>Material-row source portal</x:v>
      </x:c>
      <x:c r="F1612" s="103" t="str">
        <x:v>Source portal is identified, but edition/revision and property record locator remain unresolved.</x:v>
      </x:c>
    </x:row>
    <x:row r="1613">
      <x:c r="A1613" s="54" t="n">
        <x:v>4112</x:v>
      </x:c>
      <x:c r="B1613" s="54" t="n">
        <x:v>9</x:v>
      </x:c>
      <x:c r="C1613" s="54" t="n">
        <x:v>6</x:v>
      </x:c>
      <x:c r="D1613" s="54" t="n">
        <x:v>1</x:v>
      </x:c>
      <x:c r="E1613" s="103" t="str">
        <x:v>Material-row source portal</x:v>
      </x:c>
      <x:c r="F1613" s="103" t="str">
        <x:v>Source portal is identified, but edition/revision and property record locator remain unresolved.</x:v>
      </x:c>
    </x:row>
    <x:row r="1614">
      <x:c r="A1614" s="54" t="n">
        <x:v>4112</x:v>
      </x:c>
      <x:c r="B1614" s="54" t="n">
        <x:v>10</x:v>
      </x:c>
      <x:c r="C1614" s="54" t="n">
        <x:v>6</x:v>
      </x:c>
      <x:c r="D1614" s="54" t="n">
        <x:v>1</x:v>
      </x:c>
      <x:c r="E1614" s="103" t="str">
        <x:v>Material-row source portal</x:v>
      </x:c>
      <x:c r="F1614" s="103" t="str">
        <x:v>Source portal is identified, but edition/revision and property record locator remain unresolved.</x:v>
      </x:c>
    </x:row>
    <x:row r="1615">
      <x:c r="A1615" s="54" t="n">
        <x:v>4112</x:v>
      </x:c>
      <x:c r="B1615" s="54" t="n">
        <x:v>11</x:v>
      </x:c>
      <x:c r="C1615" s="54" t="n">
        <x:v>6</x:v>
      </x:c>
      <x:c r="D1615" s="54" t="n">
        <x:v>1</x:v>
      </x:c>
      <x:c r="E1615" s="103" t="str">
        <x:v>Material-row source portal</x:v>
      </x:c>
      <x:c r="F1615" s="103" t="str">
        <x:v>Source portal is identified, but edition/revision and property record locator remain unresolved.</x:v>
      </x:c>
    </x:row>
    <x:row r="1616">
      <x:c r="A1616" s="54" t="n">
        <x:v>4112</x:v>
      </x:c>
      <x:c r="B1616" s="54" t="n">
        <x:v>12</x:v>
      </x:c>
      <x:c r="C1616" s="54" t="n">
        <x:v>6</x:v>
      </x:c>
      <x:c r="D1616" s="54" t="n">
        <x:v>1</x:v>
      </x:c>
      <x:c r="E1616" s="103" t="str">
        <x:v>Material-row source portal</x:v>
      </x:c>
      <x:c r="F1616" s="103" t="str">
        <x:v>Source portal is identified, but edition/revision and property record locator remain unresolved.</x:v>
      </x:c>
    </x:row>
    <x:row r="1617">
      <x:c r="A1617" s="54" t="n">
        <x:v>4112</x:v>
      </x:c>
      <x:c r="B1617" s="54" t="n">
        <x:v>13</x:v>
      </x:c>
      <x:c r="C1617" s="54" t="n">
        <x:v>6</x:v>
      </x:c>
      <x:c r="D1617" s="54" t="n">
        <x:v>1</x:v>
      </x:c>
      <x:c r="E1617" s="103" t="str">
        <x:v>Material-row source portal</x:v>
      </x:c>
      <x:c r="F1617" s="103" t="str">
        <x:v>Source portal is identified, but edition/revision and property record locator remain unresolved.</x:v>
      </x:c>
    </x:row>
    <x:row r="1618">
      <x:c r="A1618" s="54" t="n">
        <x:v>4112</x:v>
      </x:c>
      <x:c r="B1618" s="54" t="n">
        <x:v>14</x:v>
      </x:c>
      <x:c r="C1618" s="54" t="n">
        <x:v>6</x:v>
      </x:c>
      <x:c r="D1618" s="54" t="n">
        <x:v>1</x:v>
      </x:c>
      <x:c r="E1618" s="103" t="str">
        <x:v>Material-row source portal</x:v>
      </x:c>
      <x:c r="F1618" s="103" t="str">
        <x:v>Source portal is identified, but edition/revision and property record locator remain unresolved.</x:v>
      </x:c>
    </x:row>
    <x:row r="1619">
      <x:c r="A1619" s="54" t="n">
        <x:v>4112</x:v>
      </x:c>
      <x:c r="B1619" s="54" t="n">
        <x:v>15</x:v>
      </x:c>
      <x:c r="C1619" s="54" t="n">
        <x:v>6</x:v>
      </x:c>
      <x:c r="D1619" s="54" t="n">
        <x:v>1</x:v>
      </x:c>
      <x:c r="E1619" s="103" t="str">
        <x:v>Material-row source portal</x:v>
      </x:c>
      <x:c r="F1619" s="103" t="str">
        <x:v>Source portal is identified, but edition/revision and property record locator remain unresolved.</x:v>
      </x:c>
    </x:row>
    <x:row r="1620">
      <x:c r="A1620" s="54" t="n">
        <x:v>4112</x:v>
      </x:c>
      <x:c r="B1620" s="54" t="n">
        <x:v>16</x:v>
      </x:c>
      <x:c r="C1620" s="54" t="n">
        <x:v>6</x:v>
      </x:c>
      <x:c r="D1620" s="54" t="n">
        <x:v>1</x:v>
      </x:c>
      <x:c r="E1620" s="103" t="str">
        <x:v>Material-row source portal</x:v>
      </x:c>
      <x:c r="F1620" s="103" t="str">
        <x:v>Source portal is identified, but edition/revision and property record locator remain unresolved.</x:v>
      </x:c>
    </x:row>
    <x:row r="1621">
      <x:c r="A1621" s="54" t="n">
        <x:v>4112</x:v>
      </x:c>
      <x:c r="B1621" s="54" t="n">
        <x:v>17</x:v>
      </x:c>
      <x:c r="C1621" s="54" t="n">
        <x:v>6</x:v>
      </x:c>
      <x:c r="D1621" s="54" t="n">
        <x:v>1</x:v>
      </x:c>
      <x:c r="E1621" s="103" t="str">
        <x:v>Material-row source portal</x:v>
      </x:c>
      <x:c r="F1621" s="103" t="str">
        <x:v>Source portal is identified, but edition/revision and property record locator remain unresolved.</x:v>
      </x:c>
    </x:row>
    <x:row r="1622">
      <x:c r="A1622" s="54" t="n">
        <x:v>4112</x:v>
      </x:c>
      <x:c r="B1622" s="54" t="n">
        <x:v>18</x:v>
      </x:c>
      <x:c r="C1622" s="54" t="n">
        <x:v>6</x:v>
      </x:c>
      <x:c r="D1622" s="54" t="n">
        <x:v>1</x:v>
      </x:c>
      <x:c r="E1622" s="103" t="str">
        <x:v>Formula-derived from E and Poisson ratio; input records inherit the material-row source</x:v>
      </x:c>
      <x:c r="F1622" s="103" t="str">
        <x:v>Source portal is identified, but edition/revision and property record locator remain unresolved.</x:v>
      </x:c>
    </x:row>
    <x:row r="1623">
      <x:c r="A1623" s="54" t="n">
        <x:v>4113</x:v>
      </x:c>
      <x:c r="B1623" s="54" t="n">
        <x:v>1</x:v>
      </x:c>
      <x:c r="C1623" s="54" t="n">
        <x:v>6</x:v>
      </x:c>
      <x:c r="D1623" s="54" t="n">
        <x:v>1</x:v>
      </x:c>
      <x:c r="E1623" s="103" t="str">
        <x:v>Material-row source portal</x:v>
      </x:c>
      <x:c r="F1623" s="103" t="str">
        <x:v>Source portal is identified, but edition/revision and property record locator remain unresolved.</x:v>
      </x:c>
    </x:row>
    <x:row r="1624">
      <x:c r="A1624" s="54" t="n">
        <x:v>4113</x:v>
      </x:c>
      <x:c r="B1624" s="54" t="n">
        <x:v>2</x:v>
      </x:c>
      <x:c r="C1624" s="54" t="n">
        <x:v>6</x:v>
      </x:c>
      <x:c r="D1624" s="54" t="n">
        <x:v>1</x:v>
      </x:c>
      <x:c r="E1624" s="103" t="str">
        <x:v>Material-row source portal</x:v>
      </x:c>
      <x:c r="F1624" s="103" t="str">
        <x:v>Source portal is identified, but edition/revision and property record locator remain unresolved.</x:v>
      </x:c>
    </x:row>
    <x:row r="1625">
      <x:c r="A1625" s="54" t="n">
        <x:v>4113</x:v>
      </x:c>
      <x:c r="B1625" s="54" t="n">
        <x:v>3</x:v>
      </x:c>
      <x:c r="C1625" s="54" t="n">
        <x:v>6</x:v>
      </x:c>
      <x:c r="D1625" s="54" t="n">
        <x:v>1</x:v>
      </x:c>
      <x:c r="E1625" s="103" t="str">
        <x:v>Formula-derived from E and Poisson ratio; input records inherit the material-row source</x:v>
      </x:c>
      <x:c r="F1625" s="103" t="str">
        <x:v>Source portal is identified, but edition/revision and property record locator remain unresolved.</x:v>
      </x:c>
    </x:row>
    <x:row r="1626">
      <x:c r="A1626" s="54" t="n">
        <x:v>4113</x:v>
      </x:c>
      <x:c r="B1626" s="54" t="n">
        <x:v>4</x:v>
      </x:c>
      <x:c r="C1626" s="54" t="n">
        <x:v>6</x:v>
      </x:c>
      <x:c r="D1626" s="54" t="n">
        <x:v>1</x:v>
      </x:c>
      <x:c r="E1626" s="103" t="str">
        <x:v>Material-row source portal</x:v>
      </x:c>
      <x:c r="F1626" s="103" t="str">
        <x:v>Source portal is identified, but edition/revision and property record locator remain unresolved.</x:v>
      </x:c>
    </x:row>
    <x:row r="1627">
      <x:c r="A1627" s="54" t="n">
        <x:v>4113</x:v>
      </x:c>
      <x:c r="B1627" s="54" t="n">
        <x:v>6</x:v>
      </x:c>
      <x:c r="C1627" s="54" t="n">
        <x:v>6</x:v>
      </x:c>
      <x:c r="D1627" s="54" t="n">
        <x:v>1</x:v>
      </x:c>
      <x:c r="E1627" s="103" t="str">
        <x:v>Material-row source portal</x:v>
      </x:c>
      <x:c r="F1627" s="103" t="str">
        <x:v>Source portal is identified, but edition/revision and property record locator remain unresolved.</x:v>
      </x:c>
    </x:row>
    <x:row r="1628">
      <x:c r="A1628" s="54" t="n">
        <x:v>4113</x:v>
      </x:c>
      <x:c r="B1628" s="54" t="n">
        <x:v>7</x:v>
      </x:c>
      <x:c r="C1628" s="54" t="n">
        <x:v>6</x:v>
      </x:c>
      <x:c r="D1628" s="54" t="n">
        <x:v>1</x:v>
      </x:c>
      <x:c r="E1628" s="103" t="str">
        <x:v>Material-row source portal</x:v>
      </x:c>
      <x:c r="F1628" s="103" t="str">
        <x:v>Source portal is identified, but edition/revision and property record locator remain unresolved.</x:v>
      </x:c>
    </x:row>
    <x:row r="1629">
      <x:c r="A1629" s="54" t="n">
        <x:v>4113</x:v>
      </x:c>
      <x:c r="B1629" s="54" t="n">
        <x:v>8</x:v>
      </x:c>
      <x:c r="C1629" s="54" t="n">
        <x:v>6</x:v>
      </x:c>
      <x:c r="D1629" s="54" t="n">
        <x:v>1</x:v>
      </x:c>
      <x:c r="E1629" s="103" t="str">
        <x:v>Material-row source portal</x:v>
      </x:c>
      <x:c r="F1629" s="103" t="str">
        <x:v>Source portal is identified, but edition/revision and property record locator remain unresolved.</x:v>
      </x:c>
    </x:row>
    <x:row r="1630">
      <x:c r="A1630" s="54" t="n">
        <x:v>4113</x:v>
      </x:c>
      <x:c r="B1630" s="54" t="n">
        <x:v>9</x:v>
      </x:c>
      <x:c r="C1630" s="54" t="n">
        <x:v>6</x:v>
      </x:c>
      <x:c r="D1630" s="54" t="n">
        <x:v>1</x:v>
      </x:c>
      <x:c r="E1630" s="103" t="str">
        <x:v>Material-row source portal</x:v>
      </x:c>
      <x:c r="F1630" s="103" t="str">
        <x:v>Source portal is identified, but edition/revision and property record locator remain unresolved.</x:v>
      </x:c>
    </x:row>
    <x:row r="1631">
      <x:c r="A1631" s="54" t="n">
        <x:v>4113</x:v>
      </x:c>
      <x:c r="B1631" s="54" t="n">
        <x:v>10</x:v>
      </x:c>
      <x:c r="C1631" s="54" t="n">
        <x:v>6</x:v>
      </x:c>
      <x:c r="D1631" s="54" t="n">
        <x:v>1</x:v>
      </x:c>
      <x:c r="E1631" s="103" t="str">
        <x:v>Material-row source portal</x:v>
      </x:c>
      <x:c r="F1631" s="103" t="str">
        <x:v>Source portal is identified, but edition/revision and property record locator remain unresolved.</x:v>
      </x:c>
    </x:row>
    <x:row r="1632">
      <x:c r="A1632" s="54" t="n">
        <x:v>4113</x:v>
      </x:c>
      <x:c r="B1632" s="54" t="n">
        <x:v>11</x:v>
      </x:c>
      <x:c r="C1632" s="54" t="n">
        <x:v>6</x:v>
      </x:c>
      <x:c r="D1632" s="54" t="n">
        <x:v>1</x:v>
      </x:c>
      <x:c r="E1632" s="103" t="str">
        <x:v>Material-row source portal</x:v>
      </x:c>
      <x:c r="F1632" s="103" t="str">
        <x:v>Source portal is identified, but edition/revision and property record locator remain unresolved.</x:v>
      </x:c>
    </x:row>
    <x:row r="1633">
      <x:c r="A1633" s="54" t="n">
        <x:v>4113</x:v>
      </x:c>
      <x:c r="B1633" s="54" t="n">
        <x:v>12</x:v>
      </x:c>
      <x:c r="C1633" s="54" t="n">
        <x:v>6</x:v>
      </x:c>
      <x:c r="D1633" s="54" t="n">
        <x:v>1</x:v>
      </x:c>
      <x:c r="E1633" s="103" t="str">
        <x:v>Material-row source portal</x:v>
      </x:c>
      <x:c r="F1633" s="103" t="str">
        <x:v>Source portal is identified, but edition/revision and property record locator remain unresolved.</x:v>
      </x:c>
    </x:row>
    <x:row r="1634">
      <x:c r="A1634" s="54" t="n">
        <x:v>4113</x:v>
      </x:c>
      <x:c r="B1634" s="54" t="n">
        <x:v>13</x:v>
      </x:c>
      <x:c r="C1634" s="54" t="n">
        <x:v>6</x:v>
      </x:c>
      <x:c r="D1634" s="54" t="n">
        <x:v>1</x:v>
      </x:c>
      <x:c r="E1634" s="103" t="str">
        <x:v>Material-row source portal</x:v>
      </x:c>
      <x:c r="F1634" s="103" t="str">
        <x:v>Source portal is identified, but edition/revision and property record locator remain unresolved.</x:v>
      </x:c>
    </x:row>
    <x:row r="1635">
      <x:c r="A1635" s="54" t="n">
        <x:v>4113</x:v>
      </x:c>
      <x:c r="B1635" s="54" t="n">
        <x:v>14</x:v>
      </x:c>
      <x:c r="C1635" s="54" t="n">
        <x:v>6</x:v>
      </x:c>
      <x:c r="D1635" s="54" t="n">
        <x:v>1</x:v>
      </x:c>
      <x:c r="E1635" s="103" t="str">
        <x:v>Material-row source portal</x:v>
      </x:c>
      <x:c r="F1635" s="103" t="str">
        <x:v>Source portal is identified, but edition/revision and property record locator remain unresolved.</x:v>
      </x:c>
    </x:row>
    <x:row r="1636">
      <x:c r="A1636" s="54" t="n">
        <x:v>4113</x:v>
      </x:c>
      <x:c r="B1636" s="54" t="n">
        <x:v>15</x:v>
      </x:c>
      <x:c r="C1636" s="54" t="n">
        <x:v>6</x:v>
      </x:c>
      <x:c r="D1636" s="54" t="n">
        <x:v>1</x:v>
      </x:c>
      <x:c r="E1636" s="103" t="str">
        <x:v>Material-row source portal</x:v>
      </x:c>
      <x:c r="F1636" s="103" t="str">
        <x:v>Source portal is identified, but edition/revision and property record locator remain unresolved.</x:v>
      </x:c>
    </x:row>
    <x:row r="1637">
      <x:c r="A1637" s="54" t="n">
        <x:v>4113</x:v>
      </x:c>
      <x:c r="B1637" s="54" t="n">
        <x:v>16</x:v>
      </x:c>
      <x:c r="C1637" s="54" t="n">
        <x:v>6</x:v>
      </x:c>
      <x:c r="D1637" s="54" t="n">
        <x:v>1</x:v>
      </x:c>
      <x:c r="E1637" s="103" t="str">
        <x:v>Material-row source portal</x:v>
      </x:c>
      <x:c r="F1637" s="103" t="str">
        <x:v>Source portal is identified, but edition/revision and property record locator remain unresolved.</x:v>
      </x:c>
    </x:row>
    <x:row r="1638">
      <x:c r="A1638" s="54" t="n">
        <x:v>4113</x:v>
      </x:c>
      <x:c r="B1638" s="54" t="n">
        <x:v>17</x:v>
      </x:c>
      <x:c r="C1638" s="54" t="n">
        <x:v>6</x:v>
      </x:c>
      <x:c r="D1638" s="54" t="n">
        <x:v>1</x:v>
      </x:c>
      <x:c r="E1638" s="103" t="str">
        <x:v>Material-row source portal</x:v>
      </x:c>
      <x:c r="F1638" s="103" t="str">
        <x:v>Source portal is identified, but edition/revision and property record locator remain unresolved.</x:v>
      </x:c>
    </x:row>
    <x:row r="1639">
      <x:c r="A1639" s="54" t="n">
        <x:v>4113</x:v>
      </x:c>
      <x:c r="B1639" s="54" t="n">
        <x:v>18</x:v>
      </x:c>
      <x:c r="C1639" s="54" t="n">
        <x:v>6</x:v>
      </x:c>
      <x:c r="D1639" s="54" t="n">
        <x:v>1</x:v>
      </x:c>
      <x:c r="E1639" s="103" t="str">
        <x:v>Formula-derived from E and Poisson ratio; input records inherit the material-row source</x:v>
      </x:c>
      <x:c r="F1639" s="103" t="str">
        <x:v>Source portal is identified, but edition/revision and property record locator remain unresolved.</x:v>
      </x:c>
    </x:row>
    <x:row r="1640">
      <x:c r="A1640" s="54" t="n">
        <x:v>5001</x:v>
      </x:c>
      <x:c r="B1640" s="54" t="n">
        <x:v>1</x:v>
      </x:c>
      <x:c r="C1640" s="54" t="n">
        <x:v>9</x:v>
      </x:c>
      <x:c r="D1640" s="54" t="n">
        <x:v>1</x:v>
      </x:c>
      <x:c r="E1640" s="103" t="str">
        <x:v>Material-row source portal</x:v>
      </x:c>
      <x:c r="F1640" s="103" t="str">
        <x:v>Source portal is identified, but edition/revision and property record locator remain unresolved.</x:v>
      </x:c>
    </x:row>
    <x:row r="1641">
      <x:c r="A1641" s="54" t="n">
        <x:v>5001</x:v>
      </x:c>
      <x:c r="B1641" s="54" t="n">
        <x:v>2</x:v>
      </x:c>
      <x:c r="C1641" s="54" t="n">
        <x:v>9</x:v>
      </x:c>
      <x:c r="D1641" s="54" t="n">
        <x:v>1</x:v>
      </x:c>
      <x:c r="E1641" s="103" t="str">
        <x:v>Material-row source portal</x:v>
      </x:c>
      <x:c r="F1641" s="103" t="str">
        <x:v>Source portal is identified, but edition/revision and property record locator remain unresolved.</x:v>
      </x:c>
    </x:row>
    <x:row r="1642">
      <x:c r="A1642" s="54" t="n">
        <x:v>5001</x:v>
      </x:c>
      <x:c r="B1642" s="54" t="n">
        <x:v>3</x:v>
      </x:c>
      <x:c r="C1642" s="54" t="n">
        <x:v>9</x:v>
      </x:c>
      <x:c r="D1642" s="54" t="n">
        <x:v>1</x:v>
      </x:c>
      <x:c r="E1642" s="103" t="str">
        <x:v>Formula-derived from E and Poisson ratio; input records inherit the material-row source</x:v>
      </x:c>
      <x:c r="F1642" s="103" t="str">
        <x:v>Source portal is identified, but edition/revision and property record locator remain unresolved.</x:v>
      </x:c>
    </x:row>
    <x:row r="1643">
      <x:c r="A1643" s="54" t="n">
        <x:v>5001</x:v>
      </x:c>
      <x:c r="B1643" s="54" t="n">
        <x:v>4</x:v>
      </x:c>
      <x:c r="C1643" s="54" t="n">
        <x:v>9</x:v>
      </x:c>
      <x:c r="D1643" s="54" t="n">
        <x:v>1</x:v>
      </x:c>
      <x:c r="E1643" s="103" t="str">
        <x:v>Material-row source portal</x:v>
      </x:c>
      <x:c r="F1643" s="103" t="str">
        <x:v>Source portal is identified, but edition/revision and property record locator remain unresolved.</x:v>
      </x:c>
    </x:row>
    <x:row r="1644">
      <x:c r="A1644" s="54" t="n">
        <x:v>5001</x:v>
      </x:c>
      <x:c r="B1644" s="54" t="n">
        <x:v>6</x:v>
      </x:c>
      <x:c r="C1644" s="54" t="n">
        <x:v>9</x:v>
      </x:c>
      <x:c r="D1644" s="54" t="n">
        <x:v>1</x:v>
      </x:c>
      <x:c r="E1644" s="103" t="str">
        <x:v>Material-row source portal</x:v>
      </x:c>
      <x:c r="F1644" s="103" t="str">
        <x:v>Source portal is identified, but edition/revision and property record locator remain unresolved.</x:v>
      </x:c>
    </x:row>
    <x:row r="1645">
      <x:c r="A1645" s="54" t="n">
        <x:v>5001</x:v>
      </x:c>
      <x:c r="B1645" s="54" t="n">
        <x:v>7</x:v>
      </x:c>
      <x:c r="C1645" s="54" t="n">
        <x:v>9</x:v>
      </x:c>
      <x:c r="D1645" s="54" t="n">
        <x:v>1</x:v>
      </x:c>
      <x:c r="E1645" s="103" t="str">
        <x:v>Material-row source portal</x:v>
      </x:c>
      <x:c r="F1645" s="103" t="str">
        <x:v>Source portal is identified, but edition/revision and property record locator remain unresolved.</x:v>
      </x:c>
    </x:row>
    <x:row r="1646">
      <x:c r="A1646" s="54" t="n">
        <x:v>5001</x:v>
      </x:c>
      <x:c r="B1646" s="54" t="n">
        <x:v>8</x:v>
      </x:c>
      <x:c r="C1646" s="54" t="n">
        <x:v>9</x:v>
      </x:c>
      <x:c r="D1646" s="54" t="n">
        <x:v>1</x:v>
      </x:c>
      <x:c r="E1646" s="103" t="str">
        <x:v>Material-row source portal</x:v>
      </x:c>
      <x:c r="F1646" s="103" t="str">
        <x:v>Source portal is identified, but edition/revision and property record locator remain unresolved.</x:v>
      </x:c>
    </x:row>
    <x:row r="1647">
      <x:c r="A1647" s="54" t="n">
        <x:v>5001</x:v>
      </x:c>
      <x:c r="B1647" s="54" t="n">
        <x:v>9</x:v>
      </x:c>
      <x:c r="C1647" s="54" t="n">
        <x:v>9</x:v>
      </x:c>
      <x:c r="D1647" s="54" t="n">
        <x:v>1</x:v>
      </x:c>
      <x:c r="E1647" s="103" t="str">
        <x:v>Material-row source portal</x:v>
      </x:c>
      <x:c r="F1647" s="103" t="str">
        <x:v>Source portal is identified, but edition/revision and property record locator remain unresolved.</x:v>
      </x:c>
    </x:row>
    <x:row r="1648">
      <x:c r="A1648" s="54" t="n">
        <x:v>5001</x:v>
      </x:c>
      <x:c r="B1648" s="54" t="n">
        <x:v>11</x:v>
      </x:c>
      <x:c r="C1648" s="54" t="n">
        <x:v>9</x:v>
      </x:c>
      <x:c r="D1648" s="54" t="n">
        <x:v>1</x:v>
      </x:c>
      <x:c r="E1648" s="103" t="str">
        <x:v>Material-row source portal</x:v>
      </x:c>
      <x:c r="F1648" s="103" t="str">
        <x:v>Source portal is identified, but edition/revision and property record locator remain unresolved.</x:v>
      </x:c>
    </x:row>
    <x:row r="1649">
      <x:c r="A1649" s="54" t="n">
        <x:v>5001</x:v>
      </x:c>
      <x:c r="B1649" s="54" t="n">
        <x:v>12</x:v>
      </x:c>
      <x:c r="C1649" s="54" t="n">
        <x:v>9</x:v>
      </x:c>
      <x:c r="D1649" s="54" t="n">
        <x:v>1</x:v>
      </x:c>
      <x:c r="E1649" s="103" t="str">
        <x:v>Material-row source portal</x:v>
      </x:c>
      <x:c r="F1649" s="103" t="str">
        <x:v>Source portal is identified, but edition/revision and property record locator remain unresolved.</x:v>
      </x:c>
    </x:row>
    <x:row r="1650">
      <x:c r="A1650" s="54" t="n">
        <x:v>5001</x:v>
      </x:c>
      <x:c r="B1650" s="54" t="n">
        <x:v>13</x:v>
      </x:c>
      <x:c r="C1650" s="54" t="n">
        <x:v>9</x:v>
      </x:c>
      <x:c r="D1650" s="54" t="n">
        <x:v>1</x:v>
      </x:c>
      <x:c r="E1650" s="103" t="str">
        <x:v>Material-row source portal</x:v>
      </x:c>
      <x:c r="F1650" s="103" t="str">
        <x:v>Source portal is identified, but edition/revision and property record locator remain unresolved.</x:v>
      </x:c>
    </x:row>
    <x:row r="1651">
      <x:c r="A1651" s="54" t="n">
        <x:v>5001</x:v>
      </x:c>
      <x:c r="B1651" s="54" t="n">
        <x:v>14</x:v>
      </x:c>
      <x:c r="C1651" s="54" t="n">
        <x:v>9</x:v>
      </x:c>
      <x:c r="D1651" s="54" t="n">
        <x:v>1</x:v>
      </x:c>
      <x:c r="E1651" s="103" t="str">
        <x:v>Material-row source portal</x:v>
      </x:c>
      <x:c r="F1651" s="103" t="str">
        <x:v>Source portal is identified, but edition/revision and property record locator remain unresolved.</x:v>
      </x:c>
    </x:row>
    <x:row r="1652">
      <x:c r="A1652" s="54" t="n">
        <x:v>5001</x:v>
      </x:c>
      <x:c r="B1652" s="54" t="n">
        <x:v>15</x:v>
      </x:c>
      <x:c r="C1652" s="54" t="n">
        <x:v>9</x:v>
      </x:c>
      <x:c r="D1652" s="54" t="n">
        <x:v>1</x:v>
      </x:c>
      <x:c r="E1652" s="103" t="str">
        <x:v>Material-row source portal</x:v>
      </x:c>
      <x:c r="F1652" s="103" t="str">
        <x:v>Source portal is identified, but edition/revision and property record locator remain unresolved.</x:v>
      </x:c>
    </x:row>
    <x:row r="1653">
      <x:c r="A1653" s="54" t="n">
        <x:v>5001</x:v>
      </x:c>
      <x:c r="B1653" s="54" t="n">
        <x:v>16</x:v>
      </x:c>
      <x:c r="C1653" s="54" t="n">
        <x:v>9</x:v>
      </x:c>
      <x:c r="D1653" s="54" t="n">
        <x:v>1</x:v>
      </x:c>
      <x:c r="E1653" s="103" t="str">
        <x:v>Material-row source portal</x:v>
      </x:c>
      <x:c r="F1653" s="103" t="str">
        <x:v>Source portal is identified, but edition/revision and property record locator remain unresolved.</x:v>
      </x:c>
    </x:row>
    <x:row r="1654">
      <x:c r="A1654" s="54" t="n">
        <x:v>5002</x:v>
      </x:c>
      <x:c r="B1654" s="54" t="n">
        <x:v>1</x:v>
      </x:c>
      <x:c r="C1654" s="54" t="n">
        <x:v>9</x:v>
      </x:c>
      <x:c r="D1654" s="54" t="n">
        <x:v>1</x:v>
      </x:c>
      <x:c r="E1654" s="103" t="str">
        <x:v>Material-row source portal</x:v>
      </x:c>
      <x:c r="F1654" s="103" t="str">
        <x:v>Source portal is identified, but edition/revision and property record locator remain unresolved.</x:v>
      </x:c>
    </x:row>
    <x:row r="1655">
      <x:c r="A1655" s="54" t="n">
        <x:v>5002</x:v>
      </x:c>
      <x:c r="B1655" s="54" t="n">
        <x:v>2</x:v>
      </x:c>
      <x:c r="C1655" s="54" t="n">
        <x:v>9</x:v>
      </x:c>
      <x:c r="D1655" s="54" t="n">
        <x:v>1</x:v>
      </x:c>
      <x:c r="E1655" s="103" t="str">
        <x:v>Material-row source portal</x:v>
      </x:c>
      <x:c r="F1655" s="103" t="str">
        <x:v>Source portal is identified, but edition/revision and property record locator remain unresolved.</x:v>
      </x:c>
    </x:row>
    <x:row r="1656">
      <x:c r="A1656" s="54" t="n">
        <x:v>5002</x:v>
      </x:c>
      <x:c r="B1656" s="54" t="n">
        <x:v>3</x:v>
      </x:c>
      <x:c r="C1656" s="54" t="n">
        <x:v>9</x:v>
      </x:c>
      <x:c r="D1656" s="54" t="n">
        <x:v>1</x:v>
      </x:c>
      <x:c r="E1656" s="103" t="str">
        <x:v>Formula-derived from E and Poisson ratio; input records inherit the material-row source</x:v>
      </x:c>
      <x:c r="F1656" s="103" t="str">
        <x:v>Source portal is identified, but edition/revision and property record locator remain unresolved.</x:v>
      </x:c>
    </x:row>
    <x:row r="1657">
      <x:c r="A1657" s="54" t="n">
        <x:v>5002</x:v>
      </x:c>
      <x:c r="B1657" s="54" t="n">
        <x:v>4</x:v>
      </x:c>
      <x:c r="C1657" s="54" t="n">
        <x:v>9</x:v>
      </x:c>
      <x:c r="D1657" s="54" t="n">
        <x:v>1</x:v>
      </x:c>
      <x:c r="E1657" s="103" t="str">
        <x:v>Material-row source portal</x:v>
      </x:c>
      <x:c r="F1657" s="103" t="str">
        <x:v>Source portal is identified, but edition/revision and property record locator remain unresolved.</x:v>
      </x:c>
    </x:row>
    <x:row r="1658">
      <x:c r="A1658" s="54" t="n">
        <x:v>5002</x:v>
      </x:c>
      <x:c r="B1658" s="54" t="n">
        <x:v>6</x:v>
      </x:c>
      <x:c r="C1658" s="54" t="n">
        <x:v>9</x:v>
      </x:c>
      <x:c r="D1658" s="54" t="n">
        <x:v>1</x:v>
      </x:c>
      <x:c r="E1658" s="103" t="str">
        <x:v>Material-row source portal</x:v>
      </x:c>
      <x:c r="F1658" s="103" t="str">
        <x:v>Source portal is identified, but edition/revision and property record locator remain unresolved.</x:v>
      </x:c>
    </x:row>
    <x:row r="1659">
      <x:c r="A1659" s="54" t="n">
        <x:v>5002</x:v>
      </x:c>
      <x:c r="B1659" s="54" t="n">
        <x:v>7</x:v>
      </x:c>
      <x:c r="C1659" s="54" t="n">
        <x:v>9</x:v>
      </x:c>
      <x:c r="D1659" s="54" t="n">
        <x:v>1</x:v>
      </x:c>
      <x:c r="E1659" s="103" t="str">
        <x:v>Material-row source portal</x:v>
      </x:c>
      <x:c r="F1659" s="103" t="str">
        <x:v>Source portal is identified, but edition/revision and property record locator remain unresolved.</x:v>
      </x:c>
    </x:row>
    <x:row r="1660">
      <x:c r="A1660" s="54" t="n">
        <x:v>5002</x:v>
      </x:c>
      <x:c r="B1660" s="54" t="n">
        <x:v>8</x:v>
      </x:c>
      <x:c r="C1660" s="54" t="n">
        <x:v>9</x:v>
      </x:c>
      <x:c r="D1660" s="54" t="n">
        <x:v>1</x:v>
      </x:c>
      <x:c r="E1660" s="103" t="str">
        <x:v>Material-row source portal</x:v>
      </x:c>
      <x:c r="F1660" s="103" t="str">
        <x:v>Source portal is identified, but edition/revision and property record locator remain unresolved.</x:v>
      </x:c>
    </x:row>
    <x:row r="1661">
      <x:c r="A1661" s="54" t="n">
        <x:v>5002</x:v>
      </x:c>
      <x:c r="B1661" s="54" t="n">
        <x:v>9</x:v>
      </x:c>
      <x:c r="C1661" s="54" t="n">
        <x:v>9</x:v>
      </x:c>
      <x:c r="D1661" s="54" t="n">
        <x:v>1</x:v>
      </x:c>
      <x:c r="E1661" s="103" t="str">
        <x:v>Material-row source portal</x:v>
      </x:c>
      <x:c r="F1661" s="103" t="str">
        <x:v>Source portal is identified, but edition/revision and property record locator remain unresolved.</x:v>
      </x:c>
    </x:row>
    <x:row r="1662">
      <x:c r="A1662" s="54" t="n">
        <x:v>5002</x:v>
      </x:c>
      <x:c r="B1662" s="54" t="n">
        <x:v>11</x:v>
      </x:c>
      <x:c r="C1662" s="54" t="n">
        <x:v>9</x:v>
      </x:c>
      <x:c r="D1662" s="54" t="n">
        <x:v>1</x:v>
      </x:c>
      <x:c r="E1662" s="103" t="str">
        <x:v>Material-row source portal</x:v>
      </x:c>
      <x:c r="F1662" s="103" t="str">
        <x:v>Source portal is identified, but edition/revision and property record locator remain unresolved.</x:v>
      </x:c>
    </x:row>
    <x:row r="1663">
      <x:c r="A1663" s="54" t="n">
        <x:v>5002</x:v>
      </x:c>
      <x:c r="B1663" s="54" t="n">
        <x:v>12</x:v>
      </x:c>
      <x:c r="C1663" s="54" t="n">
        <x:v>9</x:v>
      </x:c>
      <x:c r="D1663" s="54" t="n">
        <x:v>1</x:v>
      </x:c>
      <x:c r="E1663" s="103" t="str">
        <x:v>Material-row source portal</x:v>
      </x:c>
      <x:c r="F1663" s="103" t="str">
        <x:v>Source portal is identified, but edition/revision and property record locator remain unresolved.</x:v>
      </x:c>
    </x:row>
    <x:row r="1664">
      <x:c r="A1664" s="54" t="n">
        <x:v>5002</x:v>
      </x:c>
      <x:c r="B1664" s="54" t="n">
        <x:v>13</x:v>
      </x:c>
      <x:c r="C1664" s="54" t="n">
        <x:v>9</x:v>
      </x:c>
      <x:c r="D1664" s="54" t="n">
        <x:v>1</x:v>
      </x:c>
      <x:c r="E1664" s="103" t="str">
        <x:v>Material-row source portal</x:v>
      </x:c>
      <x:c r="F1664" s="103" t="str">
        <x:v>Source portal is identified, but edition/revision and property record locator remain unresolved.</x:v>
      </x:c>
    </x:row>
    <x:row r="1665">
      <x:c r="A1665" s="54" t="n">
        <x:v>5002</x:v>
      </x:c>
      <x:c r="B1665" s="54" t="n">
        <x:v>14</x:v>
      </x:c>
      <x:c r="C1665" s="54" t="n">
        <x:v>9</x:v>
      </x:c>
      <x:c r="D1665" s="54" t="n">
        <x:v>1</x:v>
      </x:c>
      <x:c r="E1665" s="103" t="str">
        <x:v>Material-row source portal</x:v>
      </x:c>
      <x:c r="F1665" s="103" t="str">
        <x:v>Source portal is identified, but edition/revision and property record locator remain unresolved.</x:v>
      </x:c>
    </x:row>
    <x:row r="1666">
      <x:c r="A1666" s="54" t="n">
        <x:v>5002</x:v>
      </x:c>
      <x:c r="B1666" s="54" t="n">
        <x:v>15</x:v>
      </x:c>
      <x:c r="C1666" s="54" t="n">
        <x:v>9</x:v>
      </x:c>
      <x:c r="D1666" s="54" t="n">
        <x:v>1</x:v>
      </x:c>
      <x:c r="E1666" s="103" t="str">
        <x:v>Material-row source portal</x:v>
      </x:c>
      <x:c r="F1666" s="103" t="str">
        <x:v>Source portal is identified, but edition/revision and property record locator remain unresolved.</x:v>
      </x:c>
    </x:row>
    <x:row r="1667">
      <x:c r="A1667" s="54" t="n">
        <x:v>5002</x:v>
      </x:c>
      <x:c r="B1667" s="54" t="n">
        <x:v>16</x:v>
      </x:c>
      <x:c r="C1667" s="54" t="n">
        <x:v>9</x:v>
      </x:c>
      <x:c r="D1667" s="54" t="n">
        <x:v>1</x:v>
      </x:c>
      <x:c r="E1667" s="103" t="str">
        <x:v>Material-row source portal</x:v>
      </x:c>
      <x:c r="F1667" s="103" t="str">
        <x:v>Source portal is identified, but edition/revision and property record locator remain unresolved.</x:v>
      </x:c>
    </x:row>
    <x:row r="1668">
      <x:c r="A1668" s="54" t="n">
        <x:v>5003</x:v>
      </x:c>
      <x:c r="B1668" s="54" t="n">
        <x:v>1</x:v>
      </x:c>
      <x:c r="C1668" s="54" t="n">
        <x:v>9</x:v>
      </x:c>
      <x:c r="D1668" s="54" t="n">
        <x:v>1</x:v>
      </x:c>
      <x:c r="E1668" s="103" t="str">
        <x:v>Material-row source portal</x:v>
      </x:c>
      <x:c r="F1668" s="103" t="str">
        <x:v>Source portal is identified, but edition/revision and property record locator remain unresolved.</x:v>
      </x:c>
    </x:row>
    <x:row r="1669">
      <x:c r="A1669" s="54" t="n">
        <x:v>5003</x:v>
      </x:c>
      <x:c r="B1669" s="54" t="n">
        <x:v>2</x:v>
      </x:c>
      <x:c r="C1669" s="54" t="n">
        <x:v>9</x:v>
      </x:c>
      <x:c r="D1669" s="54" t="n">
        <x:v>1</x:v>
      </x:c>
      <x:c r="E1669" s="103" t="str">
        <x:v>Material-row source portal</x:v>
      </x:c>
      <x:c r="F1669" s="103" t="str">
        <x:v>Source portal is identified, but edition/revision and property record locator remain unresolved.</x:v>
      </x:c>
    </x:row>
    <x:row r="1670">
      <x:c r="A1670" s="54" t="n">
        <x:v>5003</x:v>
      </x:c>
      <x:c r="B1670" s="54" t="n">
        <x:v>3</x:v>
      </x:c>
      <x:c r="C1670" s="54" t="n">
        <x:v>9</x:v>
      </x:c>
      <x:c r="D1670" s="54" t="n">
        <x:v>1</x:v>
      </x:c>
      <x:c r="E1670" s="103" t="str">
        <x:v>Formula-derived from E and Poisson ratio; input records inherit the material-row source</x:v>
      </x:c>
      <x:c r="F1670" s="103" t="str">
        <x:v>Source portal is identified, but edition/revision and property record locator remain unresolved.</x:v>
      </x:c>
    </x:row>
    <x:row r="1671">
      <x:c r="A1671" s="54" t="n">
        <x:v>5003</x:v>
      </x:c>
      <x:c r="B1671" s="54" t="n">
        <x:v>4</x:v>
      </x:c>
      <x:c r="C1671" s="54" t="n">
        <x:v>9</x:v>
      </x:c>
      <x:c r="D1671" s="54" t="n">
        <x:v>1</x:v>
      </x:c>
      <x:c r="E1671" s="103" t="str">
        <x:v>Material-row source portal</x:v>
      </x:c>
      <x:c r="F1671" s="103" t="str">
        <x:v>Source portal is identified, but edition/revision and property record locator remain unresolved.</x:v>
      </x:c>
    </x:row>
    <x:row r="1672">
      <x:c r="A1672" s="54" t="n">
        <x:v>5003</x:v>
      </x:c>
      <x:c r="B1672" s="54" t="n">
        <x:v>6</x:v>
      </x:c>
      <x:c r="C1672" s="54" t="n">
        <x:v>9</x:v>
      </x:c>
      <x:c r="D1672" s="54" t="n">
        <x:v>1</x:v>
      </x:c>
      <x:c r="E1672" s="103" t="str">
        <x:v>Material-row source portal</x:v>
      </x:c>
      <x:c r="F1672" s="103" t="str">
        <x:v>Source portal is identified, but edition/revision and property record locator remain unresolved.</x:v>
      </x:c>
    </x:row>
    <x:row r="1673">
      <x:c r="A1673" s="54" t="n">
        <x:v>5003</x:v>
      </x:c>
      <x:c r="B1673" s="54" t="n">
        <x:v>7</x:v>
      </x:c>
      <x:c r="C1673" s="54" t="n">
        <x:v>9</x:v>
      </x:c>
      <x:c r="D1673" s="54" t="n">
        <x:v>1</x:v>
      </x:c>
      <x:c r="E1673" s="103" t="str">
        <x:v>Material-row source portal</x:v>
      </x:c>
      <x:c r="F1673" s="103" t="str">
        <x:v>Source portal is identified, but edition/revision and property record locator remain unresolved.</x:v>
      </x:c>
    </x:row>
    <x:row r="1674">
      <x:c r="A1674" s="54" t="n">
        <x:v>5003</x:v>
      </x:c>
      <x:c r="B1674" s="54" t="n">
        <x:v>8</x:v>
      </x:c>
      <x:c r="C1674" s="54" t="n">
        <x:v>9</x:v>
      </x:c>
      <x:c r="D1674" s="54" t="n">
        <x:v>1</x:v>
      </x:c>
      <x:c r="E1674" s="103" t="str">
        <x:v>Material-row source portal</x:v>
      </x:c>
      <x:c r="F1674" s="103" t="str">
        <x:v>Source portal is identified, but edition/revision and property record locator remain unresolved.</x:v>
      </x:c>
    </x:row>
    <x:row r="1675">
      <x:c r="A1675" s="54" t="n">
        <x:v>5003</x:v>
      </x:c>
      <x:c r="B1675" s="54" t="n">
        <x:v>9</x:v>
      </x:c>
      <x:c r="C1675" s="54" t="n">
        <x:v>9</x:v>
      </x:c>
      <x:c r="D1675" s="54" t="n">
        <x:v>1</x:v>
      </x:c>
      <x:c r="E1675" s="103" t="str">
        <x:v>Material-row source portal</x:v>
      </x:c>
      <x:c r="F1675" s="103" t="str">
        <x:v>Source portal is identified, but edition/revision and property record locator remain unresolved.</x:v>
      </x:c>
    </x:row>
    <x:row r="1676">
      <x:c r="A1676" s="54" t="n">
        <x:v>5003</x:v>
      </x:c>
      <x:c r="B1676" s="54" t="n">
        <x:v>11</x:v>
      </x:c>
      <x:c r="C1676" s="54" t="n">
        <x:v>9</x:v>
      </x:c>
      <x:c r="D1676" s="54" t="n">
        <x:v>1</x:v>
      </x:c>
      <x:c r="E1676" s="103" t="str">
        <x:v>Material-row source portal</x:v>
      </x:c>
      <x:c r="F1676" s="103" t="str">
        <x:v>Source portal is identified, but edition/revision and property record locator remain unresolved.</x:v>
      </x:c>
    </x:row>
    <x:row r="1677">
      <x:c r="A1677" s="54" t="n">
        <x:v>5003</x:v>
      </x:c>
      <x:c r="B1677" s="54" t="n">
        <x:v>12</x:v>
      </x:c>
      <x:c r="C1677" s="54" t="n">
        <x:v>9</x:v>
      </x:c>
      <x:c r="D1677" s="54" t="n">
        <x:v>1</x:v>
      </x:c>
      <x:c r="E1677" s="103" t="str">
        <x:v>Material-row source portal</x:v>
      </x:c>
      <x:c r="F1677" s="103" t="str">
        <x:v>Source portal is identified, but edition/revision and property record locator remain unresolved.</x:v>
      </x:c>
    </x:row>
    <x:row r="1678">
      <x:c r="A1678" s="54" t="n">
        <x:v>5003</x:v>
      </x:c>
      <x:c r="B1678" s="54" t="n">
        <x:v>13</x:v>
      </x:c>
      <x:c r="C1678" s="54" t="n">
        <x:v>9</x:v>
      </x:c>
      <x:c r="D1678" s="54" t="n">
        <x:v>1</x:v>
      </x:c>
      <x:c r="E1678" s="103" t="str">
        <x:v>Material-row source portal</x:v>
      </x:c>
      <x:c r="F1678" s="103" t="str">
        <x:v>Source portal is identified, but edition/revision and property record locator remain unresolved.</x:v>
      </x:c>
    </x:row>
    <x:row r="1679">
      <x:c r="A1679" s="54" t="n">
        <x:v>5003</x:v>
      </x:c>
      <x:c r="B1679" s="54" t="n">
        <x:v>14</x:v>
      </x:c>
      <x:c r="C1679" s="54" t="n">
        <x:v>9</x:v>
      </x:c>
      <x:c r="D1679" s="54" t="n">
        <x:v>1</x:v>
      </x:c>
      <x:c r="E1679" s="103" t="str">
        <x:v>Material-row source portal</x:v>
      </x:c>
      <x:c r="F1679" s="103" t="str">
        <x:v>Source portal is identified, but edition/revision and property record locator remain unresolved.</x:v>
      </x:c>
    </x:row>
    <x:row r="1680">
      <x:c r="A1680" s="54" t="n">
        <x:v>5003</x:v>
      </x:c>
      <x:c r="B1680" s="54" t="n">
        <x:v>15</x:v>
      </x:c>
      <x:c r="C1680" s="54" t="n">
        <x:v>9</x:v>
      </x:c>
      <x:c r="D1680" s="54" t="n">
        <x:v>1</x:v>
      </x:c>
      <x:c r="E1680" s="103" t="str">
        <x:v>Material-row source portal</x:v>
      </x:c>
      <x:c r="F1680" s="103" t="str">
        <x:v>Source portal is identified, but edition/revision and property record locator remain unresolved.</x:v>
      </x:c>
    </x:row>
    <x:row r="1681">
      <x:c r="A1681" s="54" t="n">
        <x:v>5003</x:v>
      </x:c>
      <x:c r="B1681" s="54" t="n">
        <x:v>16</x:v>
      </x:c>
      <x:c r="C1681" s="54" t="n">
        <x:v>9</x:v>
      </x:c>
      <x:c r="D1681" s="54" t="n">
        <x:v>1</x:v>
      </x:c>
      <x:c r="E1681" s="103" t="str">
        <x:v>Material-row source portal</x:v>
      </x:c>
      <x:c r="F1681" s="103" t="str">
        <x:v>Source portal is identified, but edition/revision and property record locator remain unresolved.</x:v>
      </x:c>
    </x:row>
    <x:row r="1682">
      <x:c r="A1682" s="54" t="n">
        <x:v>5004</x:v>
      </x:c>
      <x:c r="B1682" s="54" t="n">
        <x:v>1</x:v>
      </x:c>
      <x:c r="C1682" s="54" t="n">
        <x:v>9</x:v>
      </x:c>
      <x:c r="D1682" s="54" t="n">
        <x:v>1</x:v>
      </x:c>
      <x:c r="E1682" s="103" t="str">
        <x:v>Material-row source portal</x:v>
      </x:c>
      <x:c r="F1682" s="103" t="str">
        <x:v>Source portal is identified, but edition/revision and property record locator remain unresolved.</x:v>
      </x:c>
    </x:row>
    <x:row r="1683">
      <x:c r="A1683" s="54" t="n">
        <x:v>5004</x:v>
      </x:c>
      <x:c r="B1683" s="54" t="n">
        <x:v>2</x:v>
      </x:c>
      <x:c r="C1683" s="54" t="n">
        <x:v>9</x:v>
      </x:c>
      <x:c r="D1683" s="54" t="n">
        <x:v>1</x:v>
      </x:c>
      <x:c r="E1683" s="103" t="str">
        <x:v>Material-row source portal</x:v>
      </x:c>
      <x:c r="F1683" s="103" t="str">
        <x:v>Source portal is identified, but edition/revision and property record locator remain unresolved.</x:v>
      </x:c>
    </x:row>
    <x:row r="1684">
      <x:c r="A1684" s="54" t="n">
        <x:v>5004</x:v>
      </x:c>
      <x:c r="B1684" s="54" t="n">
        <x:v>3</x:v>
      </x:c>
      <x:c r="C1684" s="54" t="n">
        <x:v>9</x:v>
      </x:c>
      <x:c r="D1684" s="54" t="n">
        <x:v>1</x:v>
      </x:c>
      <x:c r="E1684" s="103" t="str">
        <x:v>Formula-derived from E and Poisson ratio; input records inherit the material-row source</x:v>
      </x:c>
      <x:c r="F1684" s="103" t="str">
        <x:v>Source portal is identified, but edition/revision and property record locator remain unresolved.</x:v>
      </x:c>
    </x:row>
    <x:row r="1685">
      <x:c r="A1685" s="54" t="n">
        <x:v>5004</x:v>
      </x:c>
      <x:c r="B1685" s="54" t="n">
        <x:v>4</x:v>
      </x:c>
      <x:c r="C1685" s="54" t="n">
        <x:v>9</x:v>
      </x:c>
      <x:c r="D1685" s="54" t="n">
        <x:v>1</x:v>
      </x:c>
      <x:c r="E1685" s="103" t="str">
        <x:v>Material-row source portal</x:v>
      </x:c>
      <x:c r="F1685" s="103" t="str">
        <x:v>Source portal is identified, but edition/revision and property record locator remain unresolved.</x:v>
      </x:c>
    </x:row>
    <x:row r="1686">
      <x:c r="A1686" s="54" t="n">
        <x:v>5004</x:v>
      </x:c>
      <x:c r="B1686" s="54" t="n">
        <x:v>6</x:v>
      </x:c>
      <x:c r="C1686" s="54" t="n">
        <x:v>9</x:v>
      </x:c>
      <x:c r="D1686" s="54" t="n">
        <x:v>1</x:v>
      </x:c>
      <x:c r="E1686" s="103" t="str">
        <x:v>Material-row source portal</x:v>
      </x:c>
      <x:c r="F1686" s="103" t="str">
        <x:v>Source portal is identified, but edition/revision and property record locator remain unresolved.</x:v>
      </x:c>
    </x:row>
    <x:row r="1687">
      <x:c r="A1687" s="54" t="n">
        <x:v>5004</x:v>
      </x:c>
      <x:c r="B1687" s="54" t="n">
        <x:v>7</x:v>
      </x:c>
      <x:c r="C1687" s="54" t="n">
        <x:v>9</x:v>
      </x:c>
      <x:c r="D1687" s="54" t="n">
        <x:v>1</x:v>
      </x:c>
      <x:c r="E1687" s="103" t="str">
        <x:v>Material-row source portal</x:v>
      </x:c>
      <x:c r="F1687" s="103" t="str">
        <x:v>Source portal is identified, but edition/revision and property record locator remain unresolved.</x:v>
      </x:c>
    </x:row>
    <x:row r="1688">
      <x:c r="A1688" s="54" t="n">
        <x:v>5004</x:v>
      </x:c>
      <x:c r="B1688" s="54" t="n">
        <x:v>8</x:v>
      </x:c>
      <x:c r="C1688" s="54" t="n">
        <x:v>9</x:v>
      </x:c>
      <x:c r="D1688" s="54" t="n">
        <x:v>1</x:v>
      </x:c>
      <x:c r="E1688" s="103" t="str">
        <x:v>Material-row source portal</x:v>
      </x:c>
      <x:c r="F1688" s="103" t="str">
        <x:v>Source portal is identified, but edition/revision and property record locator remain unresolved.</x:v>
      </x:c>
    </x:row>
    <x:row r="1689">
      <x:c r="A1689" s="54" t="n">
        <x:v>5004</x:v>
      </x:c>
      <x:c r="B1689" s="54" t="n">
        <x:v>9</x:v>
      </x:c>
      <x:c r="C1689" s="54" t="n">
        <x:v>9</x:v>
      </x:c>
      <x:c r="D1689" s="54" t="n">
        <x:v>1</x:v>
      </x:c>
      <x:c r="E1689" s="103" t="str">
        <x:v>Material-row source portal</x:v>
      </x:c>
      <x:c r="F1689" s="103" t="str">
        <x:v>Source portal is identified, but edition/revision and property record locator remain unresolved.</x:v>
      </x:c>
    </x:row>
    <x:row r="1690">
      <x:c r="A1690" s="54" t="n">
        <x:v>5004</x:v>
      </x:c>
      <x:c r="B1690" s="54" t="n">
        <x:v>11</x:v>
      </x:c>
      <x:c r="C1690" s="54" t="n">
        <x:v>9</x:v>
      </x:c>
      <x:c r="D1690" s="54" t="n">
        <x:v>1</x:v>
      </x:c>
      <x:c r="E1690" s="103" t="str">
        <x:v>Material-row source portal</x:v>
      </x:c>
      <x:c r="F1690" s="103" t="str">
        <x:v>Source portal is identified, but edition/revision and property record locator remain unresolved.</x:v>
      </x:c>
    </x:row>
    <x:row r="1691">
      <x:c r="A1691" s="54" t="n">
        <x:v>5004</x:v>
      </x:c>
      <x:c r="B1691" s="54" t="n">
        <x:v>12</x:v>
      </x:c>
      <x:c r="C1691" s="54" t="n">
        <x:v>9</x:v>
      </x:c>
      <x:c r="D1691" s="54" t="n">
        <x:v>1</x:v>
      </x:c>
      <x:c r="E1691" s="103" t="str">
        <x:v>Material-row source portal</x:v>
      </x:c>
      <x:c r="F1691" s="103" t="str">
        <x:v>Source portal is identified, but edition/revision and property record locator remain unresolved.</x:v>
      </x:c>
    </x:row>
    <x:row r="1692">
      <x:c r="A1692" s="54" t="n">
        <x:v>5004</x:v>
      </x:c>
      <x:c r="B1692" s="54" t="n">
        <x:v>13</x:v>
      </x:c>
      <x:c r="C1692" s="54" t="n">
        <x:v>9</x:v>
      </x:c>
      <x:c r="D1692" s="54" t="n">
        <x:v>1</x:v>
      </x:c>
      <x:c r="E1692" s="103" t="str">
        <x:v>Material-row source portal</x:v>
      </x:c>
      <x:c r="F1692" s="103" t="str">
        <x:v>Source portal is identified, but edition/revision and property record locator remain unresolved.</x:v>
      </x:c>
    </x:row>
    <x:row r="1693">
      <x:c r="A1693" s="54" t="n">
        <x:v>5004</x:v>
      </x:c>
      <x:c r="B1693" s="54" t="n">
        <x:v>14</x:v>
      </x:c>
      <x:c r="C1693" s="54" t="n">
        <x:v>9</x:v>
      </x:c>
      <x:c r="D1693" s="54" t="n">
        <x:v>1</x:v>
      </x:c>
      <x:c r="E1693" s="103" t="str">
        <x:v>Material-row source portal</x:v>
      </x:c>
      <x:c r="F1693" s="103" t="str">
        <x:v>Source portal is identified, but edition/revision and property record locator remain unresolved.</x:v>
      </x:c>
    </x:row>
    <x:row r="1694">
      <x:c r="A1694" s="54" t="n">
        <x:v>5004</x:v>
      </x:c>
      <x:c r="B1694" s="54" t="n">
        <x:v>15</x:v>
      </x:c>
      <x:c r="C1694" s="54" t="n">
        <x:v>9</x:v>
      </x:c>
      <x:c r="D1694" s="54" t="n">
        <x:v>1</x:v>
      </x:c>
      <x:c r="E1694" s="103" t="str">
        <x:v>Material-row source portal</x:v>
      </x:c>
      <x:c r="F1694" s="103" t="str">
        <x:v>Source portal is identified, but edition/revision and property record locator remain unresolved.</x:v>
      </x:c>
    </x:row>
    <x:row r="1695">
      <x:c r="A1695" s="54" t="n">
        <x:v>5004</x:v>
      </x:c>
      <x:c r="B1695" s="54" t="n">
        <x:v>16</x:v>
      </x:c>
      <x:c r="C1695" s="54" t="n">
        <x:v>9</x:v>
      </x:c>
      <x:c r="D1695" s="54" t="n">
        <x:v>1</x:v>
      </x:c>
      <x:c r="E1695" s="103" t="str">
        <x:v>Material-row source portal</x:v>
      </x:c>
      <x:c r="F1695" s="103" t="str">
        <x:v>Source portal is identified, but edition/revision and property record locator remain unresolved.</x:v>
      </x:c>
    </x:row>
    <x:row r="1696">
      <x:c r="A1696" s="54" t="n">
        <x:v>5005</x:v>
      </x:c>
      <x:c r="B1696" s="54" t="n">
        <x:v>1</x:v>
      </x:c>
      <x:c r="C1696" s="54" t="n">
        <x:v>9</x:v>
      </x:c>
      <x:c r="D1696" s="54" t="n">
        <x:v>1</x:v>
      </x:c>
      <x:c r="E1696" s="103" t="str">
        <x:v>Material-row source portal</x:v>
      </x:c>
      <x:c r="F1696" s="103" t="str">
        <x:v>Source portal is identified, but edition/revision and property record locator remain unresolved.</x:v>
      </x:c>
    </x:row>
    <x:row r="1697">
      <x:c r="A1697" s="54" t="n">
        <x:v>5005</x:v>
      </x:c>
      <x:c r="B1697" s="54" t="n">
        <x:v>2</x:v>
      </x:c>
      <x:c r="C1697" s="54" t="n">
        <x:v>9</x:v>
      </x:c>
      <x:c r="D1697" s="54" t="n">
        <x:v>1</x:v>
      </x:c>
      <x:c r="E1697" s="103" t="str">
        <x:v>Material-row source portal</x:v>
      </x:c>
      <x:c r="F1697" s="103" t="str">
        <x:v>Source portal is identified, but edition/revision and property record locator remain unresolved.</x:v>
      </x:c>
    </x:row>
    <x:row r="1698">
      <x:c r="A1698" s="54" t="n">
        <x:v>5005</x:v>
      </x:c>
      <x:c r="B1698" s="54" t="n">
        <x:v>3</x:v>
      </x:c>
      <x:c r="C1698" s="54" t="n">
        <x:v>9</x:v>
      </x:c>
      <x:c r="D1698" s="54" t="n">
        <x:v>1</x:v>
      </x:c>
      <x:c r="E1698" s="103" t="str">
        <x:v>Formula-derived from E and Poisson ratio; input records inherit the material-row source</x:v>
      </x:c>
      <x:c r="F1698" s="103" t="str">
        <x:v>Source portal is identified, but edition/revision and property record locator remain unresolved.</x:v>
      </x:c>
    </x:row>
    <x:row r="1699">
      <x:c r="A1699" s="54" t="n">
        <x:v>5005</x:v>
      </x:c>
      <x:c r="B1699" s="54" t="n">
        <x:v>4</x:v>
      </x:c>
      <x:c r="C1699" s="54" t="n">
        <x:v>9</x:v>
      </x:c>
      <x:c r="D1699" s="54" t="n">
        <x:v>1</x:v>
      </x:c>
      <x:c r="E1699" s="103" t="str">
        <x:v>Material-row source portal</x:v>
      </x:c>
      <x:c r="F1699" s="103" t="str">
        <x:v>Source portal is identified, but edition/revision and property record locator remain unresolved.</x:v>
      </x:c>
    </x:row>
    <x:row r="1700">
      <x:c r="A1700" s="54" t="n">
        <x:v>5005</x:v>
      </x:c>
      <x:c r="B1700" s="54" t="n">
        <x:v>6</x:v>
      </x:c>
      <x:c r="C1700" s="54" t="n">
        <x:v>9</x:v>
      </x:c>
      <x:c r="D1700" s="54" t="n">
        <x:v>1</x:v>
      </x:c>
      <x:c r="E1700" s="103" t="str">
        <x:v>Material-row source portal</x:v>
      </x:c>
      <x:c r="F1700" s="103" t="str">
        <x:v>Source portal is identified, but edition/revision and property record locator remain unresolved.</x:v>
      </x:c>
    </x:row>
    <x:row r="1701">
      <x:c r="A1701" s="54" t="n">
        <x:v>5005</x:v>
      </x:c>
      <x:c r="B1701" s="54" t="n">
        <x:v>7</x:v>
      </x:c>
      <x:c r="C1701" s="54" t="n">
        <x:v>9</x:v>
      </x:c>
      <x:c r="D1701" s="54" t="n">
        <x:v>1</x:v>
      </x:c>
      <x:c r="E1701" s="103" t="str">
        <x:v>Material-row source portal</x:v>
      </x:c>
      <x:c r="F1701" s="103" t="str">
        <x:v>Source portal is identified, but edition/revision and property record locator remain unresolved.</x:v>
      </x:c>
    </x:row>
    <x:row r="1702">
      <x:c r="A1702" s="54" t="n">
        <x:v>5005</x:v>
      </x:c>
      <x:c r="B1702" s="54" t="n">
        <x:v>8</x:v>
      </x:c>
      <x:c r="C1702" s="54" t="n">
        <x:v>9</x:v>
      </x:c>
      <x:c r="D1702" s="54" t="n">
        <x:v>1</x:v>
      </x:c>
      <x:c r="E1702" s="103" t="str">
        <x:v>Material-row source portal</x:v>
      </x:c>
      <x:c r="F1702" s="103" t="str">
        <x:v>Source portal is identified, but edition/revision and property record locator remain unresolved.</x:v>
      </x:c>
    </x:row>
    <x:row r="1703">
      <x:c r="A1703" s="54" t="n">
        <x:v>5005</x:v>
      </x:c>
      <x:c r="B1703" s="54" t="n">
        <x:v>9</x:v>
      </x:c>
      <x:c r="C1703" s="54" t="n">
        <x:v>9</x:v>
      </x:c>
      <x:c r="D1703" s="54" t="n">
        <x:v>1</x:v>
      </x:c>
      <x:c r="E1703" s="103" t="str">
        <x:v>Material-row source portal</x:v>
      </x:c>
      <x:c r="F1703" s="103" t="str">
        <x:v>Source portal is identified, but edition/revision and property record locator remain unresolved.</x:v>
      </x:c>
    </x:row>
    <x:row r="1704">
      <x:c r="A1704" s="54" t="n">
        <x:v>5005</x:v>
      </x:c>
      <x:c r="B1704" s="54" t="n">
        <x:v>11</x:v>
      </x:c>
      <x:c r="C1704" s="54" t="n">
        <x:v>9</x:v>
      </x:c>
      <x:c r="D1704" s="54" t="n">
        <x:v>1</x:v>
      </x:c>
      <x:c r="E1704" s="103" t="str">
        <x:v>Material-row source portal</x:v>
      </x:c>
      <x:c r="F1704" s="103" t="str">
        <x:v>Source portal is identified, but edition/revision and property record locator remain unresolved.</x:v>
      </x:c>
    </x:row>
    <x:row r="1705">
      <x:c r="A1705" s="54" t="n">
        <x:v>5005</x:v>
      </x:c>
      <x:c r="B1705" s="54" t="n">
        <x:v>12</x:v>
      </x:c>
      <x:c r="C1705" s="54" t="n">
        <x:v>9</x:v>
      </x:c>
      <x:c r="D1705" s="54" t="n">
        <x:v>1</x:v>
      </x:c>
      <x:c r="E1705" s="103" t="str">
        <x:v>Material-row source portal</x:v>
      </x:c>
      <x:c r="F1705" s="103" t="str">
        <x:v>Source portal is identified, but edition/revision and property record locator remain unresolved.</x:v>
      </x:c>
    </x:row>
    <x:row r="1706">
      <x:c r="A1706" s="54" t="n">
        <x:v>5005</x:v>
      </x:c>
      <x:c r="B1706" s="54" t="n">
        <x:v>13</x:v>
      </x:c>
      <x:c r="C1706" s="54" t="n">
        <x:v>9</x:v>
      </x:c>
      <x:c r="D1706" s="54" t="n">
        <x:v>1</x:v>
      </x:c>
      <x:c r="E1706" s="103" t="str">
        <x:v>Material-row source portal</x:v>
      </x:c>
      <x:c r="F1706" s="103" t="str">
        <x:v>Source portal is identified, but edition/revision and property record locator remain unresolved.</x:v>
      </x:c>
    </x:row>
    <x:row r="1707">
      <x:c r="A1707" s="54" t="n">
        <x:v>5005</x:v>
      </x:c>
      <x:c r="B1707" s="54" t="n">
        <x:v>14</x:v>
      </x:c>
      <x:c r="C1707" s="54" t="n">
        <x:v>9</x:v>
      </x:c>
      <x:c r="D1707" s="54" t="n">
        <x:v>1</x:v>
      </x:c>
      <x:c r="E1707" s="103" t="str">
        <x:v>Material-row source portal</x:v>
      </x:c>
      <x:c r="F1707" s="103" t="str">
        <x:v>Source portal is identified, but edition/revision and property record locator remain unresolved.</x:v>
      </x:c>
    </x:row>
    <x:row r="1708">
      <x:c r="A1708" s="54" t="n">
        <x:v>5005</x:v>
      </x:c>
      <x:c r="B1708" s="54" t="n">
        <x:v>15</x:v>
      </x:c>
      <x:c r="C1708" s="54" t="n">
        <x:v>9</x:v>
      </x:c>
      <x:c r="D1708" s="54" t="n">
        <x:v>1</x:v>
      </x:c>
      <x:c r="E1708" s="103" t="str">
        <x:v>Material-row source portal</x:v>
      </x:c>
      <x:c r="F1708" s="103" t="str">
        <x:v>Source portal is identified, but edition/revision and property record locator remain unresolved.</x:v>
      </x:c>
    </x:row>
    <x:row r="1709">
      <x:c r="A1709" s="54" t="n">
        <x:v>5005</x:v>
      </x:c>
      <x:c r="B1709" s="54" t="n">
        <x:v>16</x:v>
      </x:c>
      <x:c r="C1709" s="54" t="n">
        <x:v>9</x:v>
      </x:c>
      <x:c r="D1709" s="54" t="n">
        <x:v>1</x:v>
      </x:c>
      <x:c r="E1709" s="103" t="str">
        <x:v>Material-row source portal</x:v>
      </x:c>
      <x:c r="F1709" s="103" t="str">
        <x:v>Source portal is identified, but edition/revision and property record locator remain unresolved.</x:v>
      </x:c>
    </x:row>
    <x:row r="1710">
      <x:c r="A1710" s="54" t="n">
        <x:v>5101</x:v>
      </x:c>
      <x:c r="B1710" s="54" t="n">
        <x:v>1</x:v>
      </x:c>
      <x:c r="C1710" s="54" t="n">
        <x:v>7</x:v>
      </x:c>
      <x:c r="D1710" s="54" t="n">
        <x:v>1</x:v>
      </x:c>
      <x:c r="E1710" s="103" t="str">
        <x:v>Material-row source portal</x:v>
      </x:c>
      <x:c r="F1710" s="103" t="str">
        <x:v>Source portal is identified, but edition/revision and property record locator remain unresolved.</x:v>
      </x:c>
    </x:row>
    <x:row r="1711">
      <x:c r="A1711" s="54" t="n">
        <x:v>5101</x:v>
      </x:c>
      <x:c r="B1711" s="54" t="n">
        <x:v>2</x:v>
      </x:c>
      <x:c r="C1711" s="54" t="n">
        <x:v>7</x:v>
      </x:c>
      <x:c r="D1711" s="54" t="n">
        <x:v>1</x:v>
      </x:c>
      <x:c r="E1711" s="103" t="str">
        <x:v>Material-row source portal</x:v>
      </x:c>
      <x:c r="F1711" s="103" t="str">
        <x:v>Source portal is identified, but edition/revision and property record locator remain unresolved.</x:v>
      </x:c>
    </x:row>
    <x:row r="1712">
      <x:c r="A1712" s="54" t="n">
        <x:v>5101</x:v>
      </x:c>
      <x:c r="B1712" s="54" t="n">
        <x:v>3</x:v>
      </x:c>
      <x:c r="C1712" s="54" t="n">
        <x:v>7</x:v>
      </x:c>
      <x:c r="D1712" s="54" t="n">
        <x:v>1</x:v>
      </x:c>
      <x:c r="E1712" s="103" t="str">
        <x:v>Formula-derived from E and Poisson ratio; input records inherit the material-row source</x:v>
      </x:c>
      <x:c r="F1712" s="103" t="str">
        <x:v>Source portal is identified, but edition/revision and property record locator remain unresolved.</x:v>
      </x:c>
    </x:row>
    <x:row r="1713">
      <x:c r="A1713" s="54" t="n">
        <x:v>5101</x:v>
      </x:c>
      <x:c r="B1713" s="54" t="n">
        <x:v>4</x:v>
      </x:c>
      <x:c r="C1713" s="54" t="n">
        <x:v>7</x:v>
      </x:c>
      <x:c r="D1713" s="54" t="n">
        <x:v>1</x:v>
      </x:c>
      <x:c r="E1713" s="103" t="str">
        <x:v>Material-row source portal</x:v>
      </x:c>
      <x:c r="F1713" s="103" t="str">
        <x:v>Source portal is identified, but edition/revision and property record locator remain unresolved.</x:v>
      </x:c>
    </x:row>
    <x:row r="1714">
      <x:c r="A1714" s="54" t="n">
        <x:v>5101</x:v>
      </x:c>
      <x:c r="B1714" s="54" t="n">
        <x:v>6</x:v>
      </x:c>
      <x:c r="C1714" s="54" t="n">
        <x:v>7</x:v>
      </x:c>
      <x:c r="D1714" s="54" t="n">
        <x:v>1</x:v>
      </x:c>
      <x:c r="E1714" s="103" t="str">
        <x:v>Material-row source portal</x:v>
      </x:c>
      <x:c r="F1714" s="103" t="str">
        <x:v>Source portal is identified, but edition/revision and property record locator remain unresolved.</x:v>
      </x:c>
    </x:row>
    <x:row r="1715">
      <x:c r="A1715" s="54" t="n">
        <x:v>5101</x:v>
      </x:c>
      <x:c r="B1715" s="54" t="n">
        <x:v>7</x:v>
      </x:c>
      <x:c r="C1715" s="54" t="n">
        <x:v>7</x:v>
      </x:c>
      <x:c r="D1715" s="54" t="n">
        <x:v>1</x:v>
      </x:c>
      <x:c r="E1715" s="103" t="str">
        <x:v>Material-row source portal</x:v>
      </x:c>
      <x:c r="F1715" s="103" t="str">
        <x:v>Source portal is identified, but edition/revision and property record locator remain unresolved.</x:v>
      </x:c>
    </x:row>
    <x:row r="1716">
      <x:c r="A1716" s="54" t="n">
        <x:v>5101</x:v>
      </x:c>
      <x:c r="B1716" s="54" t="n">
        <x:v>8</x:v>
      </x:c>
      <x:c r="C1716" s="54" t="n">
        <x:v>7</x:v>
      </x:c>
      <x:c r="D1716" s="54" t="n">
        <x:v>1</x:v>
      </x:c>
      <x:c r="E1716" s="103" t="str">
        <x:v>Material-row source portal</x:v>
      </x:c>
      <x:c r="F1716" s="103" t="str">
        <x:v>Source portal is identified, but edition/revision and property record locator remain unresolved.</x:v>
      </x:c>
    </x:row>
    <x:row r="1717">
      <x:c r="A1717" s="54" t="n">
        <x:v>5101</x:v>
      </x:c>
      <x:c r="B1717" s="54" t="n">
        <x:v>9</x:v>
      </x:c>
      <x:c r="C1717" s="54" t="n">
        <x:v>7</x:v>
      </x:c>
      <x:c r="D1717" s="54" t="n">
        <x:v>1</x:v>
      </x:c>
      <x:c r="E1717" s="103" t="str">
        <x:v>Material-row source portal</x:v>
      </x:c>
      <x:c r="F1717" s="103" t="str">
        <x:v>Source portal is identified, but edition/revision and property record locator remain unresolved.</x:v>
      </x:c>
    </x:row>
    <x:row r="1718">
      <x:c r="A1718" s="54" t="n">
        <x:v>5101</x:v>
      </x:c>
      <x:c r="B1718" s="54" t="n">
        <x:v>11</x:v>
      </x:c>
      <x:c r="C1718" s="54" t="n">
        <x:v>7</x:v>
      </x:c>
      <x:c r="D1718" s="54" t="n">
        <x:v>1</x:v>
      </x:c>
      <x:c r="E1718" s="103" t="str">
        <x:v>Material-row source portal</x:v>
      </x:c>
      <x:c r="F1718" s="103" t="str">
        <x:v>Source portal is identified, but edition/revision and property record locator remain unresolved.</x:v>
      </x:c>
    </x:row>
    <x:row r="1719">
      <x:c r="A1719" s="54" t="n">
        <x:v>5101</x:v>
      </x:c>
      <x:c r="B1719" s="54" t="n">
        <x:v>12</x:v>
      </x:c>
      <x:c r="C1719" s="54" t="n">
        <x:v>7</x:v>
      </x:c>
      <x:c r="D1719" s="54" t="n">
        <x:v>1</x:v>
      </x:c>
      <x:c r="E1719" s="103" t="str">
        <x:v>Material-row source portal</x:v>
      </x:c>
      <x:c r="F1719" s="103" t="str">
        <x:v>Source portal is identified, but edition/revision and property record locator remain unresolved.</x:v>
      </x:c>
    </x:row>
    <x:row r="1720">
      <x:c r="A1720" s="54" t="n">
        <x:v>5101</x:v>
      </x:c>
      <x:c r="B1720" s="54" t="n">
        <x:v>13</x:v>
      </x:c>
      <x:c r="C1720" s="54" t="n">
        <x:v>7</x:v>
      </x:c>
      <x:c r="D1720" s="54" t="n">
        <x:v>1</x:v>
      </x:c>
      <x:c r="E1720" s="103" t="str">
        <x:v>Material-row source portal</x:v>
      </x:c>
      <x:c r="F1720" s="103" t="str">
        <x:v>Source portal is identified, but edition/revision and property record locator remain unresolved.</x:v>
      </x:c>
    </x:row>
    <x:row r="1721">
      <x:c r="A1721" s="54" t="n">
        <x:v>5101</x:v>
      </x:c>
      <x:c r="B1721" s="54" t="n">
        <x:v>14</x:v>
      </x:c>
      <x:c r="C1721" s="54" t="n">
        <x:v>7</x:v>
      </x:c>
      <x:c r="D1721" s="54" t="n">
        <x:v>1</x:v>
      </x:c>
      <x:c r="E1721" s="103" t="str">
        <x:v>Material-row source portal</x:v>
      </x:c>
      <x:c r="F1721" s="103" t="str">
        <x:v>Source portal is identified, but edition/revision and property record locator remain unresolved.</x:v>
      </x:c>
    </x:row>
    <x:row r="1722">
      <x:c r="A1722" s="54" t="n">
        <x:v>5101</x:v>
      </x:c>
      <x:c r="B1722" s="54" t="n">
        <x:v>15</x:v>
      </x:c>
      <x:c r="C1722" s="54" t="n">
        <x:v>7</x:v>
      </x:c>
      <x:c r="D1722" s="54" t="n">
        <x:v>1</x:v>
      </x:c>
      <x:c r="E1722" s="103" t="str">
        <x:v>Material-row source portal</x:v>
      </x:c>
      <x:c r="F1722" s="103" t="str">
        <x:v>Source portal is identified, but edition/revision and property record locator remain unresolved.</x:v>
      </x:c>
    </x:row>
    <x:row r="1723">
      <x:c r="A1723" s="54" t="n">
        <x:v>5101</x:v>
      </x:c>
      <x:c r="B1723" s="54" t="n">
        <x:v>16</x:v>
      </x:c>
      <x:c r="C1723" s="54" t="n">
        <x:v>7</x:v>
      </x:c>
      <x:c r="D1723" s="54" t="n">
        <x:v>1</x:v>
      </x:c>
      <x:c r="E1723" s="103" t="str">
        <x:v>Material-row source portal</x:v>
      </x:c>
      <x:c r="F1723" s="103" t="str">
        <x:v>Source portal is identified, but edition/revision and property record locator remain unresolved.</x:v>
      </x:c>
    </x:row>
    <x:row r="1724">
      <x:c r="A1724" s="54" t="n">
        <x:v>5102</x:v>
      </x:c>
      <x:c r="B1724" s="54" t="n">
        <x:v>1</x:v>
      </x:c>
      <x:c r="C1724" s="54" t="n">
        <x:v>7</x:v>
      </x:c>
      <x:c r="D1724" s="54" t="n">
        <x:v>1</x:v>
      </x:c>
      <x:c r="E1724" s="103" t="str">
        <x:v>Material-row source portal</x:v>
      </x:c>
      <x:c r="F1724" s="103" t="str">
        <x:v>Source portal is identified, but edition/revision and property record locator remain unresolved.</x:v>
      </x:c>
    </x:row>
    <x:row r="1725">
      <x:c r="A1725" s="54" t="n">
        <x:v>5102</x:v>
      </x:c>
      <x:c r="B1725" s="54" t="n">
        <x:v>2</x:v>
      </x:c>
      <x:c r="C1725" s="54" t="n">
        <x:v>7</x:v>
      </x:c>
      <x:c r="D1725" s="54" t="n">
        <x:v>1</x:v>
      </x:c>
      <x:c r="E1725" s="103" t="str">
        <x:v>Material-row source portal</x:v>
      </x:c>
      <x:c r="F1725" s="103" t="str">
        <x:v>Source portal is identified, but edition/revision and property record locator remain unresolved.</x:v>
      </x:c>
    </x:row>
    <x:row r="1726">
      <x:c r="A1726" s="54" t="n">
        <x:v>5102</x:v>
      </x:c>
      <x:c r="B1726" s="54" t="n">
        <x:v>3</x:v>
      </x:c>
      <x:c r="C1726" s="54" t="n">
        <x:v>7</x:v>
      </x:c>
      <x:c r="D1726" s="54" t="n">
        <x:v>1</x:v>
      </x:c>
      <x:c r="E1726" s="103" t="str">
        <x:v>Formula-derived from E and Poisson ratio; input records inherit the material-row source</x:v>
      </x:c>
      <x:c r="F1726" s="103" t="str">
        <x:v>Source portal is identified, but edition/revision and property record locator remain unresolved.</x:v>
      </x:c>
    </x:row>
    <x:row r="1727">
      <x:c r="A1727" s="54" t="n">
        <x:v>5102</x:v>
      </x:c>
      <x:c r="B1727" s="54" t="n">
        <x:v>4</x:v>
      </x:c>
      <x:c r="C1727" s="54" t="n">
        <x:v>7</x:v>
      </x:c>
      <x:c r="D1727" s="54" t="n">
        <x:v>1</x:v>
      </x:c>
      <x:c r="E1727" s="103" t="str">
        <x:v>Material-row source portal</x:v>
      </x:c>
      <x:c r="F1727" s="103" t="str">
        <x:v>Source portal is identified, but edition/revision and property record locator remain unresolved.</x:v>
      </x:c>
    </x:row>
    <x:row r="1728">
      <x:c r="A1728" s="54" t="n">
        <x:v>5102</x:v>
      </x:c>
      <x:c r="B1728" s="54" t="n">
        <x:v>6</x:v>
      </x:c>
      <x:c r="C1728" s="54" t="n">
        <x:v>7</x:v>
      </x:c>
      <x:c r="D1728" s="54" t="n">
        <x:v>1</x:v>
      </x:c>
      <x:c r="E1728" s="103" t="str">
        <x:v>Material-row source portal</x:v>
      </x:c>
      <x:c r="F1728" s="103" t="str">
        <x:v>Source portal is identified, but edition/revision and property record locator remain unresolved.</x:v>
      </x:c>
    </x:row>
    <x:row r="1729">
      <x:c r="A1729" s="54" t="n">
        <x:v>5102</x:v>
      </x:c>
      <x:c r="B1729" s="54" t="n">
        <x:v>7</x:v>
      </x:c>
      <x:c r="C1729" s="54" t="n">
        <x:v>7</x:v>
      </x:c>
      <x:c r="D1729" s="54" t="n">
        <x:v>1</x:v>
      </x:c>
      <x:c r="E1729" s="103" t="str">
        <x:v>Material-row source portal</x:v>
      </x:c>
      <x:c r="F1729" s="103" t="str">
        <x:v>Source portal is identified, but edition/revision and property record locator remain unresolved.</x:v>
      </x:c>
    </x:row>
    <x:row r="1730">
      <x:c r="A1730" s="54" t="n">
        <x:v>5102</x:v>
      </x:c>
      <x:c r="B1730" s="54" t="n">
        <x:v>8</x:v>
      </x:c>
      <x:c r="C1730" s="54" t="n">
        <x:v>7</x:v>
      </x:c>
      <x:c r="D1730" s="54" t="n">
        <x:v>1</x:v>
      </x:c>
      <x:c r="E1730" s="103" t="str">
        <x:v>Material-row source portal</x:v>
      </x:c>
      <x:c r="F1730" s="103" t="str">
        <x:v>Source portal is identified, but edition/revision and property record locator remain unresolved.</x:v>
      </x:c>
    </x:row>
    <x:row r="1731">
      <x:c r="A1731" s="54" t="n">
        <x:v>5102</x:v>
      </x:c>
      <x:c r="B1731" s="54" t="n">
        <x:v>9</x:v>
      </x:c>
      <x:c r="C1731" s="54" t="n">
        <x:v>7</x:v>
      </x:c>
      <x:c r="D1731" s="54" t="n">
        <x:v>1</x:v>
      </x:c>
      <x:c r="E1731" s="103" t="str">
        <x:v>Material-row source portal</x:v>
      </x:c>
      <x:c r="F1731" s="103" t="str">
        <x:v>Source portal is identified, but edition/revision and property record locator remain unresolved.</x:v>
      </x:c>
    </x:row>
    <x:row r="1732">
      <x:c r="A1732" s="54" t="n">
        <x:v>5102</x:v>
      </x:c>
      <x:c r="B1732" s="54" t="n">
        <x:v>11</x:v>
      </x:c>
      <x:c r="C1732" s="54" t="n">
        <x:v>7</x:v>
      </x:c>
      <x:c r="D1732" s="54" t="n">
        <x:v>1</x:v>
      </x:c>
      <x:c r="E1732" s="103" t="str">
        <x:v>Material-row source portal</x:v>
      </x:c>
      <x:c r="F1732" s="103" t="str">
        <x:v>Source portal is identified, but edition/revision and property record locator remain unresolved.</x:v>
      </x:c>
    </x:row>
    <x:row r="1733">
      <x:c r="A1733" s="54" t="n">
        <x:v>5102</x:v>
      </x:c>
      <x:c r="B1733" s="54" t="n">
        <x:v>12</x:v>
      </x:c>
      <x:c r="C1733" s="54" t="n">
        <x:v>7</x:v>
      </x:c>
      <x:c r="D1733" s="54" t="n">
        <x:v>1</x:v>
      </x:c>
      <x:c r="E1733" s="103" t="str">
        <x:v>Material-row source portal</x:v>
      </x:c>
      <x:c r="F1733" s="103" t="str">
        <x:v>Source portal is identified, but edition/revision and property record locator remain unresolved.</x:v>
      </x:c>
    </x:row>
    <x:row r="1734">
      <x:c r="A1734" s="54" t="n">
        <x:v>5102</x:v>
      </x:c>
      <x:c r="B1734" s="54" t="n">
        <x:v>13</x:v>
      </x:c>
      <x:c r="C1734" s="54" t="n">
        <x:v>7</x:v>
      </x:c>
      <x:c r="D1734" s="54" t="n">
        <x:v>1</x:v>
      </x:c>
      <x:c r="E1734" s="103" t="str">
        <x:v>Material-row source portal</x:v>
      </x:c>
      <x:c r="F1734" s="103" t="str">
        <x:v>Source portal is identified, but edition/revision and property record locator remain unresolved.</x:v>
      </x:c>
    </x:row>
    <x:row r="1735">
      <x:c r="A1735" s="54" t="n">
        <x:v>5102</x:v>
      </x:c>
      <x:c r="B1735" s="54" t="n">
        <x:v>14</x:v>
      </x:c>
      <x:c r="C1735" s="54" t="n">
        <x:v>7</x:v>
      </x:c>
      <x:c r="D1735" s="54" t="n">
        <x:v>1</x:v>
      </x:c>
      <x:c r="E1735" s="103" t="str">
        <x:v>Material-row source portal</x:v>
      </x:c>
      <x:c r="F1735" s="103" t="str">
        <x:v>Source portal is identified, but edition/revision and property record locator remain unresolved.</x:v>
      </x:c>
    </x:row>
    <x:row r="1736">
      <x:c r="A1736" s="54" t="n">
        <x:v>5102</x:v>
      </x:c>
      <x:c r="B1736" s="54" t="n">
        <x:v>15</x:v>
      </x:c>
      <x:c r="C1736" s="54" t="n">
        <x:v>7</x:v>
      </x:c>
      <x:c r="D1736" s="54" t="n">
        <x:v>1</x:v>
      </x:c>
      <x:c r="E1736" s="103" t="str">
        <x:v>Material-row source portal</x:v>
      </x:c>
      <x:c r="F1736" s="103" t="str">
        <x:v>Source portal is identified, but edition/revision and property record locator remain unresolved.</x:v>
      </x:c>
    </x:row>
    <x:row r="1737">
      <x:c r="A1737" s="54" t="n">
        <x:v>5102</x:v>
      </x:c>
      <x:c r="B1737" s="54" t="n">
        <x:v>16</x:v>
      </x:c>
      <x:c r="C1737" s="54" t="n">
        <x:v>7</x:v>
      </x:c>
      <x:c r="D1737" s="54" t="n">
        <x:v>1</x:v>
      </x:c>
      <x:c r="E1737" s="103" t="str">
        <x:v>Material-row source portal</x:v>
      </x:c>
      <x:c r="F1737" s="103" t="str">
        <x:v>Source portal is identified, but edition/revision and property record locator remain unresolved.</x:v>
      </x:c>
    </x:row>
    <x:row r="1738">
      <x:c r="A1738" s="54" t="n">
        <x:v>5103</x:v>
      </x:c>
      <x:c r="B1738" s="54" t="n">
        <x:v>1</x:v>
      </x:c>
      <x:c r="C1738" s="54" t="n">
        <x:v>7</x:v>
      </x:c>
      <x:c r="D1738" s="54" t="n">
        <x:v>1</x:v>
      </x:c>
      <x:c r="E1738" s="103" t="str">
        <x:v>Material-row source portal</x:v>
      </x:c>
      <x:c r="F1738" s="103" t="str">
        <x:v>Source portal is identified, but edition/revision and property record locator remain unresolved.</x:v>
      </x:c>
    </x:row>
    <x:row r="1739">
      <x:c r="A1739" s="54" t="n">
        <x:v>5103</x:v>
      </x:c>
      <x:c r="B1739" s="54" t="n">
        <x:v>2</x:v>
      </x:c>
      <x:c r="C1739" s="54" t="n">
        <x:v>7</x:v>
      </x:c>
      <x:c r="D1739" s="54" t="n">
        <x:v>1</x:v>
      </x:c>
      <x:c r="E1739" s="103" t="str">
        <x:v>Material-row source portal</x:v>
      </x:c>
      <x:c r="F1739" s="103" t="str">
        <x:v>Source portal is identified, but edition/revision and property record locator remain unresolved.</x:v>
      </x:c>
    </x:row>
    <x:row r="1740">
      <x:c r="A1740" s="54" t="n">
        <x:v>5103</x:v>
      </x:c>
      <x:c r="B1740" s="54" t="n">
        <x:v>3</x:v>
      </x:c>
      <x:c r="C1740" s="54" t="n">
        <x:v>7</x:v>
      </x:c>
      <x:c r="D1740" s="54" t="n">
        <x:v>1</x:v>
      </x:c>
      <x:c r="E1740" s="103" t="str">
        <x:v>Formula-derived from E and Poisson ratio; input records inherit the material-row source</x:v>
      </x:c>
      <x:c r="F1740" s="103" t="str">
        <x:v>Source portal is identified, but edition/revision and property record locator remain unresolved.</x:v>
      </x:c>
    </x:row>
    <x:row r="1741">
      <x:c r="A1741" s="54" t="n">
        <x:v>5103</x:v>
      </x:c>
      <x:c r="B1741" s="54" t="n">
        <x:v>4</x:v>
      </x:c>
      <x:c r="C1741" s="54" t="n">
        <x:v>7</x:v>
      </x:c>
      <x:c r="D1741" s="54" t="n">
        <x:v>1</x:v>
      </x:c>
      <x:c r="E1741" s="103" t="str">
        <x:v>Material-row source portal</x:v>
      </x:c>
      <x:c r="F1741" s="103" t="str">
        <x:v>Source portal is identified, but edition/revision and property record locator remain unresolved.</x:v>
      </x:c>
    </x:row>
    <x:row r="1742">
      <x:c r="A1742" s="54" t="n">
        <x:v>5103</x:v>
      </x:c>
      <x:c r="B1742" s="54" t="n">
        <x:v>6</x:v>
      </x:c>
      <x:c r="C1742" s="54" t="n">
        <x:v>7</x:v>
      </x:c>
      <x:c r="D1742" s="54" t="n">
        <x:v>1</x:v>
      </x:c>
      <x:c r="E1742" s="103" t="str">
        <x:v>Material-row source portal</x:v>
      </x:c>
      <x:c r="F1742" s="103" t="str">
        <x:v>Source portal is identified, but edition/revision and property record locator remain unresolved.</x:v>
      </x:c>
    </x:row>
    <x:row r="1743">
      <x:c r="A1743" s="54" t="n">
        <x:v>5103</x:v>
      </x:c>
      <x:c r="B1743" s="54" t="n">
        <x:v>7</x:v>
      </x:c>
      <x:c r="C1743" s="54" t="n">
        <x:v>7</x:v>
      </x:c>
      <x:c r="D1743" s="54" t="n">
        <x:v>1</x:v>
      </x:c>
      <x:c r="E1743" s="103" t="str">
        <x:v>Material-row source portal</x:v>
      </x:c>
      <x:c r="F1743" s="103" t="str">
        <x:v>Source portal is identified, but edition/revision and property record locator remain unresolved.</x:v>
      </x:c>
    </x:row>
    <x:row r="1744">
      <x:c r="A1744" s="54" t="n">
        <x:v>5103</x:v>
      </x:c>
      <x:c r="B1744" s="54" t="n">
        <x:v>8</x:v>
      </x:c>
      <x:c r="C1744" s="54" t="n">
        <x:v>7</x:v>
      </x:c>
      <x:c r="D1744" s="54" t="n">
        <x:v>1</x:v>
      </x:c>
      <x:c r="E1744" s="103" t="str">
        <x:v>Material-row source portal</x:v>
      </x:c>
      <x:c r="F1744" s="103" t="str">
        <x:v>Source portal is identified, but edition/revision and property record locator remain unresolved.</x:v>
      </x:c>
    </x:row>
    <x:row r="1745">
      <x:c r="A1745" s="54" t="n">
        <x:v>5103</x:v>
      </x:c>
      <x:c r="B1745" s="54" t="n">
        <x:v>9</x:v>
      </x:c>
      <x:c r="C1745" s="54" t="n">
        <x:v>7</x:v>
      </x:c>
      <x:c r="D1745" s="54" t="n">
        <x:v>1</x:v>
      </x:c>
      <x:c r="E1745" s="103" t="str">
        <x:v>Material-row source portal</x:v>
      </x:c>
      <x:c r="F1745" s="103" t="str">
        <x:v>Source portal is identified, but edition/revision and property record locator remain unresolved.</x:v>
      </x:c>
    </x:row>
    <x:row r="1746">
      <x:c r="A1746" s="54" t="n">
        <x:v>5103</x:v>
      </x:c>
      <x:c r="B1746" s="54" t="n">
        <x:v>11</x:v>
      </x:c>
      <x:c r="C1746" s="54" t="n">
        <x:v>7</x:v>
      </x:c>
      <x:c r="D1746" s="54" t="n">
        <x:v>1</x:v>
      </x:c>
      <x:c r="E1746" s="103" t="str">
        <x:v>Material-row source portal</x:v>
      </x:c>
      <x:c r="F1746" s="103" t="str">
        <x:v>Source portal is identified, but edition/revision and property record locator remain unresolved.</x:v>
      </x:c>
    </x:row>
    <x:row r="1747">
      <x:c r="A1747" s="54" t="n">
        <x:v>5103</x:v>
      </x:c>
      <x:c r="B1747" s="54" t="n">
        <x:v>12</x:v>
      </x:c>
      <x:c r="C1747" s="54" t="n">
        <x:v>7</x:v>
      </x:c>
      <x:c r="D1747" s="54" t="n">
        <x:v>1</x:v>
      </x:c>
      <x:c r="E1747" s="103" t="str">
        <x:v>Material-row source portal</x:v>
      </x:c>
      <x:c r="F1747" s="103" t="str">
        <x:v>Source portal is identified, but edition/revision and property record locator remain unresolved.</x:v>
      </x:c>
    </x:row>
    <x:row r="1748">
      <x:c r="A1748" s="54" t="n">
        <x:v>5103</x:v>
      </x:c>
      <x:c r="B1748" s="54" t="n">
        <x:v>13</x:v>
      </x:c>
      <x:c r="C1748" s="54" t="n">
        <x:v>7</x:v>
      </x:c>
      <x:c r="D1748" s="54" t="n">
        <x:v>1</x:v>
      </x:c>
      <x:c r="E1748" s="103" t="str">
        <x:v>Material-row source portal</x:v>
      </x:c>
      <x:c r="F1748" s="103" t="str">
        <x:v>Source portal is identified, but edition/revision and property record locator remain unresolved.</x:v>
      </x:c>
    </x:row>
    <x:row r="1749">
      <x:c r="A1749" s="54" t="n">
        <x:v>5103</x:v>
      </x:c>
      <x:c r="B1749" s="54" t="n">
        <x:v>14</x:v>
      </x:c>
      <x:c r="C1749" s="54" t="n">
        <x:v>7</x:v>
      </x:c>
      <x:c r="D1749" s="54" t="n">
        <x:v>1</x:v>
      </x:c>
      <x:c r="E1749" s="103" t="str">
        <x:v>Material-row source portal</x:v>
      </x:c>
      <x:c r="F1749" s="103" t="str">
        <x:v>Source portal is identified, but edition/revision and property record locator remain unresolved.</x:v>
      </x:c>
    </x:row>
    <x:row r="1750">
      <x:c r="A1750" s="54" t="n">
        <x:v>5103</x:v>
      </x:c>
      <x:c r="B1750" s="54" t="n">
        <x:v>15</x:v>
      </x:c>
      <x:c r="C1750" s="54" t="n">
        <x:v>7</x:v>
      </x:c>
      <x:c r="D1750" s="54" t="n">
        <x:v>1</x:v>
      </x:c>
      <x:c r="E1750" s="103" t="str">
        <x:v>Material-row source portal</x:v>
      </x:c>
      <x:c r="F1750" s="103" t="str">
        <x:v>Source portal is identified, but edition/revision and property record locator remain unresolved.</x:v>
      </x:c>
    </x:row>
    <x:row r="1751">
      <x:c r="A1751" s="54" t="n">
        <x:v>5103</x:v>
      </x:c>
      <x:c r="B1751" s="54" t="n">
        <x:v>16</x:v>
      </x:c>
      <x:c r="C1751" s="54" t="n">
        <x:v>7</x:v>
      </x:c>
      <x:c r="D1751" s="54" t="n">
        <x:v>1</x:v>
      </x:c>
      <x:c r="E1751" s="103" t="str">
        <x:v>Material-row source portal</x:v>
      </x:c>
      <x:c r="F1751" s="103" t="str">
        <x:v>Source portal is identified, but edition/revision and property record locator remain unresolved.</x:v>
      </x:c>
    </x:row>
    <x:row r="1752">
      <x:c r="A1752" s="54" t="n">
        <x:v>5104</x:v>
      </x:c>
      <x:c r="B1752" s="54" t="n">
        <x:v>1</x:v>
      </x:c>
      <x:c r="C1752" s="54" t="n">
        <x:v>7</x:v>
      </x:c>
      <x:c r="D1752" s="54" t="n">
        <x:v>1</x:v>
      </x:c>
      <x:c r="E1752" s="103" t="str">
        <x:v>Material-row source portal</x:v>
      </x:c>
      <x:c r="F1752" s="103" t="str">
        <x:v>Source portal is identified, but edition/revision and property record locator remain unresolved.</x:v>
      </x:c>
    </x:row>
    <x:row r="1753">
      <x:c r="A1753" s="54" t="n">
        <x:v>5104</x:v>
      </x:c>
      <x:c r="B1753" s="54" t="n">
        <x:v>2</x:v>
      </x:c>
      <x:c r="C1753" s="54" t="n">
        <x:v>7</x:v>
      </x:c>
      <x:c r="D1753" s="54" t="n">
        <x:v>1</x:v>
      </x:c>
      <x:c r="E1753" s="103" t="str">
        <x:v>Material-row source portal</x:v>
      </x:c>
      <x:c r="F1753" s="103" t="str">
        <x:v>Source portal is identified, but edition/revision and property record locator remain unresolved.</x:v>
      </x:c>
    </x:row>
    <x:row r="1754">
      <x:c r="A1754" s="54" t="n">
        <x:v>5104</x:v>
      </x:c>
      <x:c r="B1754" s="54" t="n">
        <x:v>3</x:v>
      </x:c>
      <x:c r="C1754" s="54" t="n">
        <x:v>7</x:v>
      </x:c>
      <x:c r="D1754" s="54" t="n">
        <x:v>1</x:v>
      </x:c>
      <x:c r="E1754" s="103" t="str">
        <x:v>Formula-derived from E and Poisson ratio; input records inherit the material-row source</x:v>
      </x:c>
      <x:c r="F1754" s="103" t="str">
        <x:v>Source portal is identified, but edition/revision and property record locator remain unresolved.</x:v>
      </x:c>
    </x:row>
    <x:row r="1755">
      <x:c r="A1755" s="54" t="n">
        <x:v>5104</x:v>
      </x:c>
      <x:c r="B1755" s="54" t="n">
        <x:v>4</x:v>
      </x:c>
      <x:c r="C1755" s="54" t="n">
        <x:v>7</x:v>
      </x:c>
      <x:c r="D1755" s="54" t="n">
        <x:v>1</x:v>
      </x:c>
      <x:c r="E1755" s="103" t="str">
        <x:v>Material-row source portal</x:v>
      </x:c>
      <x:c r="F1755" s="103" t="str">
        <x:v>Source portal is identified, but edition/revision and property record locator remain unresolved.</x:v>
      </x:c>
    </x:row>
    <x:row r="1756">
      <x:c r="A1756" s="54" t="n">
        <x:v>5104</x:v>
      </x:c>
      <x:c r="B1756" s="54" t="n">
        <x:v>6</x:v>
      </x:c>
      <x:c r="C1756" s="54" t="n">
        <x:v>7</x:v>
      </x:c>
      <x:c r="D1756" s="54" t="n">
        <x:v>1</x:v>
      </x:c>
      <x:c r="E1756" s="103" t="str">
        <x:v>Material-row source portal</x:v>
      </x:c>
      <x:c r="F1756" s="103" t="str">
        <x:v>Source portal is identified, but edition/revision and property record locator remain unresolved.</x:v>
      </x:c>
    </x:row>
    <x:row r="1757">
      <x:c r="A1757" s="54" t="n">
        <x:v>5104</x:v>
      </x:c>
      <x:c r="B1757" s="54" t="n">
        <x:v>7</x:v>
      </x:c>
      <x:c r="C1757" s="54" t="n">
        <x:v>7</x:v>
      </x:c>
      <x:c r="D1757" s="54" t="n">
        <x:v>1</x:v>
      </x:c>
      <x:c r="E1757" s="103" t="str">
        <x:v>Material-row source portal</x:v>
      </x:c>
      <x:c r="F1757" s="103" t="str">
        <x:v>Source portal is identified, but edition/revision and property record locator remain unresolved.</x:v>
      </x:c>
    </x:row>
    <x:row r="1758">
      <x:c r="A1758" s="54" t="n">
        <x:v>5104</x:v>
      </x:c>
      <x:c r="B1758" s="54" t="n">
        <x:v>8</x:v>
      </x:c>
      <x:c r="C1758" s="54" t="n">
        <x:v>7</x:v>
      </x:c>
      <x:c r="D1758" s="54" t="n">
        <x:v>1</x:v>
      </x:c>
      <x:c r="E1758" s="103" t="str">
        <x:v>Material-row source portal</x:v>
      </x:c>
      <x:c r="F1758" s="103" t="str">
        <x:v>Source portal is identified, but edition/revision and property record locator remain unresolved.</x:v>
      </x:c>
    </x:row>
    <x:row r="1759">
      <x:c r="A1759" s="54" t="n">
        <x:v>5104</x:v>
      </x:c>
      <x:c r="B1759" s="54" t="n">
        <x:v>9</x:v>
      </x:c>
      <x:c r="C1759" s="54" t="n">
        <x:v>7</x:v>
      </x:c>
      <x:c r="D1759" s="54" t="n">
        <x:v>1</x:v>
      </x:c>
      <x:c r="E1759" s="103" t="str">
        <x:v>Material-row source portal</x:v>
      </x:c>
      <x:c r="F1759" s="103" t="str">
        <x:v>Source portal is identified, but edition/revision and property record locator remain unresolved.</x:v>
      </x:c>
    </x:row>
    <x:row r="1760">
      <x:c r="A1760" s="54" t="n">
        <x:v>5104</x:v>
      </x:c>
      <x:c r="B1760" s="54" t="n">
        <x:v>11</x:v>
      </x:c>
      <x:c r="C1760" s="54" t="n">
        <x:v>7</x:v>
      </x:c>
      <x:c r="D1760" s="54" t="n">
        <x:v>1</x:v>
      </x:c>
      <x:c r="E1760" s="103" t="str">
        <x:v>Material-row source portal</x:v>
      </x:c>
      <x:c r="F1760" s="103" t="str">
        <x:v>Source portal is identified, but edition/revision and property record locator remain unresolved.</x:v>
      </x:c>
    </x:row>
    <x:row r="1761">
      <x:c r="A1761" s="54" t="n">
        <x:v>5104</x:v>
      </x:c>
      <x:c r="B1761" s="54" t="n">
        <x:v>12</x:v>
      </x:c>
      <x:c r="C1761" s="54" t="n">
        <x:v>7</x:v>
      </x:c>
      <x:c r="D1761" s="54" t="n">
        <x:v>1</x:v>
      </x:c>
      <x:c r="E1761" s="103" t="str">
        <x:v>Material-row source portal</x:v>
      </x:c>
      <x:c r="F1761" s="103" t="str">
        <x:v>Source portal is identified, but edition/revision and property record locator remain unresolved.</x:v>
      </x:c>
    </x:row>
    <x:row r="1762">
      <x:c r="A1762" s="54" t="n">
        <x:v>5104</x:v>
      </x:c>
      <x:c r="B1762" s="54" t="n">
        <x:v>13</x:v>
      </x:c>
      <x:c r="C1762" s="54" t="n">
        <x:v>7</x:v>
      </x:c>
      <x:c r="D1762" s="54" t="n">
        <x:v>1</x:v>
      </x:c>
      <x:c r="E1762" s="103" t="str">
        <x:v>Material-row source portal</x:v>
      </x:c>
      <x:c r="F1762" s="103" t="str">
        <x:v>Source portal is identified, but edition/revision and property record locator remain unresolved.</x:v>
      </x:c>
    </x:row>
    <x:row r="1763">
      <x:c r="A1763" s="54" t="n">
        <x:v>5104</x:v>
      </x:c>
      <x:c r="B1763" s="54" t="n">
        <x:v>14</x:v>
      </x:c>
      <x:c r="C1763" s="54" t="n">
        <x:v>7</x:v>
      </x:c>
      <x:c r="D1763" s="54" t="n">
        <x:v>1</x:v>
      </x:c>
      <x:c r="E1763" s="103" t="str">
        <x:v>Material-row source portal</x:v>
      </x:c>
      <x:c r="F1763" s="103" t="str">
        <x:v>Source portal is identified, but edition/revision and property record locator remain unresolved.</x:v>
      </x:c>
    </x:row>
    <x:row r="1764">
      <x:c r="A1764" s="54" t="n">
        <x:v>5104</x:v>
      </x:c>
      <x:c r="B1764" s="54" t="n">
        <x:v>15</x:v>
      </x:c>
      <x:c r="C1764" s="54" t="n">
        <x:v>7</x:v>
      </x:c>
      <x:c r="D1764" s="54" t="n">
        <x:v>1</x:v>
      </x:c>
      <x:c r="E1764" s="103" t="str">
        <x:v>Material-row source portal</x:v>
      </x:c>
      <x:c r="F1764" s="103" t="str">
        <x:v>Source portal is identified, but edition/revision and property record locator remain unresolved.</x:v>
      </x:c>
    </x:row>
    <x:row r="1765">
      <x:c r="A1765" s="54" t="n">
        <x:v>5104</x:v>
      </x:c>
      <x:c r="B1765" s="54" t="n">
        <x:v>16</x:v>
      </x:c>
      <x:c r="C1765" s="54" t="n">
        <x:v>7</x:v>
      </x:c>
      <x:c r="D1765" s="54" t="n">
        <x:v>1</x:v>
      </x:c>
      <x:c r="E1765" s="103" t="str">
        <x:v>Material-row source portal</x:v>
      </x:c>
      <x:c r="F1765" s="103" t="str">
        <x:v>Source portal is identified, but edition/revision and property record locator remain unresolved.</x:v>
      </x:c>
    </x:row>
    <x:row r="1766">
      <x:c r="A1766" s="54" t="n">
        <x:v>5105</x:v>
      </x:c>
      <x:c r="B1766" s="54" t="n">
        <x:v>1</x:v>
      </x:c>
      <x:c r="C1766" s="54" t="n">
        <x:v>7</x:v>
      </x:c>
      <x:c r="D1766" s="54" t="n">
        <x:v>1</x:v>
      </x:c>
      <x:c r="E1766" s="103" t="str">
        <x:v>Material-row source portal</x:v>
      </x:c>
      <x:c r="F1766" s="103" t="str">
        <x:v>Source portal is identified, but edition/revision and property record locator remain unresolved.</x:v>
      </x:c>
    </x:row>
    <x:row r="1767">
      <x:c r="A1767" s="54" t="n">
        <x:v>5105</x:v>
      </x:c>
      <x:c r="B1767" s="54" t="n">
        <x:v>2</x:v>
      </x:c>
      <x:c r="C1767" s="54" t="n">
        <x:v>7</x:v>
      </x:c>
      <x:c r="D1767" s="54" t="n">
        <x:v>1</x:v>
      </x:c>
      <x:c r="E1767" s="103" t="str">
        <x:v>Material-row source portal</x:v>
      </x:c>
      <x:c r="F1767" s="103" t="str">
        <x:v>Source portal is identified, but edition/revision and property record locator remain unresolved.</x:v>
      </x:c>
    </x:row>
    <x:row r="1768">
      <x:c r="A1768" s="54" t="n">
        <x:v>5105</x:v>
      </x:c>
      <x:c r="B1768" s="54" t="n">
        <x:v>3</x:v>
      </x:c>
      <x:c r="C1768" s="54" t="n">
        <x:v>7</x:v>
      </x:c>
      <x:c r="D1768" s="54" t="n">
        <x:v>1</x:v>
      </x:c>
      <x:c r="E1768" s="103" t="str">
        <x:v>Formula-derived from E and Poisson ratio; input records inherit the material-row source</x:v>
      </x:c>
      <x:c r="F1768" s="103" t="str">
        <x:v>Source portal is identified, but edition/revision and property record locator remain unresolved.</x:v>
      </x:c>
    </x:row>
    <x:row r="1769">
      <x:c r="A1769" s="54" t="n">
        <x:v>5105</x:v>
      </x:c>
      <x:c r="B1769" s="54" t="n">
        <x:v>4</x:v>
      </x:c>
      <x:c r="C1769" s="54" t="n">
        <x:v>7</x:v>
      </x:c>
      <x:c r="D1769" s="54" t="n">
        <x:v>1</x:v>
      </x:c>
      <x:c r="E1769" s="103" t="str">
        <x:v>Material-row source portal</x:v>
      </x:c>
      <x:c r="F1769" s="103" t="str">
        <x:v>Source portal is identified, but edition/revision and property record locator remain unresolved.</x:v>
      </x:c>
    </x:row>
    <x:row r="1770">
      <x:c r="A1770" s="54" t="n">
        <x:v>5105</x:v>
      </x:c>
      <x:c r="B1770" s="54" t="n">
        <x:v>6</x:v>
      </x:c>
      <x:c r="C1770" s="54" t="n">
        <x:v>7</x:v>
      </x:c>
      <x:c r="D1770" s="54" t="n">
        <x:v>1</x:v>
      </x:c>
      <x:c r="E1770" s="103" t="str">
        <x:v>Material-row source portal</x:v>
      </x:c>
      <x:c r="F1770" s="103" t="str">
        <x:v>Source portal is identified, but edition/revision and property record locator remain unresolved.</x:v>
      </x:c>
    </x:row>
    <x:row r="1771">
      <x:c r="A1771" s="54" t="n">
        <x:v>5105</x:v>
      </x:c>
      <x:c r="B1771" s="54" t="n">
        <x:v>7</x:v>
      </x:c>
      <x:c r="C1771" s="54" t="n">
        <x:v>7</x:v>
      </x:c>
      <x:c r="D1771" s="54" t="n">
        <x:v>1</x:v>
      </x:c>
      <x:c r="E1771" s="103" t="str">
        <x:v>Material-row source portal</x:v>
      </x:c>
      <x:c r="F1771" s="103" t="str">
        <x:v>Source portal is identified, but edition/revision and property record locator remain unresolved.</x:v>
      </x:c>
    </x:row>
    <x:row r="1772">
      <x:c r="A1772" s="54" t="n">
        <x:v>5105</x:v>
      </x:c>
      <x:c r="B1772" s="54" t="n">
        <x:v>8</x:v>
      </x:c>
      <x:c r="C1772" s="54" t="n">
        <x:v>7</x:v>
      </x:c>
      <x:c r="D1772" s="54" t="n">
        <x:v>1</x:v>
      </x:c>
      <x:c r="E1772" s="103" t="str">
        <x:v>Material-row source portal</x:v>
      </x:c>
      <x:c r="F1772" s="103" t="str">
        <x:v>Source portal is identified, but edition/revision and property record locator remain unresolved.</x:v>
      </x:c>
    </x:row>
    <x:row r="1773">
      <x:c r="A1773" s="54" t="n">
        <x:v>5105</x:v>
      </x:c>
      <x:c r="B1773" s="54" t="n">
        <x:v>9</x:v>
      </x:c>
      <x:c r="C1773" s="54" t="n">
        <x:v>7</x:v>
      </x:c>
      <x:c r="D1773" s="54" t="n">
        <x:v>1</x:v>
      </x:c>
      <x:c r="E1773" s="103" t="str">
        <x:v>Material-row source portal</x:v>
      </x:c>
      <x:c r="F1773" s="103" t="str">
        <x:v>Source portal is identified, but edition/revision and property record locator remain unresolved.</x:v>
      </x:c>
    </x:row>
    <x:row r="1774">
      <x:c r="A1774" s="54" t="n">
        <x:v>5105</x:v>
      </x:c>
      <x:c r="B1774" s="54" t="n">
        <x:v>11</x:v>
      </x:c>
      <x:c r="C1774" s="54" t="n">
        <x:v>7</x:v>
      </x:c>
      <x:c r="D1774" s="54" t="n">
        <x:v>1</x:v>
      </x:c>
      <x:c r="E1774" s="103" t="str">
        <x:v>Material-row source portal</x:v>
      </x:c>
      <x:c r="F1774" s="103" t="str">
        <x:v>Source portal is identified, but edition/revision and property record locator remain unresolved.</x:v>
      </x:c>
    </x:row>
    <x:row r="1775">
      <x:c r="A1775" s="54" t="n">
        <x:v>5105</x:v>
      </x:c>
      <x:c r="B1775" s="54" t="n">
        <x:v>12</x:v>
      </x:c>
      <x:c r="C1775" s="54" t="n">
        <x:v>7</x:v>
      </x:c>
      <x:c r="D1775" s="54" t="n">
        <x:v>1</x:v>
      </x:c>
      <x:c r="E1775" s="103" t="str">
        <x:v>Material-row source portal</x:v>
      </x:c>
      <x:c r="F1775" s="103" t="str">
        <x:v>Source portal is identified, but edition/revision and property record locator remain unresolved.</x:v>
      </x:c>
    </x:row>
    <x:row r="1776">
      <x:c r="A1776" s="54" t="n">
        <x:v>5105</x:v>
      </x:c>
      <x:c r="B1776" s="54" t="n">
        <x:v>13</x:v>
      </x:c>
      <x:c r="C1776" s="54" t="n">
        <x:v>7</x:v>
      </x:c>
      <x:c r="D1776" s="54" t="n">
        <x:v>1</x:v>
      </x:c>
      <x:c r="E1776" s="103" t="str">
        <x:v>Material-row source portal</x:v>
      </x:c>
      <x:c r="F1776" s="103" t="str">
        <x:v>Source portal is identified, but edition/revision and property record locator remain unresolved.</x:v>
      </x:c>
    </x:row>
    <x:row r="1777">
      <x:c r="A1777" s="54" t="n">
        <x:v>5105</x:v>
      </x:c>
      <x:c r="B1777" s="54" t="n">
        <x:v>14</x:v>
      </x:c>
      <x:c r="C1777" s="54" t="n">
        <x:v>7</x:v>
      </x:c>
      <x:c r="D1777" s="54" t="n">
        <x:v>1</x:v>
      </x:c>
      <x:c r="E1777" s="103" t="str">
        <x:v>Material-row source portal</x:v>
      </x:c>
      <x:c r="F1777" s="103" t="str">
        <x:v>Source portal is identified, but edition/revision and property record locator remain unresolved.</x:v>
      </x:c>
    </x:row>
    <x:row r="1778">
      <x:c r="A1778" s="54" t="n">
        <x:v>5105</x:v>
      </x:c>
      <x:c r="B1778" s="54" t="n">
        <x:v>15</x:v>
      </x:c>
      <x:c r="C1778" s="54" t="n">
        <x:v>7</x:v>
      </x:c>
      <x:c r="D1778" s="54" t="n">
        <x:v>1</x:v>
      </x:c>
      <x:c r="E1778" s="103" t="str">
        <x:v>Material-row source portal</x:v>
      </x:c>
      <x:c r="F1778" s="103" t="str">
        <x:v>Source portal is identified, but edition/revision and property record locator remain unresolved.</x:v>
      </x:c>
    </x:row>
    <x:row r="1779">
      <x:c r="A1779" s="54" t="n">
        <x:v>5105</x:v>
      </x:c>
      <x:c r="B1779" s="54" t="n">
        <x:v>16</x:v>
      </x:c>
      <x:c r="C1779" s="54" t="n">
        <x:v>7</x:v>
      </x:c>
      <x:c r="D1779" s="54" t="n">
        <x:v>1</x:v>
      </x:c>
      <x:c r="E1779" s="103" t="str">
        <x:v>Material-row source portal</x:v>
      </x:c>
      <x:c r="F1779" s="103" t="str">
        <x:v>Source portal is identified, but edition/revision and property record locator remain unresolved.</x:v>
      </x:c>
    </x:row>
    <x:row r="1780">
      <x:c r="A1780" s="54" t="n">
        <x:v>5106</x:v>
      </x:c>
      <x:c r="B1780" s="54" t="n">
        <x:v>1</x:v>
      </x:c>
      <x:c r="C1780" s="54" t="n">
        <x:v>7</x:v>
      </x:c>
      <x:c r="D1780" s="54" t="n">
        <x:v>1</x:v>
      </x:c>
      <x:c r="E1780" s="103" t="str">
        <x:v>Material-row source portal</x:v>
      </x:c>
      <x:c r="F1780" s="103" t="str">
        <x:v>Source portal is identified, but edition/revision and property record locator remain unresolved.</x:v>
      </x:c>
    </x:row>
    <x:row r="1781">
      <x:c r="A1781" s="54" t="n">
        <x:v>5106</x:v>
      </x:c>
      <x:c r="B1781" s="54" t="n">
        <x:v>2</x:v>
      </x:c>
      <x:c r="C1781" s="54" t="n">
        <x:v>7</x:v>
      </x:c>
      <x:c r="D1781" s="54" t="n">
        <x:v>1</x:v>
      </x:c>
      <x:c r="E1781" s="103" t="str">
        <x:v>Material-row source portal</x:v>
      </x:c>
      <x:c r="F1781" s="103" t="str">
        <x:v>Source portal is identified, but edition/revision and property record locator remain unresolved.</x:v>
      </x:c>
    </x:row>
    <x:row r="1782">
      <x:c r="A1782" s="54" t="n">
        <x:v>5106</x:v>
      </x:c>
      <x:c r="B1782" s="54" t="n">
        <x:v>3</x:v>
      </x:c>
      <x:c r="C1782" s="54" t="n">
        <x:v>7</x:v>
      </x:c>
      <x:c r="D1782" s="54" t="n">
        <x:v>1</x:v>
      </x:c>
      <x:c r="E1782" s="103" t="str">
        <x:v>Formula-derived from E and Poisson ratio; input records inherit the material-row source</x:v>
      </x:c>
      <x:c r="F1782" s="103" t="str">
        <x:v>Source portal is identified, but edition/revision and property record locator remain unresolved.</x:v>
      </x:c>
    </x:row>
    <x:row r="1783">
      <x:c r="A1783" s="54" t="n">
        <x:v>5106</x:v>
      </x:c>
      <x:c r="B1783" s="54" t="n">
        <x:v>4</x:v>
      </x:c>
      <x:c r="C1783" s="54" t="n">
        <x:v>7</x:v>
      </x:c>
      <x:c r="D1783" s="54" t="n">
        <x:v>1</x:v>
      </x:c>
      <x:c r="E1783" s="103" t="str">
        <x:v>Material-row source portal</x:v>
      </x:c>
      <x:c r="F1783" s="103" t="str">
        <x:v>Source portal is identified, but edition/revision and property record locator remain unresolved.</x:v>
      </x:c>
    </x:row>
    <x:row r="1784">
      <x:c r="A1784" s="54" t="n">
        <x:v>5106</x:v>
      </x:c>
      <x:c r="B1784" s="54" t="n">
        <x:v>6</x:v>
      </x:c>
      <x:c r="C1784" s="54" t="n">
        <x:v>7</x:v>
      </x:c>
      <x:c r="D1784" s="54" t="n">
        <x:v>1</x:v>
      </x:c>
      <x:c r="E1784" s="103" t="str">
        <x:v>Material-row source portal</x:v>
      </x:c>
      <x:c r="F1784" s="103" t="str">
        <x:v>Source portal is identified, but edition/revision and property record locator remain unresolved.</x:v>
      </x:c>
    </x:row>
    <x:row r="1785">
      <x:c r="A1785" s="54" t="n">
        <x:v>5106</x:v>
      </x:c>
      <x:c r="B1785" s="54" t="n">
        <x:v>7</x:v>
      </x:c>
      <x:c r="C1785" s="54" t="n">
        <x:v>7</x:v>
      </x:c>
      <x:c r="D1785" s="54" t="n">
        <x:v>1</x:v>
      </x:c>
      <x:c r="E1785" s="103" t="str">
        <x:v>Material-row source portal</x:v>
      </x:c>
      <x:c r="F1785" s="103" t="str">
        <x:v>Source portal is identified, but edition/revision and property record locator remain unresolved.</x:v>
      </x:c>
    </x:row>
    <x:row r="1786">
      <x:c r="A1786" s="54" t="n">
        <x:v>5106</x:v>
      </x:c>
      <x:c r="B1786" s="54" t="n">
        <x:v>8</x:v>
      </x:c>
      <x:c r="C1786" s="54" t="n">
        <x:v>7</x:v>
      </x:c>
      <x:c r="D1786" s="54" t="n">
        <x:v>1</x:v>
      </x:c>
      <x:c r="E1786" s="103" t="str">
        <x:v>Material-row source portal</x:v>
      </x:c>
      <x:c r="F1786" s="103" t="str">
        <x:v>Source portal is identified, but edition/revision and property record locator remain unresolved.</x:v>
      </x:c>
    </x:row>
    <x:row r="1787">
      <x:c r="A1787" s="54" t="n">
        <x:v>5106</x:v>
      </x:c>
      <x:c r="B1787" s="54" t="n">
        <x:v>9</x:v>
      </x:c>
      <x:c r="C1787" s="54" t="n">
        <x:v>7</x:v>
      </x:c>
      <x:c r="D1787" s="54" t="n">
        <x:v>1</x:v>
      </x:c>
      <x:c r="E1787" s="103" t="str">
        <x:v>Material-row source portal</x:v>
      </x:c>
      <x:c r="F1787" s="103" t="str">
        <x:v>Source portal is identified, but edition/revision and property record locator remain unresolved.</x:v>
      </x:c>
    </x:row>
    <x:row r="1788">
      <x:c r="A1788" s="54" t="n">
        <x:v>5106</x:v>
      </x:c>
      <x:c r="B1788" s="54" t="n">
        <x:v>11</x:v>
      </x:c>
      <x:c r="C1788" s="54" t="n">
        <x:v>7</x:v>
      </x:c>
      <x:c r="D1788" s="54" t="n">
        <x:v>1</x:v>
      </x:c>
      <x:c r="E1788" s="103" t="str">
        <x:v>Material-row source portal</x:v>
      </x:c>
      <x:c r="F1788" s="103" t="str">
        <x:v>Source portal is identified, but edition/revision and property record locator remain unresolved.</x:v>
      </x:c>
    </x:row>
    <x:row r="1789">
      <x:c r="A1789" s="54" t="n">
        <x:v>5106</x:v>
      </x:c>
      <x:c r="B1789" s="54" t="n">
        <x:v>12</x:v>
      </x:c>
      <x:c r="C1789" s="54" t="n">
        <x:v>7</x:v>
      </x:c>
      <x:c r="D1789" s="54" t="n">
        <x:v>1</x:v>
      </x:c>
      <x:c r="E1789" s="103" t="str">
        <x:v>Material-row source portal</x:v>
      </x:c>
      <x:c r="F1789" s="103" t="str">
        <x:v>Source portal is identified, but edition/revision and property record locator remain unresolved.</x:v>
      </x:c>
    </x:row>
    <x:row r="1790">
      <x:c r="A1790" s="54" t="n">
        <x:v>5106</x:v>
      </x:c>
      <x:c r="B1790" s="54" t="n">
        <x:v>13</x:v>
      </x:c>
      <x:c r="C1790" s="54" t="n">
        <x:v>7</x:v>
      </x:c>
      <x:c r="D1790" s="54" t="n">
        <x:v>1</x:v>
      </x:c>
      <x:c r="E1790" s="103" t="str">
        <x:v>Material-row source portal</x:v>
      </x:c>
      <x:c r="F1790" s="103" t="str">
        <x:v>Source portal is identified, but edition/revision and property record locator remain unresolved.</x:v>
      </x:c>
    </x:row>
    <x:row r="1791">
      <x:c r="A1791" s="54" t="n">
        <x:v>5106</x:v>
      </x:c>
      <x:c r="B1791" s="54" t="n">
        <x:v>14</x:v>
      </x:c>
      <x:c r="C1791" s="54" t="n">
        <x:v>7</x:v>
      </x:c>
      <x:c r="D1791" s="54" t="n">
        <x:v>1</x:v>
      </x:c>
      <x:c r="E1791" s="103" t="str">
        <x:v>Material-row source portal</x:v>
      </x:c>
      <x:c r="F1791" s="103" t="str">
        <x:v>Source portal is identified, but edition/revision and property record locator remain unresolved.</x:v>
      </x:c>
    </x:row>
    <x:row r="1792">
      <x:c r="A1792" s="54" t="n">
        <x:v>5106</x:v>
      </x:c>
      <x:c r="B1792" s="54" t="n">
        <x:v>15</x:v>
      </x:c>
      <x:c r="C1792" s="54" t="n">
        <x:v>7</x:v>
      </x:c>
      <x:c r="D1792" s="54" t="n">
        <x:v>1</x:v>
      </x:c>
      <x:c r="E1792" s="103" t="str">
        <x:v>Material-row source portal</x:v>
      </x:c>
      <x:c r="F1792" s="103" t="str">
        <x:v>Source portal is identified, but edition/revision and property record locator remain unresolved.</x:v>
      </x:c>
    </x:row>
    <x:row r="1793">
      <x:c r="A1793" s="54" t="n">
        <x:v>5106</x:v>
      </x:c>
      <x:c r="B1793" s="54" t="n">
        <x:v>16</x:v>
      </x:c>
      <x:c r="C1793" s="54" t="n">
        <x:v>7</x:v>
      </x:c>
      <x:c r="D1793" s="54" t="n">
        <x:v>1</x:v>
      </x:c>
      <x:c r="E1793" s="103" t="str">
        <x:v>Material-row source portal</x:v>
      </x:c>
      <x:c r="F1793" s="103" t="str">
        <x:v>Source portal is identified, but edition/revision and property record locator remain unresolved.</x:v>
      </x:c>
    </x:row>
    <x:row r="1794">
      <x:c r="A1794" s="54" t="n">
        <x:v>5107</x:v>
      </x:c>
      <x:c r="B1794" s="54" t="n">
        <x:v>1</x:v>
      </x:c>
      <x:c r="C1794" s="54" t="n">
        <x:v>7</x:v>
      </x:c>
      <x:c r="D1794" s="54" t="n">
        <x:v>1</x:v>
      </x:c>
      <x:c r="E1794" s="103" t="str">
        <x:v>Material-row source portal</x:v>
      </x:c>
      <x:c r="F1794" s="103" t="str">
        <x:v>Source portal is identified, but edition/revision and property record locator remain unresolved.</x:v>
      </x:c>
    </x:row>
    <x:row r="1795">
      <x:c r="A1795" s="54" t="n">
        <x:v>5107</x:v>
      </x:c>
      <x:c r="B1795" s="54" t="n">
        <x:v>2</x:v>
      </x:c>
      <x:c r="C1795" s="54" t="n">
        <x:v>7</x:v>
      </x:c>
      <x:c r="D1795" s="54" t="n">
        <x:v>1</x:v>
      </x:c>
      <x:c r="E1795" s="103" t="str">
        <x:v>Material-row source portal</x:v>
      </x:c>
      <x:c r="F1795" s="103" t="str">
        <x:v>Source portal is identified, but edition/revision and property record locator remain unresolved.</x:v>
      </x:c>
    </x:row>
    <x:row r="1796">
      <x:c r="A1796" s="54" t="n">
        <x:v>5107</x:v>
      </x:c>
      <x:c r="B1796" s="54" t="n">
        <x:v>3</x:v>
      </x:c>
      <x:c r="C1796" s="54" t="n">
        <x:v>7</x:v>
      </x:c>
      <x:c r="D1796" s="54" t="n">
        <x:v>1</x:v>
      </x:c>
      <x:c r="E1796" s="103" t="str">
        <x:v>Formula-derived from E and Poisson ratio; input records inherit the material-row source</x:v>
      </x:c>
      <x:c r="F1796" s="103" t="str">
        <x:v>Source portal is identified, but edition/revision and property record locator remain unresolved.</x:v>
      </x:c>
    </x:row>
    <x:row r="1797">
      <x:c r="A1797" s="54" t="n">
        <x:v>5107</x:v>
      </x:c>
      <x:c r="B1797" s="54" t="n">
        <x:v>4</x:v>
      </x:c>
      <x:c r="C1797" s="54" t="n">
        <x:v>7</x:v>
      </x:c>
      <x:c r="D1797" s="54" t="n">
        <x:v>1</x:v>
      </x:c>
      <x:c r="E1797" s="103" t="str">
        <x:v>Material-row source portal</x:v>
      </x:c>
      <x:c r="F1797" s="103" t="str">
        <x:v>Source portal is identified, but edition/revision and property record locator remain unresolved.</x:v>
      </x:c>
    </x:row>
    <x:row r="1798">
      <x:c r="A1798" s="54" t="n">
        <x:v>5107</x:v>
      </x:c>
      <x:c r="B1798" s="54" t="n">
        <x:v>6</x:v>
      </x:c>
      <x:c r="C1798" s="54" t="n">
        <x:v>7</x:v>
      </x:c>
      <x:c r="D1798" s="54" t="n">
        <x:v>1</x:v>
      </x:c>
      <x:c r="E1798" s="103" t="str">
        <x:v>Material-row source portal</x:v>
      </x:c>
      <x:c r="F1798" s="103" t="str">
        <x:v>Source portal is identified, but edition/revision and property record locator remain unresolved.</x:v>
      </x:c>
    </x:row>
    <x:row r="1799">
      <x:c r="A1799" s="54" t="n">
        <x:v>5107</x:v>
      </x:c>
      <x:c r="B1799" s="54" t="n">
        <x:v>7</x:v>
      </x:c>
      <x:c r="C1799" s="54" t="n">
        <x:v>7</x:v>
      </x:c>
      <x:c r="D1799" s="54" t="n">
        <x:v>1</x:v>
      </x:c>
      <x:c r="E1799" s="103" t="str">
        <x:v>Material-row source portal</x:v>
      </x:c>
      <x:c r="F1799" s="103" t="str">
        <x:v>Source portal is identified, but edition/revision and property record locator remain unresolved.</x:v>
      </x:c>
    </x:row>
    <x:row r="1800">
      <x:c r="A1800" s="54" t="n">
        <x:v>5107</x:v>
      </x:c>
      <x:c r="B1800" s="54" t="n">
        <x:v>8</x:v>
      </x:c>
      <x:c r="C1800" s="54" t="n">
        <x:v>7</x:v>
      </x:c>
      <x:c r="D1800" s="54" t="n">
        <x:v>1</x:v>
      </x:c>
      <x:c r="E1800" s="103" t="str">
        <x:v>Material-row source portal</x:v>
      </x:c>
      <x:c r="F1800" s="103" t="str">
        <x:v>Source portal is identified, but edition/revision and property record locator remain unresolved.</x:v>
      </x:c>
    </x:row>
    <x:row r="1801">
      <x:c r="A1801" s="54" t="n">
        <x:v>5107</x:v>
      </x:c>
      <x:c r="B1801" s="54" t="n">
        <x:v>9</x:v>
      </x:c>
      <x:c r="C1801" s="54" t="n">
        <x:v>7</x:v>
      </x:c>
      <x:c r="D1801" s="54" t="n">
        <x:v>1</x:v>
      </x:c>
      <x:c r="E1801" s="103" t="str">
        <x:v>Material-row source portal</x:v>
      </x:c>
      <x:c r="F1801" s="103" t="str">
        <x:v>Source portal is identified, but edition/revision and property record locator remain unresolved.</x:v>
      </x:c>
    </x:row>
    <x:row r="1802">
      <x:c r="A1802" s="54" t="n">
        <x:v>5107</x:v>
      </x:c>
      <x:c r="B1802" s="54" t="n">
        <x:v>11</x:v>
      </x:c>
      <x:c r="C1802" s="54" t="n">
        <x:v>7</x:v>
      </x:c>
      <x:c r="D1802" s="54" t="n">
        <x:v>1</x:v>
      </x:c>
      <x:c r="E1802" s="103" t="str">
        <x:v>Material-row source portal</x:v>
      </x:c>
      <x:c r="F1802" s="103" t="str">
        <x:v>Source portal is identified, but edition/revision and property record locator remain unresolved.</x:v>
      </x:c>
    </x:row>
    <x:row r="1803">
      <x:c r="A1803" s="54" t="n">
        <x:v>5107</x:v>
      </x:c>
      <x:c r="B1803" s="54" t="n">
        <x:v>12</x:v>
      </x:c>
      <x:c r="C1803" s="54" t="n">
        <x:v>7</x:v>
      </x:c>
      <x:c r="D1803" s="54" t="n">
        <x:v>1</x:v>
      </x:c>
      <x:c r="E1803" s="103" t="str">
        <x:v>Material-row source portal</x:v>
      </x:c>
      <x:c r="F1803" s="103" t="str">
        <x:v>Source portal is identified, but edition/revision and property record locator remain unresolved.</x:v>
      </x:c>
    </x:row>
    <x:row r="1804">
      <x:c r="A1804" s="54" t="n">
        <x:v>5107</x:v>
      </x:c>
      <x:c r="B1804" s="54" t="n">
        <x:v>13</x:v>
      </x:c>
      <x:c r="C1804" s="54" t="n">
        <x:v>7</x:v>
      </x:c>
      <x:c r="D1804" s="54" t="n">
        <x:v>1</x:v>
      </x:c>
      <x:c r="E1804" s="103" t="str">
        <x:v>Material-row source portal</x:v>
      </x:c>
      <x:c r="F1804" s="103" t="str">
        <x:v>Source portal is identified, but edition/revision and property record locator remain unresolved.</x:v>
      </x:c>
    </x:row>
    <x:row r="1805">
      <x:c r="A1805" s="54" t="n">
        <x:v>5107</x:v>
      </x:c>
      <x:c r="B1805" s="54" t="n">
        <x:v>14</x:v>
      </x:c>
      <x:c r="C1805" s="54" t="n">
        <x:v>7</x:v>
      </x:c>
      <x:c r="D1805" s="54" t="n">
        <x:v>1</x:v>
      </x:c>
      <x:c r="E1805" s="103" t="str">
        <x:v>Material-row source portal</x:v>
      </x:c>
      <x:c r="F1805" s="103" t="str">
        <x:v>Source portal is identified, but edition/revision and property record locator remain unresolved.</x:v>
      </x:c>
    </x:row>
    <x:row r="1806">
      <x:c r="A1806" s="54" t="n">
        <x:v>5107</x:v>
      </x:c>
      <x:c r="B1806" s="54" t="n">
        <x:v>15</x:v>
      </x:c>
      <x:c r="C1806" s="54" t="n">
        <x:v>7</x:v>
      </x:c>
      <x:c r="D1806" s="54" t="n">
        <x:v>1</x:v>
      </x:c>
      <x:c r="E1806" s="103" t="str">
        <x:v>Material-row source portal</x:v>
      </x:c>
      <x:c r="F1806" s="103" t="str">
        <x:v>Source portal is identified, but edition/revision and property record locator remain unresolved.</x:v>
      </x:c>
    </x:row>
    <x:row r="1807">
      <x:c r="A1807" s="54" t="n">
        <x:v>5107</x:v>
      </x:c>
      <x:c r="B1807" s="54" t="n">
        <x:v>16</x:v>
      </x:c>
      <x:c r="C1807" s="54" t="n">
        <x:v>7</x:v>
      </x:c>
      <x:c r="D1807" s="54" t="n">
        <x:v>1</x:v>
      </x:c>
      <x:c r="E1807" s="103" t="str">
        <x:v>Material-row source portal</x:v>
      </x:c>
      <x:c r="F1807" s="103" t="str">
        <x:v>Source portal is identified, but edition/revision and property record locator remain unresolved.</x:v>
      </x:c>
    </x:row>
    <x:row r="1808">
      <x:c r="A1808" s="54" t="n">
        <x:v>5108</x:v>
      </x:c>
      <x:c r="B1808" s="54" t="n">
        <x:v>1</x:v>
      </x:c>
      <x:c r="C1808" s="54" t="n">
        <x:v>7</x:v>
      </x:c>
      <x:c r="D1808" s="54" t="n">
        <x:v>1</x:v>
      </x:c>
      <x:c r="E1808" s="103" t="str">
        <x:v>Material-row source portal</x:v>
      </x:c>
      <x:c r="F1808" s="103" t="str">
        <x:v>Source portal is identified, but edition/revision and property record locator remain unresolved.</x:v>
      </x:c>
    </x:row>
    <x:row r="1809">
      <x:c r="A1809" s="54" t="n">
        <x:v>5108</x:v>
      </x:c>
      <x:c r="B1809" s="54" t="n">
        <x:v>2</x:v>
      </x:c>
      <x:c r="C1809" s="54" t="n">
        <x:v>7</x:v>
      </x:c>
      <x:c r="D1809" s="54" t="n">
        <x:v>1</x:v>
      </x:c>
      <x:c r="E1809" s="103" t="str">
        <x:v>Material-row source portal</x:v>
      </x:c>
      <x:c r="F1809" s="103" t="str">
        <x:v>Source portal is identified, but edition/revision and property record locator remain unresolved.</x:v>
      </x:c>
    </x:row>
    <x:row r="1810">
      <x:c r="A1810" s="54" t="n">
        <x:v>5108</x:v>
      </x:c>
      <x:c r="B1810" s="54" t="n">
        <x:v>3</x:v>
      </x:c>
      <x:c r="C1810" s="54" t="n">
        <x:v>7</x:v>
      </x:c>
      <x:c r="D1810" s="54" t="n">
        <x:v>1</x:v>
      </x:c>
      <x:c r="E1810" s="103" t="str">
        <x:v>Formula-derived from E and Poisson ratio; input records inherit the material-row source</x:v>
      </x:c>
      <x:c r="F1810" s="103" t="str">
        <x:v>Source portal is identified, but edition/revision and property record locator remain unresolved.</x:v>
      </x:c>
    </x:row>
    <x:row r="1811">
      <x:c r="A1811" s="54" t="n">
        <x:v>5108</x:v>
      </x:c>
      <x:c r="B1811" s="54" t="n">
        <x:v>4</x:v>
      </x:c>
      <x:c r="C1811" s="54" t="n">
        <x:v>7</x:v>
      </x:c>
      <x:c r="D1811" s="54" t="n">
        <x:v>1</x:v>
      </x:c>
      <x:c r="E1811" s="103" t="str">
        <x:v>Material-row source portal</x:v>
      </x:c>
      <x:c r="F1811" s="103" t="str">
        <x:v>Source portal is identified, but edition/revision and property record locator remain unresolved.</x:v>
      </x:c>
    </x:row>
    <x:row r="1812">
      <x:c r="A1812" s="54" t="n">
        <x:v>5108</x:v>
      </x:c>
      <x:c r="B1812" s="54" t="n">
        <x:v>6</x:v>
      </x:c>
      <x:c r="C1812" s="54" t="n">
        <x:v>7</x:v>
      </x:c>
      <x:c r="D1812" s="54" t="n">
        <x:v>1</x:v>
      </x:c>
      <x:c r="E1812" s="103" t="str">
        <x:v>Material-row source portal</x:v>
      </x:c>
      <x:c r="F1812" s="103" t="str">
        <x:v>Source portal is identified, but edition/revision and property record locator remain unresolved.</x:v>
      </x:c>
    </x:row>
    <x:row r="1813">
      <x:c r="A1813" s="54" t="n">
        <x:v>5108</x:v>
      </x:c>
      <x:c r="B1813" s="54" t="n">
        <x:v>7</x:v>
      </x:c>
      <x:c r="C1813" s="54" t="n">
        <x:v>7</x:v>
      </x:c>
      <x:c r="D1813" s="54" t="n">
        <x:v>1</x:v>
      </x:c>
      <x:c r="E1813" s="103" t="str">
        <x:v>Material-row source portal</x:v>
      </x:c>
      <x:c r="F1813" s="103" t="str">
        <x:v>Source portal is identified, but edition/revision and property record locator remain unresolved.</x:v>
      </x:c>
    </x:row>
    <x:row r="1814">
      <x:c r="A1814" s="54" t="n">
        <x:v>5108</x:v>
      </x:c>
      <x:c r="B1814" s="54" t="n">
        <x:v>8</x:v>
      </x:c>
      <x:c r="C1814" s="54" t="n">
        <x:v>7</x:v>
      </x:c>
      <x:c r="D1814" s="54" t="n">
        <x:v>1</x:v>
      </x:c>
      <x:c r="E1814" s="103" t="str">
        <x:v>Material-row source portal</x:v>
      </x:c>
      <x:c r="F1814" s="103" t="str">
        <x:v>Source portal is identified, but edition/revision and property record locator remain unresolved.</x:v>
      </x:c>
    </x:row>
    <x:row r="1815">
      <x:c r="A1815" s="54" t="n">
        <x:v>5108</x:v>
      </x:c>
      <x:c r="B1815" s="54" t="n">
        <x:v>9</x:v>
      </x:c>
      <x:c r="C1815" s="54" t="n">
        <x:v>7</x:v>
      </x:c>
      <x:c r="D1815" s="54" t="n">
        <x:v>1</x:v>
      </x:c>
      <x:c r="E1815" s="103" t="str">
        <x:v>Material-row source portal</x:v>
      </x:c>
      <x:c r="F1815" s="103" t="str">
        <x:v>Source portal is identified, but edition/revision and property record locator remain unresolved.</x:v>
      </x:c>
    </x:row>
    <x:row r="1816">
      <x:c r="A1816" s="54" t="n">
        <x:v>5108</x:v>
      </x:c>
      <x:c r="B1816" s="54" t="n">
        <x:v>11</x:v>
      </x:c>
      <x:c r="C1816" s="54" t="n">
        <x:v>7</x:v>
      </x:c>
      <x:c r="D1816" s="54" t="n">
        <x:v>1</x:v>
      </x:c>
      <x:c r="E1816" s="103" t="str">
        <x:v>Material-row source portal</x:v>
      </x:c>
      <x:c r="F1816" s="103" t="str">
        <x:v>Source portal is identified, but edition/revision and property record locator remain unresolved.</x:v>
      </x:c>
    </x:row>
    <x:row r="1817">
      <x:c r="A1817" s="54" t="n">
        <x:v>5108</x:v>
      </x:c>
      <x:c r="B1817" s="54" t="n">
        <x:v>12</x:v>
      </x:c>
      <x:c r="C1817" s="54" t="n">
        <x:v>7</x:v>
      </x:c>
      <x:c r="D1817" s="54" t="n">
        <x:v>1</x:v>
      </x:c>
      <x:c r="E1817" s="103" t="str">
        <x:v>Material-row source portal</x:v>
      </x:c>
      <x:c r="F1817" s="103" t="str">
        <x:v>Source portal is identified, but edition/revision and property record locator remain unresolved.</x:v>
      </x:c>
    </x:row>
    <x:row r="1818">
      <x:c r="A1818" s="54" t="n">
        <x:v>5108</x:v>
      </x:c>
      <x:c r="B1818" s="54" t="n">
        <x:v>13</x:v>
      </x:c>
      <x:c r="C1818" s="54" t="n">
        <x:v>7</x:v>
      </x:c>
      <x:c r="D1818" s="54" t="n">
        <x:v>1</x:v>
      </x:c>
      <x:c r="E1818" s="103" t="str">
        <x:v>Material-row source portal</x:v>
      </x:c>
      <x:c r="F1818" s="103" t="str">
        <x:v>Source portal is identified, but edition/revision and property record locator remain unresolved.</x:v>
      </x:c>
    </x:row>
    <x:row r="1819">
      <x:c r="A1819" s="54" t="n">
        <x:v>5108</x:v>
      </x:c>
      <x:c r="B1819" s="54" t="n">
        <x:v>14</x:v>
      </x:c>
      <x:c r="C1819" s="54" t="n">
        <x:v>7</x:v>
      </x:c>
      <x:c r="D1819" s="54" t="n">
        <x:v>1</x:v>
      </x:c>
      <x:c r="E1819" s="103" t="str">
        <x:v>Material-row source portal</x:v>
      </x:c>
      <x:c r="F1819" s="103" t="str">
        <x:v>Source portal is identified, but edition/revision and property record locator remain unresolved.</x:v>
      </x:c>
    </x:row>
    <x:row r="1820">
      <x:c r="A1820" s="54" t="n">
        <x:v>5108</x:v>
      </x:c>
      <x:c r="B1820" s="54" t="n">
        <x:v>15</x:v>
      </x:c>
      <x:c r="C1820" s="54" t="n">
        <x:v>7</x:v>
      </x:c>
      <x:c r="D1820" s="54" t="n">
        <x:v>1</x:v>
      </x:c>
      <x:c r="E1820" s="103" t="str">
        <x:v>Material-row source portal</x:v>
      </x:c>
      <x:c r="F1820" s="103" t="str">
        <x:v>Source portal is identified, but edition/revision and property record locator remain unresolved.</x:v>
      </x:c>
    </x:row>
    <x:row r="1821">
      <x:c r="A1821" s="54" t="n">
        <x:v>5108</x:v>
      </x:c>
      <x:c r="B1821" s="54" t="n">
        <x:v>16</x:v>
      </x:c>
      <x:c r="C1821" s="54" t="n">
        <x:v>7</x:v>
      </x:c>
      <x:c r="D1821" s="54" t="n">
        <x:v>1</x:v>
      </x:c>
      <x:c r="E1821" s="103" t="str">
        <x:v>Material-row source portal</x:v>
      </x:c>
      <x:c r="F1821" s="103" t="str">
        <x:v>Source portal is identified, but edition/revision and property record locator remain unresolved.</x:v>
      </x:c>
    </x:row>
    <x:row r="1822">
      <x:c r="A1822" s="54" t="n">
        <x:v>5109</x:v>
      </x:c>
      <x:c r="B1822" s="54" t="n">
        <x:v>1</x:v>
      </x:c>
      <x:c r="C1822" s="54" t="n">
        <x:v>7</x:v>
      </x:c>
      <x:c r="D1822" s="54" t="n">
        <x:v>1</x:v>
      </x:c>
      <x:c r="E1822" s="103" t="str">
        <x:v>Material-row source portal</x:v>
      </x:c>
      <x:c r="F1822" s="103" t="str">
        <x:v>Source portal is identified, but edition/revision and property record locator remain unresolved.</x:v>
      </x:c>
    </x:row>
    <x:row r="1823">
      <x:c r="A1823" s="54" t="n">
        <x:v>5109</x:v>
      </x:c>
      <x:c r="B1823" s="54" t="n">
        <x:v>2</x:v>
      </x:c>
      <x:c r="C1823" s="54" t="n">
        <x:v>7</x:v>
      </x:c>
      <x:c r="D1823" s="54" t="n">
        <x:v>1</x:v>
      </x:c>
      <x:c r="E1823" s="103" t="str">
        <x:v>Material-row source portal</x:v>
      </x:c>
      <x:c r="F1823" s="103" t="str">
        <x:v>Source portal is identified, but edition/revision and property record locator remain unresolved.</x:v>
      </x:c>
    </x:row>
    <x:row r="1824">
      <x:c r="A1824" s="54" t="n">
        <x:v>5109</x:v>
      </x:c>
      <x:c r="B1824" s="54" t="n">
        <x:v>3</x:v>
      </x:c>
      <x:c r="C1824" s="54" t="n">
        <x:v>7</x:v>
      </x:c>
      <x:c r="D1824" s="54" t="n">
        <x:v>1</x:v>
      </x:c>
      <x:c r="E1824" s="103" t="str">
        <x:v>Formula-derived from E and Poisson ratio; input records inherit the material-row source</x:v>
      </x:c>
      <x:c r="F1824" s="103" t="str">
        <x:v>Source portal is identified, but edition/revision and property record locator remain unresolved.</x:v>
      </x:c>
    </x:row>
    <x:row r="1825">
      <x:c r="A1825" s="54" t="n">
        <x:v>5109</x:v>
      </x:c>
      <x:c r="B1825" s="54" t="n">
        <x:v>4</x:v>
      </x:c>
      <x:c r="C1825" s="54" t="n">
        <x:v>7</x:v>
      </x:c>
      <x:c r="D1825" s="54" t="n">
        <x:v>1</x:v>
      </x:c>
      <x:c r="E1825" s="103" t="str">
        <x:v>Material-row source portal</x:v>
      </x:c>
      <x:c r="F1825" s="103" t="str">
        <x:v>Source portal is identified, but edition/revision and property record locator remain unresolved.</x:v>
      </x:c>
    </x:row>
    <x:row r="1826">
      <x:c r="A1826" s="54" t="n">
        <x:v>5109</x:v>
      </x:c>
      <x:c r="B1826" s="54" t="n">
        <x:v>6</x:v>
      </x:c>
      <x:c r="C1826" s="54" t="n">
        <x:v>7</x:v>
      </x:c>
      <x:c r="D1826" s="54" t="n">
        <x:v>1</x:v>
      </x:c>
      <x:c r="E1826" s="103" t="str">
        <x:v>Material-row source portal</x:v>
      </x:c>
      <x:c r="F1826" s="103" t="str">
        <x:v>Source portal is identified, but edition/revision and property record locator remain unresolved.</x:v>
      </x:c>
    </x:row>
    <x:row r="1827">
      <x:c r="A1827" s="54" t="n">
        <x:v>5109</x:v>
      </x:c>
      <x:c r="B1827" s="54" t="n">
        <x:v>7</x:v>
      </x:c>
      <x:c r="C1827" s="54" t="n">
        <x:v>7</x:v>
      </x:c>
      <x:c r="D1827" s="54" t="n">
        <x:v>1</x:v>
      </x:c>
      <x:c r="E1827" s="103" t="str">
        <x:v>Material-row source portal</x:v>
      </x:c>
      <x:c r="F1827" s="103" t="str">
        <x:v>Source portal is identified, but edition/revision and property record locator remain unresolved.</x:v>
      </x:c>
    </x:row>
    <x:row r="1828">
      <x:c r="A1828" s="54" t="n">
        <x:v>5109</x:v>
      </x:c>
      <x:c r="B1828" s="54" t="n">
        <x:v>8</x:v>
      </x:c>
      <x:c r="C1828" s="54" t="n">
        <x:v>7</x:v>
      </x:c>
      <x:c r="D1828" s="54" t="n">
        <x:v>1</x:v>
      </x:c>
      <x:c r="E1828" s="103" t="str">
        <x:v>Material-row source portal</x:v>
      </x:c>
      <x:c r="F1828" s="103" t="str">
        <x:v>Source portal is identified, but edition/revision and property record locator remain unresolved.</x:v>
      </x:c>
    </x:row>
    <x:row r="1829">
      <x:c r="A1829" s="54" t="n">
        <x:v>5109</x:v>
      </x:c>
      <x:c r="B1829" s="54" t="n">
        <x:v>9</x:v>
      </x:c>
      <x:c r="C1829" s="54" t="n">
        <x:v>7</x:v>
      </x:c>
      <x:c r="D1829" s="54" t="n">
        <x:v>1</x:v>
      </x:c>
      <x:c r="E1829" s="103" t="str">
        <x:v>Material-row source portal</x:v>
      </x:c>
      <x:c r="F1829" s="103" t="str">
        <x:v>Source portal is identified, but edition/revision and property record locator remain unresolved.</x:v>
      </x:c>
    </x:row>
    <x:row r="1830">
      <x:c r="A1830" s="54" t="n">
        <x:v>5109</x:v>
      </x:c>
      <x:c r="B1830" s="54" t="n">
        <x:v>11</x:v>
      </x:c>
      <x:c r="C1830" s="54" t="n">
        <x:v>7</x:v>
      </x:c>
      <x:c r="D1830" s="54" t="n">
        <x:v>1</x:v>
      </x:c>
      <x:c r="E1830" s="103" t="str">
        <x:v>Material-row source portal</x:v>
      </x:c>
      <x:c r="F1830" s="103" t="str">
        <x:v>Source portal is identified, but edition/revision and property record locator remain unresolved.</x:v>
      </x:c>
    </x:row>
    <x:row r="1831">
      <x:c r="A1831" s="54" t="n">
        <x:v>5109</x:v>
      </x:c>
      <x:c r="B1831" s="54" t="n">
        <x:v>12</x:v>
      </x:c>
      <x:c r="C1831" s="54" t="n">
        <x:v>7</x:v>
      </x:c>
      <x:c r="D1831" s="54" t="n">
        <x:v>1</x:v>
      </x:c>
      <x:c r="E1831" s="103" t="str">
        <x:v>Material-row source portal</x:v>
      </x:c>
      <x:c r="F1831" s="103" t="str">
        <x:v>Source portal is identified, but edition/revision and property record locator remain unresolved.</x:v>
      </x:c>
    </x:row>
    <x:row r="1832">
      <x:c r="A1832" s="54" t="n">
        <x:v>5109</x:v>
      </x:c>
      <x:c r="B1832" s="54" t="n">
        <x:v>13</x:v>
      </x:c>
      <x:c r="C1832" s="54" t="n">
        <x:v>7</x:v>
      </x:c>
      <x:c r="D1832" s="54" t="n">
        <x:v>1</x:v>
      </x:c>
      <x:c r="E1832" s="103" t="str">
        <x:v>Material-row source portal</x:v>
      </x:c>
      <x:c r="F1832" s="103" t="str">
        <x:v>Source portal is identified, but edition/revision and property record locator remain unresolved.</x:v>
      </x:c>
    </x:row>
    <x:row r="1833">
      <x:c r="A1833" s="54" t="n">
        <x:v>5109</x:v>
      </x:c>
      <x:c r="B1833" s="54" t="n">
        <x:v>14</x:v>
      </x:c>
      <x:c r="C1833" s="54" t="n">
        <x:v>7</x:v>
      </x:c>
      <x:c r="D1833" s="54" t="n">
        <x:v>1</x:v>
      </x:c>
      <x:c r="E1833" s="103" t="str">
        <x:v>Material-row source portal</x:v>
      </x:c>
      <x:c r="F1833" s="103" t="str">
        <x:v>Source portal is identified, but edition/revision and property record locator remain unresolved.</x:v>
      </x:c>
    </x:row>
    <x:row r="1834">
      <x:c r="A1834" s="54" t="n">
        <x:v>5109</x:v>
      </x:c>
      <x:c r="B1834" s="54" t="n">
        <x:v>15</x:v>
      </x:c>
      <x:c r="C1834" s="54" t="n">
        <x:v>7</x:v>
      </x:c>
      <x:c r="D1834" s="54" t="n">
        <x:v>1</x:v>
      </x:c>
      <x:c r="E1834" s="103" t="str">
        <x:v>Material-row source portal</x:v>
      </x:c>
      <x:c r="F1834" s="103" t="str">
        <x:v>Source portal is identified, but edition/revision and property record locator remain unresolved.</x:v>
      </x:c>
    </x:row>
    <x:row r="1835">
      <x:c r="A1835" s="54" t="n">
        <x:v>5109</x:v>
      </x:c>
      <x:c r="B1835" s="54" t="n">
        <x:v>16</x:v>
      </x:c>
      <x:c r="C1835" s="54" t="n">
        <x:v>7</x:v>
      </x:c>
      <x:c r="D1835" s="54" t="n">
        <x:v>1</x:v>
      </x:c>
      <x:c r="E1835" s="103" t="str">
        <x:v>Material-row source portal</x:v>
      </x:c>
      <x:c r="F1835" s="103" t="str">
        <x:v>Source portal is identified, but edition/revision and property record locator remain unresolved.</x:v>
      </x:c>
    </x:row>
    <x:row r="1836">
      <x:c r="A1836" s="54" t="n">
        <x:v>6001</x:v>
      </x:c>
      <x:c r="B1836" s="54" t="n">
        <x:v>1</x:v>
      </x:c>
      <x:c r="C1836" s="54" t="n">
        <x:v>8</x:v>
      </x:c>
      <x:c r="D1836" s="54" t="n">
        <x:v>1</x:v>
      </x:c>
      <x:c r="E1836" s="103" t="str">
        <x:v>Material-row source portal</x:v>
      </x:c>
      <x:c r="F1836" s="103" t="str">
        <x:v>Source portal is identified, but edition/revision and property record locator remain unresolved.</x:v>
      </x:c>
    </x:row>
    <x:row r="1837">
      <x:c r="A1837" s="54" t="n">
        <x:v>6001</x:v>
      </x:c>
      <x:c r="B1837" s="54" t="n">
        <x:v>2</x:v>
      </x:c>
      <x:c r="C1837" s="54" t="n">
        <x:v>8</x:v>
      </x:c>
      <x:c r="D1837" s="54" t="n">
        <x:v>1</x:v>
      </x:c>
      <x:c r="E1837" s="103" t="str">
        <x:v>Material-row source portal</x:v>
      </x:c>
      <x:c r="F1837" s="103" t="str">
        <x:v>Source portal is identified, but edition/revision and property record locator remain unresolved.</x:v>
      </x:c>
    </x:row>
    <x:row r="1838">
      <x:c r="A1838" s="54" t="n">
        <x:v>6001</x:v>
      </x:c>
      <x:c r="B1838" s="54" t="n">
        <x:v>3</x:v>
      </x:c>
      <x:c r="C1838" s="54" t="n">
        <x:v>8</x:v>
      </x:c>
      <x:c r="D1838" s="54" t="n">
        <x:v>1</x:v>
      </x:c>
      <x:c r="E1838" s="103" t="str">
        <x:v>Formula-derived from E and Poisson ratio; input records inherit the material-row source</x:v>
      </x:c>
      <x:c r="F1838" s="103" t="str">
        <x:v>Source portal is identified, but edition/revision and property record locator remain unresolved.</x:v>
      </x:c>
    </x:row>
    <x:row r="1839">
      <x:c r="A1839" s="54" t="n">
        <x:v>6001</x:v>
      </x:c>
      <x:c r="B1839" s="54" t="n">
        <x:v>4</x:v>
      </x:c>
      <x:c r="C1839" s="54" t="n">
        <x:v>8</x:v>
      </x:c>
      <x:c r="D1839" s="54" t="n">
        <x:v>1</x:v>
      </x:c>
      <x:c r="E1839" s="103" t="str">
        <x:v>Material-row source portal</x:v>
      </x:c>
      <x:c r="F1839" s="103" t="str">
        <x:v>Source portal is identified, but edition/revision and property record locator remain unresolved.</x:v>
      </x:c>
    </x:row>
    <x:row r="1840">
      <x:c r="A1840" s="54" t="n">
        <x:v>6001</x:v>
      </x:c>
      <x:c r="B1840" s="54" t="n">
        <x:v>6</x:v>
      </x:c>
      <x:c r="C1840" s="54" t="n">
        <x:v>8</x:v>
      </x:c>
      <x:c r="D1840" s="54" t="n">
        <x:v>1</x:v>
      </x:c>
      <x:c r="E1840" s="103" t="str">
        <x:v>Material-row source portal</x:v>
      </x:c>
      <x:c r="F1840" s="103" t="str">
        <x:v>Source portal is identified, but edition/revision and property record locator remain unresolved.</x:v>
      </x:c>
    </x:row>
    <x:row r="1841">
      <x:c r="A1841" s="54" t="n">
        <x:v>6001</x:v>
      </x:c>
      <x:c r="B1841" s="54" t="n">
        <x:v>7</x:v>
      </x:c>
      <x:c r="C1841" s="54" t="n">
        <x:v>8</x:v>
      </x:c>
      <x:c r="D1841" s="54" t="n">
        <x:v>1</x:v>
      </x:c>
      <x:c r="E1841" s="103" t="str">
        <x:v>Material-row source portal</x:v>
      </x:c>
      <x:c r="F1841" s="103" t="str">
        <x:v>Source portal is identified, but edition/revision and property record locator remain unresolved.</x:v>
      </x:c>
    </x:row>
    <x:row r="1842">
      <x:c r="A1842" s="54" t="n">
        <x:v>6001</x:v>
      </x:c>
      <x:c r="B1842" s="54" t="n">
        <x:v>8</x:v>
      </x:c>
      <x:c r="C1842" s="54" t="n">
        <x:v>8</x:v>
      </x:c>
      <x:c r="D1842" s="54" t="n">
        <x:v>1</x:v>
      </x:c>
      <x:c r="E1842" s="103" t="str">
        <x:v>Material-row source portal</x:v>
      </x:c>
      <x:c r="F1842" s="103" t="str">
        <x:v>Source portal is identified, but edition/revision and property record locator remain unresolved.</x:v>
      </x:c>
    </x:row>
    <x:row r="1843">
      <x:c r="A1843" s="54" t="n">
        <x:v>6001</x:v>
      </x:c>
      <x:c r="B1843" s="54" t="n">
        <x:v>9</x:v>
      </x:c>
      <x:c r="C1843" s="54" t="n">
        <x:v>8</x:v>
      </x:c>
      <x:c r="D1843" s="54" t="n">
        <x:v>1</x:v>
      </x:c>
      <x:c r="E1843" s="103" t="str">
        <x:v>Material-row source portal</x:v>
      </x:c>
      <x:c r="F1843" s="103" t="str">
        <x:v>Source portal is identified, but edition/revision and property record locator remain unresolved.</x:v>
      </x:c>
    </x:row>
    <x:row r="1844">
      <x:c r="A1844" s="54" t="n">
        <x:v>6001</x:v>
      </x:c>
      <x:c r="B1844" s="54" t="n">
        <x:v>10</x:v>
      </x:c>
      <x:c r="C1844" s="54" t="n">
        <x:v>8</x:v>
      </x:c>
      <x:c r="D1844" s="54" t="n">
        <x:v>1</x:v>
      </x:c>
      <x:c r="E1844" s="103" t="str">
        <x:v>Material-row source portal</x:v>
      </x:c>
      <x:c r="F1844" s="103" t="str">
        <x:v>Source portal is identified, but edition/revision and property record locator remain unresolved.</x:v>
      </x:c>
    </x:row>
    <x:row r="1845">
      <x:c r="A1845" s="54" t="n">
        <x:v>6001</x:v>
      </x:c>
      <x:c r="B1845" s="54" t="n">
        <x:v>11</x:v>
      </x:c>
      <x:c r="C1845" s="54" t="n">
        <x:v>8</x:v>
      </x:c>
      <x:c r="D1845" s="54" t="n">
        <x:v>1</x:v>
      </x:c>
      <x:c r="E1845" s="103" t="str">
        <x:v>Material-row source portal</x:v>
      </x:c>
      <x:c r="F1845" s="103" t="str">
        <x:v>Source portal is identified, but edition/revision and property record locator remain unresolved.</x:v>
      </x:c>
    </x:row>
    <x:row r="1846">
      <x:c r="A1846" s="54" t="n">
        <x:v>6001</x:v>
      </x:c>
      <x:c r="B1846" s="54" t="n">
        <x:v>12</x:v>
      </x:c>
      <x:c r="C1846" s="54" t="n">
        <x:v>8</x:v>
      </x:c>
      <x:c r="D1846" s="54" t="n">
        <x:v>1</x:v>
      </x:c>
      <x:c r="E1846" s="103" t="str">
        <x:v>Material-row source portal</x:v>
      </x:c>
      <x:c r="F1846" s="103" t="str">
        <x:v>Source portal is identified, but edition/revision and property record locator remain unresolved.</x:v>
      </x:c>
    </x:row>
    <x:row r="1847">
      <x:c r="A1847" s="54" t="n">
        <x:v>6001</x:v>
      </x:c>
      <x:c r="B1847" s="54" t="n">
        <x:v>13</x:v>
      </x:c>
      <x:c r="C1847" s="54" t="n">
        <x:v>8</x:v>
      </x:c>
      <x:c r="D1847" s="54" t="n">
        <x:v>1</x:v>
      </x:c>
      <x:c r="E1847" s="103" t="str">
        <x:v>Material-row source portal</x:v>
      </x:c>
      <x:c r="F1847" s="103" t="str">
        <x:v>Source portal is identified, but edition/revision and property record locator remain unresolved.</x:v>
      </x:c>
    </x:row>
    <x:row r="1848">
      <x:c r="A1848" s="54" t="n">
        <x:v>6001</x:v>
      </x:c>
      <x:c r="B1848" s="54" t="n">
        <x:v>14</x:v>
      </x:c>
      <x:c r="C1848" s="54" t="n">
        <x:v>8</x:v>
      </x:c>
      <x:c r="D1848" s="54" t="n">
        <x:v>1</x:v>
      </x:c>
      <x:c r="E1848" s="103" t="str">
        <x:v>Material-row source portal</x:v>
      </x:c>
      <x:c r="F1848" s="103" t="str">
        <x:v>Source portal is identified, but edition/revision and property record locator remain unresolved.</x:v>
      </x:c>
    </x:row>
    <x:row r="1849">
      <x:c r="A1849" s="54" t="n">
        <x:v>6001</x:v>
      </x:c>
      <x:c r="B1849" s="54" t="n">
        <x:v>15</x:v>
      </x:c>
      <x:c r="C1849" s="54" t="n">
        <x:v>8</x:v>
      </x:c>
      <x:c r="D1849" s="54" t="n">
        <x:v>1</x:v>
      </x:c>
      <x:c r="E1849" s="103" t="str">
        <x:v>Material-row source portal</x:v>
      </x:c>
      <x:c r="F1849" s="103" t="str">
        <x:v>Source portal is identified, but edition/revision and property record locator remain unresolved.</x:v>
      </x:c>
    </x:row>
    <x:row r="1850">
      <x:c r="A1850" s="54" t="n">
        <x:v>6001</x:v>
      </x:c>
      <x:c r="B1850" s="54" t="n">
        <x:v>16</x:v>
      </x:c>
      <x:c r="C1850" s="54" t="n">
        <x:v>8</x:v>
      </x:c>
      <x:c r="D1850" s="54" t="n">
        <x:v>1</x:v>
      </x:c>
      <x:c r="E1850" s="103" t="str">
        <x:v>Material-row source portal</x:v>
      </x:c>
      <x:c r="F1850" s="103" t="str">
        <x:v>Source portal is identified, but edition/revision and property record locator remain unresolved.</x:v>
      </x:c>
    </x:row>
    <x:row r="1851">
      <x:c r="A1851" s="54" t="n">
        <x:v>6001</x:v>
      </x:c>
      <x:c r="B1851" s="54" t="n">
        <x:v>18</x:v>
      </x:c>
      <x:c r="C1851" s="54" t="n">
        <x:v>8</x:v>
      </x:c>
      <x:c r="D1851" s="54" t="n">
        <x:v>1</x:v>
      </x:c>
      <x:c r="E1851" s="103" t="str">
        <x:v>Formula-derived from E and Poisson ratio; input records inherit the material-row source</x:v>
      </x:c>
      <x:c r="F1851" s="103" t="str">
        <x:v>Source portal is identified, but edition/revision and property record locator remain unresolved.</x:v>
      </x:c>
    </x:row>
    <x:row r="1852">
      <x:c r="A1852" s="54" t="n">
        <x:v>6002</x:v>
      </x:c>
      <x:c r="B1852" s="54" t="n">
        <x:v>1</x:v>
      </x:c>
      <x:c r="C1852" s="54" t="n">
        <x:v>8</x:v>
      </x:c>
      <x:c r="D1852" s="54" t="n">
        <x:v>1</x:v>
      </x:c>
      <x:c r="E1852" s="103" t="str">
        <x:v>Material-row source portal</x:v>
      </x:c>
      <x:c r="F1852" s="103" t="str">
        <x:v>Source portal is identified, but edition/revision and property record locator remain unresolved.</x:v>
      </x:c>
    </x:row>
    <x:row r="1853">
      <x:c r="A1853" s="54" t="n">
        <x:v>6002</x:v>
      </x:c>
      <x:c r="B1853" s="54" t="n">
        <x:v>2</x:v>
      </x:c>
      <x:c r="C1853" s="54" t="n">
        <x:v>8</x:v>
      </x:c>
      <x:c r="D1853" s="54" t="n">
        <x:v>1</x:v>
      </x:c>
      <x:c r="E1853" s="103" t="str">
        <x:v>Material-row source portal</x:v>
      </x:c>
      <x:c r="F1853" s="103" t="str">
        <x:v>Source portal is identified, but edition/revision and property record locator remain unresolved.</x:v>
      </x:c>
    </x:row>
    <x:row r="1854">
      <x:c r="A1854" s="54" t="n">
        <x:v>6002</x:v>
      </x:c>
      <x:c r="B1854" s="54" t="n">
        <x:v>3</x:v>
      </x:c>
      <x:c r="C1854" s="54" t="n">
        <x:v>8</x:v>
      </x:c>
      <x:c r="D1854" s="54" t="n">
        <x:v>1</x:v>
      </x:c>
      <x:c r="E1854" s="103" t="str">
        <x:v>Formula-derived from E and Poisson ratio; input records inherit the material-row source</x:v>
      </x:c>
      <x:c r="F1854" s="103" t="str">
        <x:v>Source portal is identified, but edition/revision and property record locator remain unresolved.</x:v>
      </x:c>
    </x:row>
    <x:row r="1855">
      <x:c r="A1855" s="54" t="n">
        <x:v>6002</x:v>
      </x:c>
      <x:c r="B1855" s="54" t="n">
        <x:v>4</x:v>
      </x:c>
      <x:c r="C1855" s="54" t="n">
        <x:v>8</x:v>
      </x:c>
      <x:c r="D1855" s="54" t="n">
        <x:v>1</x:v>
      </x:c>
      <x:c r="E1855" s="103" t="str">
        <x:v>Material-row source portal</x:v>
      </x:c>
      <x:c r="F1855" s="103" t="str">
        <x:v>Source portal is identified, but edition/revision and property record locator remain unresolved.</x:v>
      </x:c>
    </x:row>
    <x:row r="1856">
      <x:c r="A1856" s="54" t="n">
        <x:v>6002</x:v>
      </x:c>
      <x:c r="B1856" s="54" t="n">
        <x:v>6</x:v>
      </x:c>
      <x:c r="C1856" s="54" t="n">
        <x:v>8</x:v>
      </x:c>
      <x:c r="D1856" s="54" t="n">
        <x:v>1</x:v>
      </x:c>
      <x:c r="E1856" s="103" t="str">
        <x:v>Material-row source portal</x:v>
      </x:c>
      <x:c r="F1856" s="103" t="str">
        <x:v>Source portal is identified, but edition/revision and property record locator remain unresolved.</x:v>
      </x:c>
    </x:row>
    <x:row r="1857">
      <x:c r="A1857" s="54" t="n">
        <x:v>6002</x:v>
      </x:c>
      <x:c r="B1857" s="54" t="n">
        <x:v>7</x:v>
      </x:c>
      <x:c r="C1857" s="54" t="n">
        <x:v>8</x:v>
      </x:c>
      <x:c r="D1857" s="54" t="n">
        <x:v>1</x:v>
      </x:c>
      <x:c r="E1857" s="103" t="str">
        <x:v>Material-row source portal</x:v>
      </x:c>
      <x:c r="F1857" s="103" t="str">
        <x:v>Source portal is identified, but edition/revision and property record locator remain unresolved.</x:v>
      </x:c>
    </x:row>
    <x:row r="1858">
      <x:c r="A1858" s="54" t="n">
        <x:v>6002</x:v>
      </x:c>
      <x:c r="B1858" s="54" t="n">
        <x:v>8</x:v>
      </x:c>
      <x:c r="C1858" s="54" t="n">
        <x:v>8</x:v>
      </x:c>
      <x:c r="D1858" s="54" t="n">
        <x:v>1</x:v>
      </x:c>
      <x:c r="E1858" s="103" t="str">
        <x:v>Material-row source portal</x:v>
      </x:c>
      <x:c r="F1858" s="103" t="str">
        <x:v>Source portal is identified, but edition/revision and property record locator remain unresolved.</x:v>
      </x:c>
    </x:row>
    <x:row r="1859">
      <x:c r="A1859" s="54" t="n">
        <x:v>6002</x:v>
      </x:c>
      <x:c r="B1859" s="54" t="n">
        <x:v>9</x:v>
      </x:c>
      <x:c r="C1859" s="54" t="n">
        <x:v>8</x:v>
      </x:c>
      <x:c r="D1859" s="54" t="n">
        <x:v>1</x:v>
      </x:c>
      <x:c r="E1859" s="103" t="str">
        <x:v>Material-row source portal</x:v>
      </x:c>
      <x:c r="F1859" s="103" t="str">
        <x:v>Source portal is identified, but edition/revision and property record locator remain unresolved.</x:v>
      </x:c>
    </x:row>
    <x:row r="1860">
      <x:c r="A1860" s="54" t="n">
        <x:v>6002</x:v>
      </x:c>
      <x:c r="B1860" s="54" t="n">
        <x:v>10</x:v>
      </x:c>
      <x:c r="C1860" s="54" t="n">
        <x:v>8</x:v>
      </x:c>
      <x:c r="D1860" s="54" t="n">
        <x:v>1</x:v>
      </x:c>
      <x:c r="E1860" s="103" t="str">
        <x:v>Material-row source portal</x:v>
      </x:c>
      <x:c r="F1860" s="103" t="str">
        <x:v>Source portal is identified, but edition/revision and property record locator remain unresolved.</x:v>
      </x:c>
    </x:row>
    <x:row r="1861">
      <x:c r="A1861" s="54" t="n">
        <x:v>6002</x:v>
      </x:c>
      <x:c r="B1861" s="54" t="n">
        <x:v>11</x:v>
      </x:c>
      <x:c r="C1861" s="54" t="n">
        <x:v>8</x:v>
      </x:c>
      <x:c r="D1861" s="54" t="n">
        <x:v>1</x:v>
      </x:c>
      <x:c r="E1861" s="103" t="str">
        <x:v>Material-row source portal</x:v>
      </x:c>
      <x:c r="F1861" s="103" t="str">
        <x:v>Source portal is identified, but edition/revision and property record locator remain unresolved.</x:v>
      </x:c>
    </x:row>
    <x:row r="1862">
      <x:c r="A1862" s="54" t="n">
        <x:v>6002</x:v>
      </x:c>
      <x:c r="B1862" s="54" t="n">
        <x:v>12</x:v>
      </x:c>
      <x:c r="C1862" s="54" t="n">
        <x:v>8</x:v>
      </x:c>
      <x:c r="D1862" s="54" t="n">
        <x:v>1</x:v>
      </x:c>
      <x:c r="E1862" s="103" t="str">
        <x:v>Material-row source portal</x:v>
      </x:c>
      <x:c r="F1862" s="103" t="str">
        <x:v>Source portal is identified, but edition/revision and property record locator remain unresolved.</x:v>
      </x:c>
    </x:row>
    <x:row r="1863">
      <x:c r="A1863" s="54" t="n">
        <x:v>6002</x:v>
      </x:c>
      <x:c r="B1863" s="54" t="n">
        <x:v>13</x:v>
      </x:c>
      <x:c r="C1863" s="54" t="n">
        <x:v>8</x:v>
      </x:c>
      <x:c r="D1863" s="54" t="n">
        <x:v>1</x:v>
      </x:c>
      <x:c r="E1863" s="103" t="str">
        <x:v>Material-row source portal</x:v>
      </x:c>
      <x:c r="F1863" s="103" t="str">
        <x:v>Source portal is identified, but edition/revision and property record locator remain unresolved.</x:v>
      </x:c>
    </x:row>
    <x:row r="1864">
      <x:c r="A1864" s="54" t="n">
        <x:v>6002</x:v>
      </x:c>
      <x:c r="B1864" s="54" t="n">
        <x:v>14</x:v>
      </x:c>
      <x:c r="C1864" s="54" t="n">
        <x:v>8</x:v>
      </x:c>
      <x:c r="D1864" s="54" t="n">
        <x:v>1</x:v>
      </x:c>
      <x:c r="E1864" s="103" t="str">
        <x:v>Material-row source portal</x:v>
      </x:c>
      <x:c r="F1864" s="103" t="str">
        <x:v>Source portal is identified, but edition/revision and property record locator remain unresolved.</x:v>
      </x:c>
    </x:row>
    <x:row r="1865">
      <x:c r="A1865" s="54" t="n">
        <x:v>6002</x:v>
      </x:c>
      <x:c r="B1865" s="54" t="n">
        <x:v>15</x:v>
      </x:c>
      <x:c r="C1865" s="54" t="n">
        <x:v>8</x:v>
      </x:c>
      <x:c r="D1865" s="54" t="n">
        <x:v>1</x:v>
      </x:c>
      <x:c r="E1865" s="103" t="str">
        <x:v>Material-row source portal</x:v>
      </x:c>
      <x:c r="F1865" s="103" t="str">
        <x:v>Source portal is identified, but edition/revision and property record locator remain unresolved.</x:v>
      </x:c>
    </x:row>
    <x:row r="1866">
      <x:c r="A1866" s="54" t="n">
        <x:v>6002</x:v>
      </x:c>
      <x:c r="B1866" s="54" t="n">
        <x:v>16</x:v>
      </x:c>
      <x:c r="C1866" s="54" t="n">
        <x:v>8</x:v>
      </x:c>
      <x:c r="D1866" s="54" t="n">
        <x:v>1</x:v>
      </x:c>
      <x:c r="E1866" s="103" t="str">
        <x:v>Material-row source portal</x:v>
      </x:c>
      <x:c r="F1866" s="103" t="str">
        <x:v>Source portal is identified, but edition/revision and property record locator remain unresolved.</x:v>
      </x:c>
    </x:row>
    <x:row r="1867">
      <x:c r="A1867" s="54" t="n">
        <x:v>6002</x:v>
      </x:c>
      <x:c r="B1867" s="54" t="n">
        <x:v>18</x:v>
      </x:c>
      <x:c r="C1867" s="54" t="n">
        <x:v>8</x:v>
      </x:c>
      <x:c r="D1867" s="54" t="n">
        <x:v>1</x:v>
      </x:c>
      <x:c r="E1867" s="103" t="str">
        <x:v>Formula-derived from E and Poisson ratio; input records inherit the material-row source</x:v>
      </x:c>
      <x:c r="F1867" s="103" t="str">
        <x:v>Source portal is identified, but edition/revision and property record locator remain unresolved.</x:v>
      </x:c>
    </x:row>
    <x:row r="1868">
      <x:c r="A1868" s="54" t="n">
        <x:v>6003</x:v>
      </x:c>
      <x:c r="B1868" s="54" t="n">
        <x:v>1</x:v>
      </x:c>
      <x:c r="C1868" s="54" t="n">
        <x:v>8</x:v>
      </x:c>
      <x:c r="D1868" s="54" t="n">
        <x:v>1</x:v>
      </x:c>
      <x:c r="E1868" s="103" t="str">
        <x:v>Material-row source portal</x:v>
      </x:c>
      <x:c r="F1868" s="103" t="str">
        <x:v>Source portal is identified, but edition/revision and property record locator remain unresolved.</x:v>
      </x:c>
    </x:row>
    <x:row r="1869">
      <x:c r="A1869" s="54" t="n">
        <x:v>6003</x:v>
      </x:c>
      <x:c r="B1869" s="54" t="n">
        <x:v>2</x:v>
      </x:c>
      <x:c r="C1869" s="54" t="n">
        <x:v>8</x:v>
      </x:c>
      <x:c r="D1869" s="54" t="n">
        <x:v>1</x:v>
      </x:c>
      <x:c r="E1869" s="103" t="str">
        <x:v>Material-row source portal</x:v>
      </x:c>
      <x:c r="F1869" s="103" t="str">
        <x:v>Source portal is identified, but edition/revision and property record locator remain unresolved.</x:v>
      </x:c>
    </x:row>
    <x:row r="1870">
      <x:c r="A1870" s="54" t="n">
        <x:v>6003</x:v>
      </x:c>
      <x:c r="B1870" s="54" t="n">
        <x:v>3</x:v>
      </x:c>
      <x:c r="C1870" s="54" t="n">
        <x:v>8</x:v>
      </x:c>
      <x:c r="D1870" s="54" t="n">
        <x:v>1</x:v>
      </x:c>
      <x:c r="E1870" s="103" t="str">
        <x:v>Formula-derived from E and Poisson ratio; input records inherit the material-row source</x:v>
      </x:c>
      <x:c r="F1870" s="103" t="str">
        <x:v>Source portal is identified, but edition/revision and property record locator remain unresolved.</x:v>
      </x:c>
    </x:row>
    <x:row r="1871">
      <x:c r="A1871" s="54" t="n">
        <x:v>6003</x:v>
      </x:c>
      <x:c r="B1871" s="54" t="n">
        <x:v>4</x:v>
      </x:c>
      <x:c r="C1871" s="54" t="n">
        <x:v>8</x:v>
      </x:c>
      <x:c r="D1871" s="54" t="n">
        <x:v>1</x:v>
      </x:c>
      <x:c r="E1871" s="103" t="str">
        <x:v>Material-row source portal</x:v>
      </x:c>
      <x:c r="F1871" s="103" t="str">
        <x:v>Source portal is identified, but edition/revision and property record locator remain unresolved.</x:v>
      </x:c>
    </x:row>
    <x:row r="1872">
      <x:c r="A1872" s="54" t="n">
        <x:v>6003</x:v>
      </x:c>
      <x:c r="B1872" s="54" t="n">
        <x:v>6</x:v>
      </x:c>
      <x:c r="C1872" s="54" t="n">
        <x:v>8</x:v>
      </x:c>
      <x:c r="D1872" s="54" t="n">
        <x:v>1</x:v>
      </x:c>
      <x:c r="E1872" s="103" t="str">
        <x:v>Material-row source portal</x:v>
      </x:c>
      <x:c r="F1872" s="103" t="str">
        <x:v>Source portal is identified, but edition/revision and property record locator remain unresolved.</x:v>
      </x:c>
    </x:row>
    <x:row r="1873">
      <x:c r="A1873" s="54" t="n">
        <x:v>6003</x:v>
      </x:c>
      <x:c r="B1873" s="54" t="n">
        <x:v>7</x:v>
      </x:c>
      <x:c r="C1873" s="54" t="n">
        <x:v>8</x:v>
      </x:c>
      <x:c r="D1873" s="54" t="n">
        <x:v>1</x:v>
      </x:c>
      <x:c r="E1873" s="103" t="str">
        <x:v>Material-row source portal</x:v>
      </x:c>
      <x:c r="F1873" s="103" t="str">
        <x:v>Source portal is identified, but edition/revision and property record locator remain unresolved.</x:v>
      </x:c>
    </x:row>
    <x:row r="1874">
      <x:c r="A1874" s="54" t="n">
        <x:v>6003</x:v>
      </x:c>
      <x:c r="B1874" s="54" t="n">
        <x:v>8</x:v>
      </x:c>
      <x:c r="C1874" s="54" t="n">
        <x:v>8</x:v>
      </x:c>
      <x:c r="D1874" s="54" t="n">
        <x:v>1</x:v>
      </x:c>
      <x:c r="E1874" s="103" t="str">
        <x:v>Material-row source portal</x:v>
      </x:c>
      <x:c r="F1874" s="103" t="str">
        <x:v>Source portal is identified, but edition/revision and property record locator remain unresolved.</x:v>
      </x:c>
    </x:row>
    <x:row r="1875">
      <x:c r="A1875" s="54" t="n">
        <x:v>6003</x:v>
      </x:c>
      <x:c r="B1875" s="54" t="n">
        <x:v>9</x:v>
      </x:c>
      <x:c r="C1875" s="54" t="n">
        <x:v>8</x:v>
      </x:c>
      <x:c r="D1875" s="54" t="n">
        <x:v>1</x:v>
      </x:c>
      <x:c r="E1875" s="103" t="str">
        <x:v>Material-row source portal</x:v>
      </x:c>
      <x:c r="F1875" s="103" t="str">
        <x:v>Source portal is identified, but edition/revision and property record locator remain unresolved.</x:v>
      </x:c>
    </x:row>
    <x:row r="1876">
      <x:c r="A1876" s="54" t="n">
        <x:v>6003</x:v>
      </x:c>
      <x:c r="B1876" s="54" t="n">
        <x:v>10</x:v>
      </x:c>
      <x:c r="C1876" s="54" t="n">
        <x:v>8</x:v>
      </x:c>
      <x:c r="D1876" s="54" t="n">
        <x:v>1</x:v>
      </x:c>
      <x:c r="E1876" s="103" t="str">
        <x:v>Material-row source portal</x:v>
      </x:c>
      <x:c r="F1876" s="103" t="str">
        <x:v>Source portal is identified, but edition/revision and property record locator remain unresolved.</x:v>
      </x:c>
    </x:row>
    <x:row r="1877">
      <x:c r="A1877" s="54" t="n">
        <x:v>6003</x:v>
      </x:c>
      <x:c r="B1877" s="54" t="n">
        <x:v>11</x:v>
      </x:c>
      <x:c r="C1877" s="54" t="n">
        <x:v>8</x:v>
      </x:c>
      <x:c r="D1877" s="54" t="n">
        <x:v>1</x:v>
      </x:c>
      <x:c r="E1877" s="103" t="str">
        <x:v>Material-row source portal</x:v>
      </x:c>
      <x:c r="F1877" s="103" t="str">
        <x:v>Source portal is identified, but edition/revision and property record locator remain unresolved.</x:v>
      </x:c>
    </x:row>
    <x:row r="1878">
      <x:c r="A1878" s="54" t="n">
        <x:v>6003</x:v>
      </x:c>
      <x:c r="B1878" s="54" t="n">
        <x:v>12</x:v>
      </x:c>
      <x:c r="C1878" s="54" t="n">
        <x:v>8</x:v>
      </x:c>
      <x:c r="D1878" s="54" t="n">
        <x:v>1</x:v>
      </x:c>
      <x:c r="E1878" s="103" t="str">
        <x:v>Material-row source portal</x:v>
      </x:c>
      <x:c r="F1878" s="103" t="str">
        <x:v>Source portal is identified, but edition/revision and property record locator remain unresolved.</x:v>
      </x:c>
    </x:row>
    <x:row r="1879">
      <x:c r="A1879" s="54" t="n">
        <x:v>6003</x:v>
      </x:c>
      <x:c r="B1879" s="54" t="n">
        <x:v>13</x:v>
      </x:c>
      <x:c r="C1879" s="54" t="n">
        <x:v>8</x:v>
      </x:c>
      <x:c r="D1879" s="54" t="n">
        <x:v>1</x:v>
      </x:c>
      <x:c r="E1879" s="103" t="str">
        <x:v>Material-row source portal</x:v>
      </x:c>
      <x:c r="F1879" s="103" t="str">
        <x:v>Source portal is identified, but edition/revision and property record locator remain unresolved.</x:v>
      </x:c>
    </x:row>
    <x:row r="1880">
      <x:c r="A1880" s="54" t="n">
        <x:v>6003</x:v>
      </x:c>
      <x:c r="B1880" s="54" t="n">
        <x:v>14</x:v>
      </x:c>
      <x:c r="C1880" s="54" t="n">
        <x:v>8</x:v>
      </x:c>
      <x:c r="D1880" s="54" t="n">
        <x:v>1</x:v>
      </x:c>
      <x:c r="E1880" s="103" t="str">
        <x:v>Material-row source portal</x:v>
      </x:c>
      <x:c r="F1880" s="103" t="str">
        <x:v>Source portal is identified, but edition/revision and property record locator remain unresolved.</x:v>
      </x:c>
    </x:row>
    <x:row r="1881">
      <x:c r="A1881" s="54" t="n">
        <x:v>6003</x:v>
      </x:c>
      <x:c r="B1881" s="54" t="n">
        <x:v>15</x:v>
      </x:c>
      <x:c r="C1881" s="54" t="n">
        <x:v>8</x:v>
      </x:c>
      <x:c r="D1881" s="54" t="n">
        <x:v>1</x:v>
      </x:c>
      <x:c r="E1881" s="103" t="str">
        <x:v>Material-row source portal</x:v>
      </x:c>
      <x:c r="F1881" s="103" t="str">
        <x:v>Source portal is identified, but edition/revision and property record locator remain unresolved.</x:v>
      </x:c>
    </x:row>
    <x:row r="1882">
      <x:c r="A1882" s="54" t="n">
        <x:v>6003</x:v>
      </x:c>
      <x:c r="B1882" s="54" t="n">
        <x:v>16</x:v>
      </x:c>
      <x:c r="C1882" s="54" t="n">
        <x:v>8</x:v>
      </x:c>
      <x:c r="D1882" s="54" t="n">
        <x:v>1</x:v>
      </x:c>
      <x:c r="E1882" s="103" t="str">
        <x:v>Material-row source portal</x:v>
      </x:c>
      <x:c r="F1882" s="103" t="str">
        <x:v>Source portal is identified, but edition/revision and property record locator remain unresolved.</x:v>
      </x:c>
    </x:row>
    <x:row r="1883">
      <x:c r="A1883" s="54" t="n">
        <x:v>6003</x:v>
      </x:c>
      <x:c r="B1883" s="54" t="n">
        <x:v>18</x:v>
      </x:c>
      <x:c r="C1883" s="54" t="n">
        <x:v>8</x:v>
      </x:c>
      <x:c r="D1883" s="54" t="n">
        <x:v>1</x:v>
      </x:c>
      <x:c r="E1883" s="103" t="str">
        <x:v>Formula-derived from E and Poisson ratio; input records inherit the material-row source</x:v>
      </x:c>
      <x:c r="F1883" s="103" t="str">
        <x:v>Source portal is identified, but edition/revision and property record locator remain unresolved.</x:v>
      </x:c>
    </x:row>
    <x:row r="1884">
      <x:c r="A1884" s="54" t="n">
        <x:v>6004</x:v>
      </x:c>
      <x:c r="B1884" s="54" t="n">
        <x:v>1</x:v>
      </x:c>
      <x:c r="C1884" s="54" t="n">
        <x:v>8</x:v>
      </x:c>
      <x:c r="D1884" s="54" t="n">
        <x:v>1</x:v>
      </x:c>
      <x:c r="E1884" s="103" t="str">
        <x:v>Material-row source portal</x:v>
      </x:c>
      <x:c r="F1884" s="103" t="str">
        <x:v>Source portal is identified, but edition/revision and property record locator remain unresolved.</x:v>
      </x:c>
    </x:row>
    <x:row r="1885">
      <x:c r="A1885" s="54" t="n">
        <x:v>6004</x:v>
      </x:c>
      <x:c r="B1885" s="54" t="n">
        <x:v>2</x:v>
      </x:c>
      <x:c r="C1885" s="54" t="n">
        <x:v>8</x:v>
      </x:c>
      <x:c r="D1885" s="54" t="n">
        <x:v>1</x:v>
      </x:c>
      <x:c r="E1885" s="103" t="str">
        <x:v>Material-row source portal</x:v>
      </x:c>
      <x:c r="F1885" s="103" t="str">
        <x:v>Source portal is identified, but edition/revision and property record locator remain unresolved.</x:v>
      </x:c>
    </x:row>
    <x:row r="1886">
      <x:c r="A1886" s="54" t="n">
        <x:v>6004</x:v>
      </x:c>
      <x:c r="B1886" s="54" t="n">
        <x:v>3</x:v>
      </x:c>
      <x:c r="C1886" s="54" t="n">
        <x:v>8</x:v>
      </x:c>
      <x:c r="D1886" s="54" t="n">
        <x:v>1</x:v>
      </x:c>
      <x:c r="E1886" s="103" t="str">
        <x:v>Formula-derived from E and Poisson ratio; input records inherit the material-row source</x:v>
      </x:c>
      <x:c r="F1886" s="103" t="str">
        <x:v>Source portal is identified, but edition/revision and property record locator remain unresolved.</x:v>
      </x:c>
    </x:row>
    <x:row r="1887">
      <x:c r="A1887" s="54" t="n">
        <x:v>6004</x:v>
      </x:c>
      <x:c r="B1887" s="54" t="n">
        <x:v>4</x:v>
      </x:c>
      <x:c r="C1887" s="54" t="n">
        <x:v>8</x:v>
      </x:c>
      <x:c r="D1887" s="54" t="n">
        <x:v>1</x:v>
      </x:c>
      <x:c r="E1887" s="103" t="str">
        <x:v>Material-row source portal</x:v>
      </x:c>
      <x:c r="F1887" s="103" t="str">
        <x:v>Source portal is identified, but edition/revision and property record locator remain unresolved.</x:v>
      </x:c>
    </x:row>
    <x:row r="1888">
      <x:c r="A1888" s="54" t="n">
        <x:v>6004</x:v>
      </x:c>
      <x:c r="B1888" s="54" t="n">
        <x:v>6</x:v>
      </x:c>
      <x:c r="C1888" s="54" t="n">
        <x:v>8</x:v>
      </x:c>
      <x:c r="D1888" s="54" t="n">
        <x:v>1</x:v>
      </x:c>
      <x:c r="E1888" s="103" t="str">
        <x:v>Material-row source portal</x:v>
      </x:c>
      <x:c r="F1888" s="103" t="str">
        <x:v>Source portal is identified, but edition/revision and property record locator remain unresolved.</x:v>
      </x:c>
    </x:row>
    <x:row r="1889">
      <x:c r="A1889" s="54" t="n">
        <x:v>6004</x:v>
      </x:c>
      <x:c r="B1889" s="54" t="n">
        <x:v>7</x:v>
      </x:c>
      <x:c r="C1889" s="54" t="n">
        <x:v>8</x:v>
      </x:c>
      <x:c r="D1889" s="54" t="n">
        <x:v>1</x:v>
      </x:c>
      <x:c r="E1889" s="103" t="str">
        <x:v>Material-row source portal</x:v>
      </x:c>
      <x:c r="F1889" s="103" t="str">
        <x:v>Source portal is identified, but edition/revision and property record locator remain unresolved.</x:v>
      </x:c>
    </x:row>
    <x:row r="1890">
      <x:c r="A1890" s="54" t="n">
        <x:v>6004</x:v>
      </x:c>
      <x:c r="B1890" s="54" t="n">
        <x:v>8</x:v>
      </x:c>
      <x:c r="C1890" s="54" t="n">
        <x:v>8</x:v>
      </x:c>
      <x:c r="D1890" s="54" t="n">
        <x:v>1</x:v>
      </x:c>
      <x:c r="E1890" s="103" t="str">
        <x:v>Material-row source portal</x:v>
      </x:c>
      <x:c r="F1890" s="103" t="str">
        <x:v>Source portal is identified, but edition/revision and property record locator remain unresolved.</x:v>
      </x:c>
    </x:row>
    <x:row r="1891">
      <x:c r="A1891" s="54" t="n">
        <x:v>6004</x:v>
      </x:c>
      <x:c r="B1891" s="54" t="n">
        <x:v>9</x:v>
      </x:c>
      <x:c r="C1891" s="54" t="n">
        <x:v>8</x:v>
      </x:c>
      <x:c r="D1891" s="54" t="n">
        <x:v>1</x:v>
      </x:c>
      <x:c r="E1891" s="103" t="str">
        <x:v>Material-row source portal</x:v>
      </x:c>
      <x:c r="F1891" s="103" t="str">
        <x:v>Source portal is identified, but edition/revision and property record locator remain unresolved.</x:v>
      </x:c>
    </x:row>
    <x:row r="1892">
      <x:c r="A1892" s="54" t="n">
        <x:v>6004</x:v>
      </x:c>
      <x:c r="B1892" s="54" t="n">
        <x:v>10</x:v>
      </x:c>
      <x:c r="C1892" s="54" t="n">
        <x:v>8</x:v>
      </x:c>
      <x:c r="D1892" s="54" t="n">
        <x:v>1</x:v>
      </x:c>
      <x:c r="E1892" s="103" t="str">
        <x:v>Material-row source portal</x:v>
      </x:c>
      <x:c r="F1892" s="103" t="str">
        <x:v>Source portal is identified, but edition/revision and property record locator remain unresolved.</x:v>
      </x:c>
    </x:row>
    <x:row r="1893">
      <x:c r="A1893" s="54" t="n">
        <x:v>6004</x:v>
      </x:c>
      <x:c r="B1893" s="54" t="n">
        <x:v>11</x:v>
      </x:c>
      <x:c r="C1893" s="54" t="n">
        <x:v>8</x:v>
      </x:c>
      <x:c r="D1893" s="54" t="n">
        <x:v>1</x:v>
      </x:c>
      <x:c r="E1893" s="103" t="str">
        <x:v>Material-row source portal</x:v>
      </x:c>
      <x:c r="F1893" s="103" t="str">
        <x:v>Source portal is identified, but edition/revision and property record locator remain unresolved.</x:v>
      </x:c>
    </x:row>
    <x:row r="1894">
      <x:c r="A1894" s="54" t="n">
        <x:v>6004</x:v>
      </x:c>
      <x:c r="B1894" s="54" t="n">
        <x:v>12</x:v>
      </x:c>
      <x:c r="C1894" s="54" t="n">
        <x:v>8</x:v>
      </x:c>
      <x:c r="D1894" s="54" t="n">
        <x:v>1</x:v>
      </x:c>
      <x:c r="E1894" s="103" t="str">
        <x:v>Material-row source portal</x:v>
      </x:c>
      <x:c r="F1894" s="103" t="str">
        <x:v>Source portal is identified, but edition/revision and property record locator remain unresolved.</x:v>
      </x:c>
    </x:row>
    <x:row r="1895">
      <x:c r="A1895" s="54" t="n">
        <x:v>6004</x:v>
      </x:c>
      <x:c r="B1895" s="54" t="n">
        <x:v>13</x:v>
      </x:c>
      <x:c r="C1895" s="54" t="n">
        <x:v>8</x:v>
      </x:c>
      <x:c r="D1895" s="54" t="n">
        <x:v>1</x:v>
      </x:c>
      <x:c r="E1895" s="103" t="str">
        <x:v>Material-row source portal</x:v>
      </x:c>
      <x:c r="F1895" s="103" t="str">
        <x:v>Source portal is identified, but edition/revision and property record locator remain unresolved.</x:v>
      </x:c>
    </x:row>
    <x:row r="1896">
      <x:c r="A1896" s="54" t="n">
        <x:v>6004</x:v>
      </x:c>
      <x:c r="B1896" s="54" t="n">
        <x:v>14</x:v>
      </x:c>
      <x:c r="C1896" s="54" t="n">
        <x:v>8</x:v>
      </x:c>
      <x:c r="D1896" s="54" t="n">
        <x:v>1</x:v>
      </x:c>
      <x:c r="E1896" s="103" t="str">
        <x:v>Material-row source portal</x:v>
      </x:c>
      <x:c r="F1896" s="103" t="str">
        <x:v>Source portal is identified, but edition/revision and property record locator remain unresolved.</x:v>
      </x:c>
    </x:row>
    <x:row r="1897">
      <x:c r="A1897" s="54" t="n">
        <x:v>6004</x:v>
      </x:c>
      <x:c r="B1897" s="54" t="n">
        <x:v>15</x:v>
      </x:c>
      <x:c r="C1897" s="54" t="n">
        <x:v>8</x:v>
      </x:c>
      <x:c r="D1897" s="54" t="n">
        <x:v>1</x:v>
      </x:c>
      <x:c r="E1897" s="103" t="str">
        <x:v>Material-row source portal</x:v>
      </x:c>
      <x:c r="F1897" s="103" t="str">
        <x:v>Source portal is identified, but edition/revision and property record locator remain unresolved.</x:v>
      </x:c>
    </x:row>
    <x:row r="1898">
      <x:c r="A1898" s="54" t="n">
        <x:v>6004</x:v>
      </x:c>
      <x:c r="B1898" s="54" t="n">
        <x:v>16</x:v>
      </x:c>
      <x:c r="C1898" s="54" t="n">
        <x:v>8</x:v>
      </x:c>
      <x:c r="D1898" s="54" t="n">
        <x:v>1</x:v>
      </x:c>
      <x:c r="E1898" s="103" t="str">
        <x:v>Material-row source portal</x:v>
      </x:c>
      <x:c r="F1898" s="103" t="str">
        <x:v>Source portal is identified, but edition/revision and property record locator remain unresolved.</x:v>
      </x:c>
    </x:row>
    <x:row r="1899">
      <x:c r="A1899" s="54" t="n">
        <x:v>6004</x:v>
      </x:c>
      <x:c r="B1899" s="54" t="n">
        <x:v>18</x:v>
      </x:c>
      <x:c r="C1899" s="54" t="n">
        <x:v>8</x:v>
      </x:c>
      <x:c r="D1899" s="54" t="n">
        <x:v>1</x:v>
      </x:c>
      <x:c r="E1899" s="103" t="str">
        <x:v>Formula-derived from E and Poisson ratio; input records inherit the material-row source</x:v>
      </x:c>
      <x:c r="F1899" s="103" t="str">
        <x:v>Source portal is identified, but edition/revision and property record locator remain unresolved.</x:v>
      </x:c>
    </x:row>
    <x:row r="1900">
      <x:c r="A1900" s="54" t="n">
        <x:v>6005</x:v>
      </x:c>
      <x:c r="B1900" s="54" t="n">
        <x:v>1</x:v>
      </x:c>
      <x:c r="C1900" s="54" t="n">
        <x:v>8</x:v>
      </x:c>
      <x:c r="D1900" s="54" t="n">
        <x:v>1</x:v>
      </x:c>
      <x:c r="E1900" s="103" t="str">
        <x:v>Material-row source portal</x:v>
      </x:c>
      <x:c r="F1900" s="103" t="str">
        <x:v>Source portal is identified, but edition/revision and property record locator remain unresolved.</x:v>
      </x:c>
    </x:row>
    <x:row r="1901">
      <x:c r="A1901" s="54" t="n">
        <x:v>6005</x:v>
      </x:c>
      <x:c r="B1901" s="54" t="n">
        <x:v>2</x:v>
      </x:c>
      <x:c r="C1901" s="54" t="n">
        <x:v>8</x:v>
      </x:c>
      <x:c r="D1901" s="54" t="n">
        <x:v>1</x:v>
      </x:c>
      <x:c r="E1901" s="103" t="str">
        <x:v>Material-row source portal</x:v>
      </x:c>
      <x:c r="F1901" s="103" t="str">
        <x:v>Source portal is identified, but edition/revision and property record locator remain unresolved.</x:v>
      </x:c>
    </x:row>
    <x:row r="1902">
      <x:c r="A1902" s="54" t="n">
        <x:v>6005</x:v>
      </x:c>
      <x:c r="B1902" s="54" t="n">
        <x:v>3</x:v>
      </x:c>
      <x:c r="C1902" s="54" t="n">
        <x:v>8</x:v>
      </x:c>
      <x:c r="D1902" s="54" t="n">
        <x:v>1</x:v>
      </x:c>
      <x:c r="E1902" s="103" t="str">
        <x:v>Formula-derived from E and Poisson ratio; input records inherit the material-row source</x:v>
      </x:c>
      <x:c r="F1902" s="103" t="str">
        <x:v>Source portal is identified, but edition/revision and property record locator remain unresolved.</x:v>
      </x:c>
    </x:row>
    <x:row r="1903">
      <x:c r="A1903" s="54" t="n">
        <x:v>6005</x:v>
      </x:c>
      <x:c r="B1903" s="54" t="n">
        <x:v>4</x:v>
      </x:c>
      <x:c r="C1903" s="54" t="n">
        <x:v>8</x:v>
      </x:c>
      <x:c r="D1903" s="54" t="n">
        <x:v>1</x:v>
      </x:c>
      <x:c r="E1903" s="103" t="str">
        <x:v>Material-row source portal</x:v>
      </x:c>
      <x:c r="F1903" s="103" t="str">
        <x:v>Source portal is identified, but edition/revision and property record locator remain unresolved.</x:v>
      </x:c>
    </x:row>
    <x:row r="1904">
      <x:c r="A1904" s="54" t="n">
        <x:v>6005</x:v>
      </x:c>
      <x:c r="B1904" s="54" t="n">
        <x:v>6</x:v>
      </x:c>
      <x:c r="C1904" s="54" t="n">
        <x:v>8</x:v>
      </x:c>
      <x:c r="D1904" s="54" t="n">
        <x:v>1</x:v>
      </x:c>
      <x:c r="E1904" s="103" t="str">
        <x:v>Material-row source portal</x:v>
      </x:c>
      <x:c r="F1904" s="103" t="str">
        <x:v>Source portal is identified, but edition/revision and property record locator remain unresolved.</x:v>
      </x:c>
    </x:row>
    <x:row r="1905">
      <x:c r="A1905" s="54" t="n">
        <x:v>6005</x:v>
      </x:c>
      <x:c r="B1905" s="54" t="n">
        <x:v>7</x:v>
      </x:c>
      <x:c r="C1905" s="54" t="n">
        <x:v>8</x:v>
      </x:c>
      <x:c r="D1905" s="54" t="n">
        <x:v>1</x:v>
      </x:c>
      <x:c r="E1905" s="103" t="str">
        <x:v>Material-row source portal</x:v>
      </x:c>
      <x:c r="F1905" s="103" t="str">
        <x:v>Source portal is identified, but edition/revision and property record locator remain unresolved.</x:v>
      </x:c>
    </x:row>
    <x:row r="1906">
      <x:c r="A1906" s="54" t="n">
        <x:v>6005</x:v>
      </x:c>
      <x:c r="B1906" s="54" t="n">
        <x:v>8</x:v>
      </x:c>
      <x:c r="C1906" s="54" t="n">
        <x:v>8</x:v>
      </x:c>
      <x:c r="D1906" s="54" t="n">
        <x:v>1</x:v>
      </x:c>
      <x:c r="E1906" s="103" t="str">
        <x:v>Material-row source portal</x:v>
      </x:c>
      <x:c r="F1906" s="103" t="str">
        <x:v>Source portal is identified, but edition/revision and property record locator remain unresolved.</x:v>
      </x:c>
    </x:row>
    <x:row r="1907">
      <x:c r="A1907" s="54" t="n">
        <x:v>6005</x:v>
      </x:c>
      <x:c r="B1907" s="54" t="n">
        <x:v>9</x:v>
      </x:c>
      <x:c r="C1907" s="54" t="n">
        <x:v>8</x:v>
      </x:c>
      <x:c r="D1907" s="54" t="n">
        <x:v>1</x:v>
      </x:c>
      <x:c r="E1907" s="103" t="str">
        <x:v>Material-row source portal</x:v>
      </x:c>
      <x:c r="F1907" s="103" t="str">
        <x:v>Source portal is identified, but edition/revision and property record locator remain unresolved.</x:v>
      </x:c>
    </x:row>
    <x:row r="1908">
      <x:c r="A1908" s="54" t="n">
        <x:v>6005</x:v>
      </x:c>
      <x:c r="B1908" s="54" t="n">
        <x:v>10</x:v>
      </x:c>
      <x:c r="C1908" s="54" t="n">
        <x:v>8</x:v>
      </x:c>
      <x:c r="D1908" s="54" t="n">
        <x:v>1</x:v>
      </x:c>
      <x:c r="E1908" s="103" t="str">
        <x:v>Material-row source portal</x:v>
      </x:c>
      <x:c r="F1908" s="103" t="str">
        <x:v>Source portal is identified, but edition/revision and property record locator remain unresolved.</x:v>
      </x:c>
    </x:row>
    <x:row r="1909">
      <x:c r="A1909" s="54" t="n">
        <x:v>6005</x:v>
      </x:c>
      <x:c r="B1909" s="54" t="n">
        <x:v>11</x:v>
      </x:c>
      <x:c r="C1909" s="54" t="n">
        <x:v>8</x:v>
      </x:c>
      <x:c r="D1909" s="54" t="n">
        <x:v>1</x:v>
      </x:c>
      <x:c r="E1909" s="103" t="str">
        <x:v>Material-row source portal</x:v>
      </x:c>
      <x:c r="F1909" s="103" t="str">
        <x:v>Source portal is identified, but edition/revision and property record locator remain unresolved.</x:v>
      </x:c>
    </x:row>
    <x:row r="1910">
      <x:c r="A1910" s="54" t="n">
        <x:v>6005</x:v>
      </x:c>
      <x:c r="B1910" s="54" t="n">
        <x:v>12</x:v>
      </x:c>
      <x:c r="C1910" s="54" t="n">
        <x:v>8</x:v>
      </x:c>
      <x:c r="D1910" s="54" t="n">
        <x:v>1</x:v>
      </x:c>
      <x:c r="E1910" s="103" t="str">
        <x:v>Material-row source portal</x:v>
      </x:c>
      <x:c r="F1910" s="103" t="str">
        <x:v>Source portal is identified, but edition/revision and property record locator remain unresolved.</x:v>
      </x:c>
    </x:row>
    <x:row r="1911">
      <x:c r="A1911" s="54" t="n">
        <x:v>6005</x:v>
      </x:c>
      <x:c r="B1911" s="54" t="n">
        <x:v>13</x:v>
      </x:c>
      <x:c r="C1911" s="54" t="n">
        <x:v>8</x:v>
      </x:c>
      <x:c r="D1911" s="54" t="n">
        <x:v>1</x:v>
      </x:c>
      <x:c r="E1911" s="103" t="str">
        <x:v>Material-row source portal</x:v>
      </x:c>
      <x:c r="F1911" s="103" t="str">
        <x:v>Source portal is identified, but edition/revision and property record locator remain unresolved.</x:v>
      </x:c>
    </x:row>
    <x:row r="1912">
      <x:c r="A1912" s="54" t="n">
        <x:v>6005</x:v>
      </x:c>
      <x:c r="B1912" s="54" t="n">
        <x:v>14</x:v>
      </x:c>
      <x:c r="C1912" s="54" t="n">
        <x:v>8</x:v>
      </x:c>
      <x:c r="D1912" s="54" t="n">
        <x:v>1</x:v>
      </x:c>
      <x:c r="E1912" s="103" t="str">
        <x:v>Material-row source portal</x:v>
      </x:c>
      <x:c r="F1912" s="103" t="str">
        <x:v>Source portal is identified, but edition/revision and property record locator remain unresolved.</x:v>
      </x:c>
    </x:row>
    <x:row r="1913">
      <x:c r="A1913" s="54" t="n">
        <x:v>6005</x:v>
      </x:c>
      <x:c r="B1913" s="54" t="n">
        <x:v>15</x:v>
      </x:c>
      <x:c r="C1913" s="54" t="n">
        <x:v>8</x:v>
      </x:c>
      <x:c r="D1913" s="54" t="n">
        <x:v>1</x:v>
      </x:c>
      <x:c r="E1913" s="103" t="str">
        <x:v>Material-row source portal</x:v>
      </x:c>
      <x:c r="F1913" s="103" t="str">
        <x:v>Source portal is identified, but edition/revision and property record locator remain unresolved.</x:v>
      </x:c>
    </x:row>
    <x:row r="1914">
      <x:c r="A1914" s="54" t="n">
        <x:v>6005</x:v>
      </x:c>
      <x:c r="B1914" s="54" t="n">
        <x:v>16</x:v>
      </x:c>
      <x:c r="C1914" s="54" t="n">
        <x:v>8</x:v>
      </x:c>
      <x:c r="D1914" s="54" t="n">
        <x:v>1</x:v>
      </x:c>
      <x:c r="E1914" s="103" t="str">
        <x:v>Material-row source portal</x:v>
      </x:c>
      <x:c r="F1914" s="103" t="str">
        <x:v>Source portal is identified, but edition/revision and property record locator remain unresolved.</x:v>
      </x:c>
    </x:row>
    <x:row r="1915">
      <x:c r="A1915" s="54" t="n">
        <x:v>6005</x:v>
      </x:c>
      <x:c r="B1915" s="54" t="n">
        <x:v>18</x:v>
      </x:c>
      <x:c r="C1915" s="54" t="n">
        <x:v>8</x:v>
      </x:c>
      <x:c r="D1915" s="54" t="n">
        <x:v>1</x:v>
      </x:c>
      <x:c r="E1915" s="103" t="str">
        <x:v>Formula-derived from E and Poisson ratio; input records inherit the material-row source</x:v>
      </x:c>
      <x:c r="F1915" s="103" t="str">
        <x:v>Source portal is identified, but edition/revision and property record locator remain unresolved.</x:v>
      </x:c>
    </x:row>
    <x:row r="1916">
      <x:c r="A1916" s="54" t="n">
        <x:v>6006</x:v>
      </x:c>
      <x:c r="B1916" s="54" t="n">
        <x:v>1</x:v>
      </x:c>
      <x:c r="C1916" s="54" t="n">
        <x:v>8</x:v>
      </x:c>
      <x:c r="D1916" s="54" t="n">
        <x:v>1</x:v>
      </x:c>
      <x:c r="E1916" s="103" t="str">
        <x:v>Material-row source portal</x:v>
      </x:c>
      <x:c r="F1916" s="103" t="str">
        <x:v>Source portal is identified, but edition/revision and property record locator remain unresolved.</x:v>
      </x:c>
    </x:row>
    <x:row r="1917">
      <x:c r="A1917" s="54" t="n">
        <x:v>6006</x:v>
      </x:c>
      <x:c r="B1917" s="54" t="n">
        <x:v>2</x:v>
      </x:c>
      <x:c r="C1917" s="54" t="n">
        <x:v>8</x:v>
      </x:c>
      <x:c r="D1917" s="54" t="n">
        <x:v>1</x:v>
      </x:c>
      <x:c r="E1917" s="103" t="str">
        <x:v>Material-row source portal</x:v>
      </x:c>
      <x:c r="F1917" s="103" t="str">
        <x:v>Source portal is identified, but edition/revision and property record locator remain unresolved.</x:v>
      </x:c>
    </x:row>
    <x:row r="1918">
      <x:c r="A1918" s="54" t="n">
        <x:v>6006</x:v>
      </x:c>
      <x:c r="B1918" s="54" t="n">
        <x:v>3</x:v>
      </x:c>
      <x:c r="C1918" s="54" t="n">
        <x:v>8</x:v>
      </x:c>
      <x:c r="D1918" s="54" t="n">
        <x:v>1</x:v>
      </x:c>
      <x:c r="E1918" s="103" t="str">
        <x:v>Formula-derived from E and Poisson ratio; input records inherit the material-row source</x:v>
      </x:c>
      <x:c r="F1918" s="103" t="str">
        <x:v>Source portal is identified, but edition/revision and property record locator remain unresolved.</x:v>
      </x:c>
    </x:row>
    <x:row r="1919">
      <x:c r="A1919" s="54" t="n">
        <x:v>6006</x:v>
      </x:c>
      <x:c r="B1919" s="54" t="n">
        <x:v>4</x:v>
      </x:c>
      <x:c r="C1919" s="54" t="n">
        <x:v>8</x:v>
      </x:c>
      <x:c r="D1919" s="54" t="n">
        <x:v>1</x:v>
      </x:c>
      <x:c r="E1919" s="103" t="str">
        <x:v>Material-row source portal</x:v>
      </x:c>
      <x:c r="F1919" s="103" t="str">
        <x:v>Source portal is identified, but edition/revision and property record locator remain unresolved.</x:v>
      </x:c>
    </x:row>
    <x:row r="1920">
      <x:c r="A1920" s="54" t="n">
        <x:v>6006</x:v>
      </x:c>
      <x:c r="B1920" s="54" t="n">
        <x:v>6</x:v>
      </x:c>
      <x:c r="C1920" s="54" t="n">
        <x:v>8</x:v>
      </x:c>
      <x:c r="D1920" s="54" t="n">
        <x:v>1</x:v>
      </x:c>
      <x:c r="E1920" s="103" t="str">
        <x:v>Material-row source portal</x:v>
      </x:c>
      <x:c r="F1920" s="103" t="str">
        <x:v>Source portal is identified, but edition/revision and property record locator remain unresolved.</x:v>
      </x:c>
    </x:row>
    <x:row r="1921">
      <x:c r="A1921" s="54" t="n">
        <x:v>6006</x:v>
      </x:c>
      <x:c r="B1921" s="54" t="n">
        <x:v>7</x:v>
      </x:c>
      <x:c r="C1921" s="54" t="n">
        <x:v>8</x:v>
      </x:c>
      <x:c r="D1921" s="54" t="n">
        <x:v>1</x:v>
      </x:c>
      <x:c r="E1921" s="103" t="str">
        <x:v>Material-row source portal</x:v>
      </x:c>
      <x:c r="F1921" s="103" t="str">
        <x:v>Source portal is identified, but edition/revision and property record locator remain unresolved.</x:v>
      </x:c>
    </x:row>
    <x:row r="1922">
      <x:c r="A1922" s="54" t="n">
        <x:v>6006</x:v>
      </x:c>
      <x:c r="B1922" s="54" t="n">
        <x:v>8</x:v>
      </x:c>
      <x:c r="C1922" s="54" t="n">
        <x:v>8</x:v>
      </x:c>
      <x:c r="D1922" s="54" t="n">
        <x:v>1</x:v>
      </x:c>
      <x:c r="E1922" s="103" t="str">
        <x:v>Material-row source portal</x:v>
      </x:c>
      <x:c r="F1922" s="103" t="str">
        <x:v>Source portal is identified, but edition/revision and property record locator remain unresolved.</x:v>
      </x:c>
    </x:row>
    <x:row r="1923">
      <x:c r="A1923" s="54" t="n">
        <x:v>6006</x:v>
      </x:c>
      <x:c r="B1923" s="54" t="n">
        <x:v>9</x:v>
      </x:c>
      <x:c r="C1923" s="54" t="n">
        <x:v>8</x:v>
      </x:c>
      <x:c r="D1923" s="54" t="n">
        <x:v>1</x:v>
      </x:c>
      <x:c r="E1923" s="103" t="str">
        <x:v>Material-row source portal</x:v>
      </x:c>
      <x:c r="F1923" s="103" t="str">
        <x:v>Source portal is identified, but edition/revision and property record locator remain unresolved.</x:v>
      </x:c>
    </x:row>
    <x:row r="1924">
      <x:c r="A1924" s="54" t="n">
        <x:v>6006</x:v>
      </x:c>
      <x:c r="B1924" s="54" t="n">
        <x:v>10</x:v>
      </x:c>
      <x:c r="C1924" s="54" t="n">
        <x:v>8</x:v>
      </x:c>
      <x:c r="D1924" s="54" t="n">
        <x:v>1</x:v>
      </x:c>
      <x:c r="E1924" s="103" t="str">
        <x:v>Material-row source portal</x:v>
      </x:c>
      <x:c r="F1924" s="103" t="str">
        <x:v>Source portal is identified, but edition/revision and property record locator remain unresolved.</x:v>
      </x:c>
    </x:row>
    <x:row r="1925">
      <x:c r="A1925" s="54" t="n">
        <x:v>6006</x:v>
      </x:c>
      <x:c r="B1925" s="54" t="n">
        <x:v>11</x:v>
      </x:c>
      <x:c r="C1925" s="54" t="n">
        <x:v>8</x:v>
      </x:c>
      <x:c r="D1925" s="54" t="n">
        <x:v>1</x:v>
      </x:c>
      <x:c r="E1925" s="103" t="str">
        <x:v>Material-row source portal</x:v>
      </x:c>
      <x:c r="F1925" s="103" t="str">
        <x:v>Source portal is identified, but edition/revision and property record locator remain unresolved.</x:v>
      </x:c>
    </x:row>
    <x:row r="1926">
      <x:c r="A1926" s="54" t="n">
        <x:v>6006</x:v>
      </x:c>
      <x:c r="B1926" s="54" t="n">
        <x:v>12</x:v>
      </x:c>
      <x:c r="C1926" s="54" t="n">
        <x:v>8</x:v>
      </x:c>
      <x:c r="D1926" s="54" t="n">
        <x:v>1</x:v>
      </x:c>
      <x:c r="E1926" s="103" t="str">
        <x:v>Material-row source portal</x:v>
      </x:c>
      <x:c r="F1926" s="103" t="str">
        <x:v>Source portal is identified, but edition/revision and property record locator remain unresolved.</x:v>
      </x:c>
    </x:row>
    <x:row r="1927">
      <x:c r="A1927" s="54" t="n">
        <x:v>6006</x:v>
      </x:c>
      <x:c r="B1927" s="54" t="n">
        <x:v>13</x:v>
      </x:c>
      <x:c r="C1927" s="54" t="n">
        <x:v>8</x:v>
      </x:c>
      <x:c r="D1927" s="54" t="n">
        <x:v>1</x:v>
      </x:c>
      <x:c r="E1927" s="103" t="str">
        <x:v>Material-row source portal</x:v>
      </x:c>
      <x:c r="F1927" s="103" t="str">
        <x:v>Source portal is identified, but edition/revision and property record locator remain unresolved.</x:v>
      </x:c>
    </x:row>
    <x:row r="1928">
      <x:c r="A1928" s="54" t="n">
        <x:v>6006</x:v>
      </x:c>
      <x:c r="B1928" s="54" t="n">
        <x:v>14</x:v>
      </x:c>
      <x:c r="C1928" s="54" t="n">
        <x:v>8</x:v>
      </x:c>
      <x:c r="D1928" s="54" t="n">
        <x:v>1</x:v>
      </x:c>
      <x:c r="E1928" s="103" t="str">
        <x:v>Material-row source portal</x:v>
      </x:c>
      <x:c r="F1928" s="103" t="str">
        <x:v>Source portal is identified, but edition/revision and property record locator remain unresolved.</x:v>
      </x:c>
    </x:row>
    <x:row r="1929">
      <x:c r="A1929" s="54" t="n">
        <x:v>6006</x:v>
      </x:c>
      <x:c r="B1929" s="54" t="n">
        <x:v>15</x:v>
      </x:c>
      <x:c r="C1929" s="54" t="n">
        <x:v>8</x:v>
      </x:c>
      <x:c r="D1929" s="54" t="n">
        <x:v>1</x:v>
      </x:c>
      <x:c r="E1929" s="103" t="str">
        <x:v>Material-row source portal</x:v>
      </x:c>
      <x:c r="F1929" s="103" t="str">
        <x:v>Source portal is identified, but edition/revision and property record locator remain unresolved.</x:v>
      </x:c>
    </x:row>
    <x:row r="1930">
      <x:c r="A1930" s="54" t="n">
        <x:v>6006</x:v>
      </x:c>
      <x:c r="B1930" s="54" t="n">
        <x:v>16</x:v>
      </x:c>
      <x:c r="C1930" s="54" t="n">
        <x:v>8</x:v>
      </x:c>
      <x:c r="D1930" s="54" t="n">
        <x:v>1</x:v>
      </x:c>
      <x:c r="E1930" s="103" t="str">
        <x:v>Material-row source portal</x:v>
      </x:c>
      <x:c r="F1930" s="103" t="str">
        <x:v>Source portal is identified, but edition/revision and property record locator remain unresolved.</x:v>
      </x:c>
    </x:row>
    <x:row r="1931">
      <x:c r="A1931" s="54" t="n">
        <x:v>6006</x:v>
      </x:c>
      <x:c r="B1931" s="54" t="n">
        <x:v>17</x:v>
      </x:c>
      <x:c r="C1931" s="54" t="n">
        <x:v>8</x:v>
      </x:c>
      <x:c r="D1931" s="54" t="n">
        <x:v>1</x:v>
      </x:c>
      <x:c r="E1931" s="103" t="str">
        <x:v>Material-row source portal</x:v>
      </x:c>
      <x:c r="F1931" s="103" t="str">
        <x:v>Source portal is identified, but edition/revision and property record locator remain unresolved.</x:v>
      </x:c>
    </x:row>
    <x:row r="1932">
      <x:c r="A1932" s="54" t="n">
        <x:v>6006</x:v>
      </x:c>
      <x:c r="B1932" s="54" t="n">
        <x:v>18</x:v>
      </x:c>
      <x:c r="C1932" s="54" t="n">
        <x:v>8</x:v>
      </x:c>
      <x:c r="D1932" s="54" t="n">
        <x:v>1</x:v>
      </x:c>
      <x:c r="E1932" s="103" t="str">
        <x:v>Formula-derived from E and Poisson ratio; input records inherit the material-row source</x:v>
      </x:c>
      <x:c r="F1932" s="103" t="str">
        <x:v>Source portal is identified, but edition/revision and property record locator remain unresolved.</x:v>
      </x:c>
    </x:row>
    <x:row r="1933">
      <x:c r="A1933" s="54" t="n">
        <x:v>6007</x:v>
      </x:c>
      <x:c r="B1933" s="54" t="n">
        <x:v>1</x:v>
      </x:c>
      <x:c r="C1933" s="54" t="n">
        <x:v>8</x:v>
      </x:c>
      <x:c r="D1933" s="54" t="n">
        <x:v>1</x:v>
      </x:c>
      <x:c r="E1933" s="103" t="str">
        <x:v>Material-row source portal</x:v>
      </x:c>
      <x:c r="F1933" s="103" t="str">
        <x:v>Source portal is identified, but edition/revision and property record locator remain unresolved.</x:v>
      </x:c>
    </x:row>
    <x:row r="1934">
      <x:c r="A1934" s="54" t="n">
        <x:v>6007</x:v>
      </x:c>
      <x:c r="B1934" s="54" t="n">
        <x:v>2</x:v>
      </x:c>
      <x:c r="C1934" s="54" t="n">
        <x:v>8</x:v>
      </x:c>
      <x:c r="D1934" s="54" t="n">
        <x:v>1</x:v>
      </x:c>
      <x:c r="E1934" s="103" t="str">
        <x:v>Material-row source portal</x:v>
      </x:c>
      <x:c r="F1934" s="103" t="str">
        <x:v>Source portal is identified, but edition/revision and property record locator remain unresolved.</x:v>
      </x:c>
    </x:row>
    <x:row r="1935">
      <x:c r="A1935" s="54" t="n">
        <x:v>6007</x:v>
      </x:c>
      <x:c r="B1935" s="54" t="n">
        <x:v>3</x:v>
      </x:c>
      <x:c r="C1935" s="54" t="n">
        <x:v>8</x:v>
      </x:c>
      <x:c r="D1935" s="54" t="n">
        <x:v>1</x:v>
      </x:c>
      <x:c r="E1935" s="103" t="str">
        <x:v>Formula-derived from E and Poisson ratio; input records inherit the material-row source</x:v>
      </x:c>
      <x:c r="F1935" s="103" t="str">
        <x:v>Source portal is identified, but edition/revision and property record locator remain unresolved.</x:v>
      </x:c>
    </x:row>
    <x:row r="1936">
      <x:c r="A1936" s="54" t="n">
        <x:v>6007</x:v>
      </x:c>
      <x:c r="B1936" s="54" t="n">
        <x:v>4</x:v>
      </x:c>
      <x:c r="C1936" s="54" t="n">
        <x:v>8</x:v>
      </x:c>
      <x:c r="D1936" s="54" t="n">
        <x:v>1</x:v>
      </x:c>
      <x:c r="E1936" s="103" t="str">
        <x:v>Material-row source portal</x:v>
      </x:c>
      <x:c r="F1936" s="103" t="str">
        <x:v>Source portal is identified, but edition/revision and property record locator remain unresolved.</x:v>
      </x:c>
    </x:row>
    <x:row r="1937">
      <x:c r="A1937" s="54" t="n">
        <x:v>6007</x:v>
      </x:c>
      <x:c r="B1937" s="54" t="n">
        <x:v>6</x:v>
      </x:c>
      <x:c r="C1937" s="54" t="n">
        <x:v>8</x:v>
      </x:c>
      <x:c r="D1937" s="54" t="n">
        <x:v>1</x:v>
      </x:c>
      <x:c r="E1937" s="103" t="str">
        <x:v>Material-row source portal</x:v>
      </x:c>
      <x:c r="F1937" s="103" t="str">
        <x:v>Source portal is identified, but edition/revision and property record locator remain unresolved.</x:v>
      </x:c>
    </x:row>
    <x:row r="1938">
      <x:c r="A1938" s="54" t="n">
        <x:v>6007</x:v>
      </x:c>
      <x:c r="B1938" s="54" t="n">
        <x:v>7</x:v>
      </x:c>
      <x:c r="C1938" s="54" t="n">
        <x:v>8</x:v>
      </x:c>
      <x:c r="D1938" s="54" t="n">
        <x:v>1</x:v>
      </x:c>
      <x:c r="E1938" s="103" t="str">
        <x:v>Material-row source portal</x:v>
      </x:c>
      <x:c r="F1938" s="103" t="str">
        <x:v>Source portal is identified, but edition/revision and property record locator remain unresolved.</x:v>
      </x:c>
    </x:row>
    <x:row r="1939">
      <x:c r="A1939" s="54" t="n">
        <x:v>6007</x:v>
      </x:c>
      <x:c r="B1939" s="54" t="n">
        <x:v>8</x:v>
      </x:c>
      <x:c r="C1939" s="54" t="n">
        <x:v>8</x:v>
      </x:c>
      <x:c r="D1939" s="54" t="n">
        <x:v>1</x:v>
      </x:c>
      <x:c r="E1939" s="103" t="str">
        <x:v>Material-row source portal</x:v>
      </x:c>
      <x:c r="F1939" s="103" t="str">
        <x:v>Source portal is identified, but edition/revision and property record locator remain unresolved.</x:v>
      </x:c>
    </x:row>
    <x:row r="1940">
      <x:c r="A1940" s="54" t="n">
        <x:v>6007</x:v>
      </x:c>
      <x:c r="B1940" s="54" t="n">
        <x:v>9</x:v>
      </x:c>
      <x:c r="C1940" s="54" t="n">
        <x:v>8</x:v>
      </x:c>
      <x:c r="D1940" s="54" t="n">
        <x:v>1</x:v>
      </x:c>
      <x:c r="E1940" s="103" t="str">
        <x:v>Material-row source portal</x:v>
      </x:c>
      <x:c r="F1940" s="103" t="str">
        <x:v>Source portal is identified, but edition/revision and property record locator remain unresolved.</x:v>
      </x:c>
    </x:row>
    <x:row r="1941">
      <x:c r="A1941" s="54" t="n">
        <x:v>6007</x:v>
      </x:c>
      <x:c r="B1941" s="54" t="n">
        <x:v>10</x:v>
      </x:c>
      <x:c r="C1941" s="54" t="n">
        <x:v>8</x:v>
      </x:c>
      <x:c r="D1941" s="54" t="n">
        <x:v>1</x:v>
      </x:c>
      <x:c r="E1941" s="103" t="str">
        <x:v>Material-row source portal</x:v>
      </x:c>
      <x:c r="F1941" s="103" t="str">
        <x:v>Source portal is identified, but edition/revision and property record locator remain unresolved.</x:v>
      </x:c>
    </x:row>
    <x:row r="1942">
      <x:c r="A1942" s="54" t="n">
        <x:v>6007</x:v>
      </x:c>
      <x:c r="B1942" s="54" t="n">
        <x:v>11</x:v>
      </x:c>
      <x:c r="C1942" s="54" t="n">
        <x:v>8</x:v>
      </x:c>
      <x:c r="D1942" s="54" t="n">
        <x:v>1</x:v>
      </x:c>
      <x:c r="E1942" s="103" t="str">
        <x:v>Material-row source portal</x:v>
      </x:c>
      <x:c r="F1942" s="103" t="str">
        <x:v>Source portal is identified, but edition/revision and property record locator remain unresolved.</x:v>
      </x:c>
    </x:row>
    <x:row r="1943">
      <x:c r="A1943" s="54" t="n">
        <x:v>6007</x:v>
      </x:c>
      <x:c r="B1943" s="54" t="n">
        <x:v>12</x:v>
      </x:c>
      <x:c r="C1943" s="54" t="n">
        <x:v>8</x:v>
      </x:c>
      <x:c r="D1943" s="54" t="n">
        <x:v>1</x:v>
      </x:c>
      <x:c r="E1943" s="103" t="str">
        <x:v>Material-row source portal</x:v>
      </x:c>
      <x:c r="F1943" s="103" t="str">
        <x:v>Source portal is identified, but edition/revision and property record locator remain unresolved.</x:v>
      </x:c>
    </x:row>
    <x:row r="1944">
      <x:c r="A1944" s="54" t="n">
        <x:v>6007</x:v>
      </x:c>
      <x:c r="B1944" s="54" t="n">
        <x:v>13</x:v>
      </x:c>
      <x:c r="C1944" s="54" t="n">
        <x:v>8</x:v>
      </x:c>
      <x:c r="D1944" s="54" t="n">
        <x:v>1</x:v>
      </x:c>
      <x:c r="E1944" s="103" t="str">
        <x:v>Material-row source portal</x:v>
      </x:c>
      <x:c r="F1944" s="103" t="str">
        <x:v>Source portal is identified, but edition/revision and property record locator remain unresolved.</x:v>
      </x:c>
    </x:row>
    <x:row r="1945">
      <x:c r="A1945" s="54" t="n">
        <x:v>6007</x:v>
      </x:c>
      <x:c r="B1945" s="54" t="n">
        <x:v>14</x:v>
      </x:c>
      <x:c r="C1945" s="54" t="n">
        <x:v>8</x:v>
      </x:c>
      <x:c r="D1945" s="54" t="n">
        <x:v>1</x:v>
      </x:c>
      <x:c r="E1945" s="103" t="str">
        <x:v>Material-row source portal</x:v>
      </x:c>
      <x:c r="F1945" s="103" t="str">
        <x:v>Source portal is identified, but edition/revision and property record locator remain unresolved.</x:v>
      </x:c>
    </x:row>
    <x:row r="1946">
      <x:c r="A1946" s="54" t="n">
        <x:v>6007</x:v>
      </x:c>
      <x:c r="B1946" s="54" t="n">
        <x:v>15</x:v>
      </x:c>
      <x:c r="C1946" s="54" t="n">
        <x:v>8</x:v>
      </x:c>
      <x:c r="D1946" s="54" t="n">
        <x:v>1</x:v>
      </x:c>
      <x:c r="E1946" s="103" t="str">
        <x:v>Material-row source portal</x:v>
      </x:c>
      <x:c r="F1946" s="103" t="str">
        <x:v>Source portal is identified, but edition/revision and property record locator remain unresolved.</x:v>
      </x:c>
    </x:row>
    <x:row r="1947">
      <x:c r="A1947" s="54" t="n">
        <x:v>6007</x:v>
      </x:c>
      <x:c r="B1947" s="54" t="n">
        <x:v>16</x:v>
      </x:c>
      <x:c r="C1947" s="54" t="n">
        <x:v>8</x:v>
      </x:c>
      <x:c r="D1947" s="54" t="n">
        <x:v>1</x:v>
      </x:c>
      <x:c r="E1947" s="103" t="str">
        <x:v>Material-row source portal</x:v>
      </x:c>
      <x:c r="F1947" s="103" t="str">
        <x:v>Source portal is identified, but edition/revision and property record locator remain unresolved.</x:v>
      </x:c>
    </x:row>
    <x:row r="1948">
      <x:c r="A1948" s="54" t="n">
        <x:v>6007</x:v>
      </x:c>
      <x:c r="B1948" s="54" t="n">
        <x:v>17</x:v>
      </x:c>
      <x:c r="C1948" s="54" t="n">
        <x:v>8</x:v>
      </x:c>
      <x:c r="D1948" s="54" t="n">
        <x:v>1</x:v>
      </x:c>
      <x:c r="E1948" s="103" t="str">
        <x:v>Material-row source portal</x:v>
      </x:c>
      <x:c r="F1948" s="103" t="str">
        <x:v>Source portal is identified, but edition/revision and property record locator remain unresolved.</x:v>
      </x:c>
    </x:row>
    <x:row r="1949">
      <x:c r="A1949" s="54" t="n">
        <x:v>6007</x:v>
      </x:c>
      <x:c r="B1949" s="54" t="n">
        <x:v>18</x:v>
      </x:c>
      <x:c r="C1949" s="54" t="n">
        <x:v>8</x:v>
      </x:c>
      <x:c r="D1949" s="54" t="n">
        <x:v>1</x:v>
      </x:c>
      <x:c r="E1949" s="103" t="str">
        <x:v>Formula-derived from E and Poisson ratio; input records inherit the material-row source</x:v>
      </x:c>
      <x:c r="F1949" s="103" t="str">
        <x:v>Source portal is identified, but edition/revision and property record locator remain unresolved.</x:v>
      </x:c>
    </x:row>
    <x:row r="1950">
      <x:c r="A1950" s="54" t="n">
        <x:v>6008</x:v>
      </x:c>
      <x:c r="B1950" s="54" t="n">
        <x:v>1</x:v>
      </x:c>
      <x:c r="C1950" s="54" t="n">
        <x:v>8</x:v>
      </x:c>
      <x:c r="D1950" s="54" t="n">
        <x:v>1</x:v>
      </x:c>
      <x:c r="E1950" s="103" t="str">
        <x:v>Material-row source portal</x:v>
      </x:c>
      <x:c r="F1950" s="103" t="str">
        <x:v>Source portal is identified, but edition/revision and property record locator remain unresolved.</x:v>
      </x:c>
    </x:row>
    <x:row r="1951">
      <x:c r="A1951" s="54" t="n">
        <x:v>6008</x:v>
      </x:c>
      <x:c r="B1951" s="54" t="n">
        <x:v>2</x:v>
      </x:c>
      <x:c r="C1951" s="54" t="n">
        <x:v>8</x:v>
      </x:c>
      <x:c r="D1951" s="54" t="n">
        <x:v>1</x:v>
      </x:c>
      <x:c r="E1951" s="103" t="str">
        <x:v>Material-row source portal</x:v>
      </x:c>
      <x:c r="F1951" s="103" t="str">
        <x:v>Source portal is identified, but edition/revision and property record locator remain unresolved.</x:v>
      </x:c>
    </x:row>
    <x:row r="1952">
      <x:c r="A1952" s="54" t="n">
        <x:v>6008</x:v>
      </x:c>
      <x:c r="B1952" s="54" t="n">
        <x:v>3</x:v>
      </x:c>
      <x:c r="C1952" s="54" t="n">
        <x:v>8</x:v>
      </x:c>
      <x:c r="D1952" s="54" t="n">
        <x:v>1</x:v>
      </x:c>
      <x:c r="E1952" s="103" t="str">
        <x:v>Formula-derived from E and Poisson ratio; input records inherit the material-row source</x:v>
      </x:c>
      <x:c r="F1952" s="103" t="str">
        <x:v>Source portal is identified, but edition/revision and property record locator remain unresolved.</x:v>
      </x:c>
    </x:row>
    <x:row r="1953">
      <x:c r="A1953" s="54" t="n">
        <x:v>6008</x:v>
      </x:c>
      <x:c r="B1953" s="54" t="n">
        <x:v>4</x:v>
      </x:c>
      <x:c r="C1953" s="54" t="n">
        <x:v>8</x:v>
      </x:c>
      <x:c r="D1953" s="54" t="n">
        <x:v>1</x:v>
      </x:c>
      <x:c r="E1953" s="103" t="str">
        <x:v>Material-row source portal</x:v>
      </x:c>
      <x:c r="F1953" s="103" t="str">
        <x:v>Source portal is identified, but edition/revision and property record locator remain unresolved.</x:v>
      </x:c>
    </x:row>
    <x:row r="1954">
      <x:c r="A1954" s="54" t="n">
        <x:v>6008</x:v>
      </x:c>
      <x:c r="B1954" s="54" t="n">
        <x:v>6</x:v>
      </x:c>
      <x:c r="C1954" s="54" t="n">
        <x:v>8</x:v>
      </x:c>
      <x:c r="D1954" s="54" t="n">
        <x:v>1</x:v>
      </x:c>
      <x:c r="E1954" s="103" t="str">
        <x:v>Material-row source portal</x:v>
      </x:c>
      <x:c r="F1954" s="103" t="str">
        <x:v>Source portal is identified, but edition/revision and property record locator remain unresolved.</x:v>
      </x:c>
    </x:row>
    <x:row r="1955">
      <x:c r="A1955" s="54" t="n">
        <x:v>6008</x:v>
      </x:c>
      <x:c r="B1955" s="54" t="n">
        <x:v>7</x:v>
      </x:c>
      <x:c r="C1955" s="54" t="n">
        <x:v>8</x:v>
      </x:c>
      <x:c r="D1955" s="54" t="n">
        <x:v>1</x:v>
      </x:c>
      <x:c r="E1955" s="103" t="str">
        <x:v>Material-row source portal</x:v>
      </x:c>
      <x:c r="F1955" s="103" t="str">
        <x:v>Source portal is identified, but edition/revision and property record locator remain unresolved.</x:v>
      </x:c>
    </x:row>
    <x:row r="1956">
      <x:c r="A1956" s="54" t="n">
        <x:v>6008</x:v>
      </x:c>
      <x:c r="B1956" s="54" t="n">
        <x:v>8</x:v>
      </x:c>
      <x:c r="C1956" s="54" t="n">
        <x:v>8</x:v>
      </x:c>
      <x:c r="D1956" s="54" t="n">
        <x:v>1</x:v>
      </x:c>
      <x:c r="E1956" s="103" t="str">
        <x:v>Material-row source portal</x:v>
      </x:c>
      <x:c r="F1956" s="103" t="str">
        <x:v>Source portal is identified, but edition/revision and property record locator remain unresolved.</x:v>
      </x:c>
    </x:row>
    <x:row r="1957">
      <x:c r="A1957" s="54" t="n">
        <x:v>6008</x:v>
      </x:c>
      <x:c r="B1957" s="54" t="n">
        <x:v>9</x:v>
      </x:c>
      <x:c r="C1957" s="54" t="n">
        <x:v>8</x:v>
      </x:c>
      <x:c r="D1957" s="54" t="n">
        <x:v>1</x:v>
      </x:c>
      <x:c r="E1957" s="103" t="str">
        <x:v>Material-row source portal</x:v>
      </x:c>
      <x:c r="F1957" s="103" t="str">
        <x:v>Source portal is identified, but edition/revision and property record locator remain unresolved.</x:v>
      </x:c>
    </x:row>
    <x:row r="1958">
      <x:c r="A1958" s="54" t="n">
        <x:v>6008</x:v>
      </x:c>
      <x:c r="B1958" s="54" t="n">
        <x:v>10</x:v>
      </x:c>
      <x:c r="C1958" s="54" t="n">
        <x:v>8</x:v>
      </x:c>
      <x:c r="D1958" s="54" t="n">
        <x:v>1</x:v>
      </x:c>
      <x:c r="E1958" s="103" t="str">
        <x:v>Material-row source portal</x:v>
      </x:c>
      <x:c r="F1958" s="103" t="str">
        <x:v>Source portal is identified, but edition/revision and property record locator remain unresolved.</x:v>
      </x:c>
    </x:row>
    <x:row r="1959">
      <x:c r="A1959" s="54" t="n">
        <x:v>6008</x:v>
      </x:c>
      <x:c r="B1959" s="54" t="n">
        <x:v>11</x:v>
      </x:c>
      <x:c r="C1959" s="54" t="n">
        <x:v>8</x:v>
      </x:c>
      <x:c r="D1959" s="54" t="n">
        <x:v>1</x:v>
      </x:c>
      <x:c r="E1959" s="103" t="str">
        <x:v>Material-row source portal</x:v>
      </x:c>
      <x:c r="F1959" s="103" t="str">
        <x:v>Source portal is identified, but edition/revision and property record locator remain unresolved.</x:v>
      </x:c>
    </x:row>
    <x:row r="1960">
      <x:c r="A1960" s="54" t="n">
        <x:v>6008</x:v>
      </x:c>
      <x:c r="B1960" s="54" t="n">
        <x:v>12</x:v>
      </x:c>
      <x:c r="C1960" s="54" t="n">
        <x:v>8</x:v>
      </x:c>
      <x:c r="D1960" s="54" t="n">
        <x:v>1</x:v>
      </x:c>
      <x:c r="E1960" s="103" t="str">
        <x:v>Material-row source portal</x:v>
      </x:c>
      <x:c r="F1960" s="103" t="str">
        <x:v>Source portal is identified, but edition/revision and property record locator remain unresolved.</x:v>
      </x:c>
    </x:row>
    <x:row r="1961">
      <x:c r="A1961" s="54" t="n">
        <x:v>6008</x:v>
      </x:c>
      <x:c r="B1961" s="54" t="n">
        <x:v>13</x:v>
      </x:c>
      <x:c r="C1961" s="54" t="n">
        <x:v>8</x:v>
      </x:c>
      <x:c r="D1961" s="54" t="n">
        <x:v>1</x:v>
      </x:c>
      <x:c r="E1961" s="103" t="str">
        <x:v>Material-row source portal</x:v>
      </x:c>
      <x:c r="F1961" s="103" t="str">
        <x:v>Source portal is identified, but edition/revision and property record locator remain unresolved.</x:v>
      </x:c>
    </x:row>
    <x:row r="1962">
      <x:c r="A1962" s="54" t="n">
        <x:v>6008</x:v>
      </x:c>
      <x:c r="B1962" s="54" t="n">
        <x:v>14</x:v>
      </x:c>
      <x:c r="C1962" s="54" t="n">
        <x:v>8</x:v>
      </x:c>
      <x:c r="D1962" s="54" t="n">
        <x:v>1</x:v>
      </x:c>
      <x:c r="E1962" s="103" t="str">
        <x:v>Material-row source portal</x:v>
      </x:c>
      <x:c r="F1962" s="103" t="str">
        <x:v>Source portal is identified, but edition/revision and property record locator remain unresolved.</x:v>
      </x:c>
    </x:row>
    <x:row r="1963">
      <x:c r="A1963" s="54" t="n">
        <x:v>6008</x:v>
      </x:c>
      <x:c r="B1963" s="54" t="n">
        <x:v>15</x:v>
      </x:c>
      <x:c r="C1963" s="54" t="n">
        <x:v>8</x:v>
      </x:c>
      <x:c r="D1963" s="54" t="n">
        <x:v>1</x:v>
      </x:c>
      <x:c r="E1963" s="103" t="str">
        <x:v>Material-row source portal</x:v>
      </x:c>
      <x:c r="F1963" s="103" t="str">
        <x:v>Source portal is identified, but edition/revision and property record locator remain unresolved.</x:v>
      </x:c>
    </x:row>
    <x:row r="1964">
      <x:c r="A1964" s="54" t="n">
        <x:v>6008</x:v>
      </x:c>
      <x:c r="B1964" s="54" t="n">
        <x:v>16</x:v>
      </x:c>
      <x:c r="C1964" s="54" t="n">
        <x:v>8</x:v>
      </x:c>
      <x:c r="D1964" s="54" t="n">
        <x:v>1</x:v>
      </x:c>
      <x:c r="E1964" s="103" t="str">
        <x:v>Material-row source portal</x:v>
      </x:c>
      <x:c r="F1964" s="103" t="str">
        <x:v>Source portal is identified, but edition/revision and property record locator remain unresolved.</x:v>
      </x:c>
    </x:row>
    <x:row r="1965">
      <x:c r="A1965" s="54" t="n">
        <x:v>6008</x:v>
      </x:c>
      <x:c r="B1965" s="54" t="n">
        <x:v>17</x:v>
      </x:c>
      <x:c r="C1965" s="54" t="n">
        <x:v>8</x:v>
      </x:c>
      <x:c r="D1965" s="54" t="n">
        <x:v>1</x:v>
      </x:c>
      <x:c r="E1965" s="103" t="str">
        <x:v>Material-row source portal</x:v>
      </x:c>
      <x:c r="F1965" s="103" t="str">
        <x:v>Source portal is identified, but edition/revision and property record locator remain unresolved.</x:v>
      </x:c>
    </x:row>
    <x:row r="1966">
      <x:c r="A1966" s="54" t="n">
        <x:v>6008</x:v>
      </x:c>
      <x:c r="B1966" s="54" t="n">
        <x:v>18</x:v>
      </x:c>
      <x:c r="C1966" s="54" t="n">
        <x:v>8</x:v>
      </x:c>
      <x:c r="D1966" s="54" t="n">
        <x:v>1</x:v>
      </x:c>
      <x:c r="E1966" s="103" t="str">
        <x:v>Formula-derived from E and Poisson ratio; input records inherit the material-row source</x:v>
      </x:c>
      <x:c r="F1966" s="103" t="str">
        <x:v>Source portal is identified, but edition/revision and property record locator remain unresolved.</x:v>
      </x:c>
    </x:row>
    <x:row r="1967">
      <x:c r="A1967" s="54" t="n">
        <x:v>6009</x:v>
      </x:c>
      <x:c r="B1967" s="54" t="n">
        <x:v>1</x:v>
      </x:c>
      <x:c r="C1967" s="54" t="n">
        <x:v>8</x:v>
      </x:c>
      <x:c r="D1967" s="54" t="n">
        <x:v>1</x:v>
      </x:c>
      <x:c r="E1967" s="103" t="str">
        <x:v>Material-row source portal</x:v>
      </x:c>
      <x:c r="F1967" s="103" t="str">
        <x:v>Source portal is identified, but edition/revision and property record locator remain unresolved.</x:v>
      </x:c>
    </x:row>
    <x:row r="1968">
      <x:c r="A1968" s="54" t="n">
        <x:v>6009</x:v>
      </x:c>
      <x:c r="B1968" s="54" t="n">
        <x:v>2</x:v>
      </x:c>
      <x:c r="C1968" s="54" t="n">
        <x:v>8</x:v>
      </x:c>
      <x:c r="D1968" s="54" t="n">
        <x:v>1</x:v>
      </x:c>
      <x:c r="E1968" s="103" t="str">
        <x:v>Material-row source portal</x:v>
      </x:c>
      <x:c r="F1968" s="103" t="str">
        <x:v>Source portal is identified, but edition/revision and property record locator remain unresolved.</x:v>
      </x:c>
    </x:row>
    <x:row r="1969">
      <x:c r="A1969" s="54" t="n">
        <x:v>6009</x:v>
      </x:c>
      <x:c r="B1969" s="54" t="n">
        <x:v>3</x:v>
      </x:c>
      <x:c r="C1969" s="54" t="n">
        <x:v>8</x:v>
      </x:c>
      <x:c r="D1969" s="54" t="n">
        <x:v>1</x:v>
      </x:c>
      <x:c r="E1969" s="103" t="str">
        <x:v>Formula-derived from E and Poisson ratio; input records inherit the material-row source</x:v>
      </x:c>
      <x:c r="F1969" s="103" t="str">
        <x:v>Source portal is identified, but edition/revision and property record locator remain unresolved.</x:v>
      </x:c>
    </x:row>
    <x:row r="1970">
      <x:c r="A1970" s="54" t="n">
        <x:v>6009</x:v>
      </x:c>
      <x:c r="B1970" s="54" t="n">
        <x:v>4</x:v>
      </x:c>
      <x:c r="C1970" s="54" t="n">
        <x:v>8</x:v>
      </x:c>
      <x:c r="D1970" s="54" t="n">
        <x:v>1</x:v>
      </x:c>
      <x:c r="E1970" s="103" t="str">
        <x:v>Material-row source portal</x:v>
      </x:c>
      <x:c r="F1970" s="103" t="str">
        <x:v>Source portal is identified, but edition/revision and property record locator remain unresolved.</x:v>
      </x:c>
    </x:row>
    <x:row r="1971">
      <x:c r="A1971" s="54" t="n">
        <x:v>6009</x:v>
      </x:c>
      <x:c r="B1971" s="54" t="n">
        <x:v>6</x:v>
      </x:c>
      <x:c r="C1971" s="54" t="n">
        <x:v>8</x:v>
      </x:c>
      <x:c r="D1971" s="54" t="n">
        <x:v>1</x:v>
      </x:c>
      <x:c r="E1971" s="103" t="str">
        <x:v>Material-row source portal</x:v>
      </x:c>
      <x:c r="F1971" s="103" t="str">
        <x:v>Source portal is identified, but edition/revision and property record locator remain unresolved.</x:v>
      </x:c>
    </x:row>
    <x:row r="1972">
      <x:c r="A1972" s="54" t="n">
        <x:v>6009</x:v>
      </x:c>
      <x:c r="B1972" s="54" t="n">
        <x:v>7</x:v>
      </x:c>
      <x:c r="C1972" s="54" t="n">
        <x:v>8</x:v>
      </x:c>
      <x:c r="D1972" s="54" t="n">
        <x:v>1</x:v>
      </x:c>
      <x:c r="E1972" s="103" t="str">
        <x:v>Material-row source portal</x:v>
      </x:c>
      <x:c r="F1972" s="103" t="str">
        <x:v>Source portal is identified, but edition/revision and property record locator remain unresolved.</x:v>
      </x:c>
    </x:row>
    <x:row r="1973">
      <x:c r="A1973" s="54" t="n">
        <x:v>6009</x:v>
      </x:c>
      <x:c r="B1973" s="54" t="n">
        <x:v>8</x:v>
      </x:c>
      <x:c r="C1973" s="54" t="n">
        <x:v>8</x:v>
      </x:c>
      <x:c r="D1973" s="54" t="n">
        <x:v>1</x:v>
      </x:c>
      <x:c r="E1973" s="103" t="str">
        <x:v>Material-row source portal</x:v>
      </x:c>
      <x:c r="F1973" s="103" t="str">
        <x:v>Source portal is identified, but edition/revision and property record locator remain unresolved.</x:v>
      </x:c>
    </x:row>
    <x:row r="1974">
      <x:c r="A1974" s="54" t="n">
        <x:v>6009</x:v>
      </x:c>
      <x:c r="B1974" s="54" t="n">
        <x:v>9</x:v>
      </x:c>
      <x:c r="C1974" s="54" t="n">
        <x:v>8</x:v>
      </x:c>
      <x:c r="D1974" s="54" t="n">
        <x:v>1</x:v>
      </x:c>
      <x:c r="E1974" s="103" t="str">
        <x:v>Material-row source portal</x:v>
      </x:c>
      <x:c r="F1974" s="103" t="str">
        <x:v>Source portal is identified, but edition/revision and property record locator remain unresolved.</x:v>
      </x:c>
    </x:row>
    <x:row r="1975">
      <x:c r="A1975" s="54" t="n">
        <x:v>6009</x:v>
      </x:c>
      <x:c r="B1975" s="54" t="n">
        <x:v>11</x:v>
      </x:c>
      <x:c r="C1975" s="54" t="n">
        <x:v>8</x:v>
      </x:c>
      <x:c r="D1975" s="54" t="n">
        <x:v>1</x:v>
      </x:c>
      <x:c r="E1975" s="103" t="str">
        <x:v>Material-row source portal</x:v>
      </x:c>
      <x:c r="F1975" s="103" t="str">
        <x:v>Source portal is identified, but edition/revision and property record locator remain unresolved.</x:v>
      </x:c>
    </x:row>
    <x:row r="1976">
      <x:c r="A1976" s="54" t="n">
        <x:v>6009</x:v>
      </x:c>
      <x:c r="B1976" s="54" t="n">
        <x:v>12</x:v>
      </x:c>
      <x:c r="C1976" s="54" t="n">
        <x:v>8</x:v>
      </x:c>
      <x:c r="D1976" s="54" t="n">
        <x:v>1</x:v>
      </x:c>
      <x:c r="E1976" s="103" t="str">
        <x:v>Material-row source portal</x:v>
      </x:c>
      <x:c r="F1976" s="103" t="str">
        <x:v>Source portal is identified, but edition/revision and property record locator remain unresolved.</x:v>
      </x:c>
    </x:row>
    <x:row r="1977">
      <x:c r="A1977" s="54" t="n">
        <x:v>6009</x:v>
      </x:c>
      <x:c r="B1977" s="54" t="n">
        <x:v>13</x:v>
      </x:c>
      <x:c r="C1977" s="54" t="n">
        <x:v>8</x:v>
      </x:c>
      <x:c r="D1977" s="54" t="n">
        <x:v>1</x:v>
      </x:c>
      <x:c r="E1977" s="103" t="str">
        <x:v>Material-row source portal</x:v>
      </x:c>
      <x:c r="F1977" s="103" t="str">
        <x:v>Source portal is identified, but edition/revision and property record locator remain unresolved.</x:v>
      </x:c>
    </x:row>
    <x:row r="1978">
      <x:c r="A1978" s="54" t="n">
        <x:v>6009</x:v>
      </x:c>
      <x:c r="B1978" s="54" t="n">
        <x:v>14</x:v>
      </x:c>
      <x:c r="C1978" s="54" t="n">
        <x:v>8</x:v>
      </x:c>
      <x:c r="D1978" s="54" t="n">
        <x:v>1</x:v>
      </x:c>
      <x:c r="E1978" s="103" t="str">
        <x:v>Material-row source portal</x:v>
      </x:c>
      <x:c r="F1978" s="103" t="str">
        <x:v>Source portal is identified, but edition/revision and property record locator remain unresolved.</x:v>
      </x:c>
    </x:row>
    <x:row r="1979">
      <x:c r="A1979" s="54" t="n">
        <x:v>6009</x:v>
      </x:c>
      <x:c r="B1979" s="54" t="n">
        <x:v>15</x:v>
      </x:c>
      <x:c r="C1979" s="54" t="n">
        <x:v>8</x:v>
      </x:c>
      <x:c r="D1979" s="54" t="n">
        <x:v>1</x:v>
      </x:c>
      <x:c r="E1979" s="103" t="str">
        <x:v>Material-row source portal</x:v>
      </x:c>
      <x:c r="F1979" s="103" t="str">
        <x:v>Source portal is identified, but edition/revision and property record locator remain unresolved.</x:v>
      </x:c>
    </x:row>
    <x:row r="1980">
      <x:c r="A1980" s="54" t="n">
        <x:v>6009</x:v>
      </x:c>
      <x:c r="B1980" s="54" t="n">
        <x:v>16</x:v>
      </x:c>
      <x:c r="C1980" s="54" t="n">
        <x:v>8</x:v>
      </x:c>
      <x:c r="D1980" s="54" t="n">
        <x:v>1</x:v>
      </x:c>
      <x:c r="E1980" s="103" t="str">
        <x:v>Material-row source portal</x:v>
      </x:c>
      <x:c r="F1980" s="103" t="str">
        <x:v>Source portal is identified, but edition/revision and property record locator remain unresolved.</x:v>
      </x:c>
    </x:row>
    <x:row r="1981">
      <x:c r="A1981" s="54" t="n">
        <x:v>6010</x:v>
      </x:c>
      <x:c r="B1981" s="54" t="n">
        <x:v>1</x:v>
      </x:c>
      <x:c r="C1981" s="54" t="n">
        <x:v>8</x:v>
      </x:c>
      <x:c r="D1981" s="54" t="n">
        <x:v>1</x:v>
      </x:c>
      <x:c r="E1981" s="103" t="str">
        <x:v>Material-row source portal</x:v>
      </x:c>
      <x:c r="F1981" s="103" t="str">
        <x:v>Source portal is identified, but edition/revision and property record locator remain unresolved.</x:v>
      </x:c>
    </x:row>
    <x:row r="1982">
      <x:c r="A1982" s="54" t="n">
        <x:v>6010</x:v>
      </x:c>
      <x:c r="B1982" s="54" t="n">
        <x:v>2</x:v>
      </x:c>
      <x:c r="C1982" s="54" t="n">
        <x:v>8</x:v>
      </x:c>
      <x:c r="D1982" s="54" t="n">
        <x:v>1</x:v>
      </x:c>
      <x:c r="E1982" s="103" t="str">
        <x:v>Material-row source portal</x:v>
      </x:c>
      <x:c r="F1982" s="103" t="str">
        <x:v>Source portal is identified, but edition/revision and property record locator remain unresolved.</x:v>
      </x:c>
    </x:row>
    <x:row r="1983">
      <x:c r="A1983" s="54" t="n">
        <x:v>6010</x:v>
      </x:c>
      <x:c r="B1983" s="54" t="n">
        <x:v>3</x:v>
      </x:c>
      <x:c r="C1983" s="54" t="n">
        <x:v>8</x:v>
      </x:c>
      <x:c r="D1983" s="54" t="n">
        <x:v>1</x:v>
      </x:c>
      <x:c r="E1983" s="103" t="str">
        <x:v>Formula-derived from E and Poisson ratio; input records inherit the material-row source</x:v>
      </x:c>
      <x:c r="F1983" s="103" t="str">
        <x:v>Source portal is identified, but edition/revision and property record locator remain unresolved.</x:v>
      </x:c>
    </x:row>
    <x:row r="1984">
      <x:c r="A1984" s="54" t="n">
        <x:v>6010</x:v>
      </x:c>
      <x:c r="B1984" s="54" t="n">
        <x:v>4</x:v>
      </x:c>
      <x:c r="C1984" s="54" t="n">
        <x:v>8</x:v>
      </x:c>
      <x:c r="D1984" s="54" t="n">
        <x:v>1</x:v>
      </x:c>
      <x:c r="E1984" s="103" t="str">
        <x:v>Material-row source portal</x:v>
      </x:c>
      <x:c r="F1984" s="103" t="str">
        <x:v>Source portal is identified, but edition/revision and property record locator remain unresolved.</x:v>
      </x:c>
    </x:row>
    <x:row r="1985">
      <x:c r="A1985" s="54" t="n">
        <x:v>6010</x:v>
      </x:c>
      <x:c r="B1985" s="54" t="n">
        <x:v>6</x:v>
      </x:c>
      <x:c r="C1985" s="54" t="n">
        <x:v>8</x:v>
      </x:c>
      <x:c r="D1985" s="54" t="n">
        <x:v>1</x:v>
      </x:c>
      <x:c r="E1985" s="103" t="str">
        <x:v>Material-row source portal</x:v>
      </x:c>
      <x:c r="F1985" s="103" t="str">
        <x:v>Source portal is identified, but edition/revision and property record locator remain unresolved.</x:v>
      </x:c>
    </x:row>
    <x:row r="1986">
      <x:c r="A1986" s="54" t="n">
        <x:v>6010</x:v>
      </x:c>
      <x:c r="B1986" s="54" t="n">
        <x:v>7</x:v>
      </x:c>
      <x:c r="C1986" s="54" t="n">
        <x:v>8</x:v>
      </x:c>
      <x:c r="D1986" s="54" t="n">
        <x:v>1</x:v>
      </x:c>
      <x:c r="E1986" s="103" t="str">
        <x:v>Material-row source portal</x:v>
      </x:c>
      <x:c r="F1986" s="103" t="str">
        <x:v>Source portal is identified, but edition/revision and property record locator remain unresolved.</x:v>
      </x:c>
    </x:row>
    <x:row r="1987">
      <x:c r="A1987" s="54" t="n">
        <x:v>6010</x:v>
      </x:c>
      <x:c r="B1987" s="54" t="n">
        <x:v>8</x:v>
      </x:c>
      <x:c r="C1987" s="54" t="n">
        <x:v>8</x:v>
      </x:c>
      <x:c r="D1987" s="54" t="n">
        <x:v>1</x:v>
      </x:c>
      <x:c r="E1987" s="103" t="str">
        <x:v>Material-row source portal</x:v>
      </x:c>
      <x:c r="F1987" s="103" t="str">
        <x:v>Source portal is identified, but edition/revision and property record locator remain unresolved.</x:v>
      </x:c>
    </x:row>
    <x:row r="1988">
      <x:c r="A1988" s="54" t="n">
        <x:v>6010</x:v>
      </x:c>
      <x:c r="B1988" s="54" t="n">
        <x:v>9</x:v>
      </x:c>
      <x:c r="C1988" s="54" t="n">
        <x:v>8</x:v>
      </x:c>
      <x:c r="D1988" s="54" t="n">
        <x:v>1</x:v>
      </x:c>
      <x:c r="E1988" s="103" t="str">
        <x:v>Material-row source portal</x:v>
      </x:c>
      <x:c r="F1988" s="103" t="str">
        <x:v>Source portal is identified, but edition/revision and property record locator remain unresolved.</x:v>
      </x:c>
    </x:row>
    <x:row r="1989">
      <x:c r="A1989" s="54" t="n">
        <x:v>6010</x:v>
      </x:c>
      <x:c r="B1989" s="54" t="n">
        <x:v>11</x:v>
      </x:c>
      <x:c r="C1989" s="54" t="n">
        <x:v>8</x:v>
      </x:c>
      <x:c r="D1989" s="54" t="n">
        <x:v>1</x:v>
      </x:c>
      <x:c r="E1989" s="103" t="str">
        <x:v>Material-row source portal</x:v>
      </x:c>
      <x:c r="F1989" s="103" t="str">
        <x:v>Source portal is identified, but edition/revision and property record locator remain unresolved.</x:v>
      </x:c>
    </x:row>
    <x:row r="1990">
      <x:c r="A1990" s="54" t="n">
        <x:v>6010</x:v>
      </x:c>
      <x:c r="B1990" s="54" t="n">
        <x:v>12</x:v>
      </x:c>
      <x:c r="C1990" s="54" t="n">
        <x:v>8</x:v>
      </x:c>
      <x:c r="D1990" s="54" t="n">
        <x:v>1</x:v>
      </x:c>
      <x:c r="E1990" s="103" t="str">
        <x:v>Material-row source portal</x:v>
      </x:c>
      <x:c r="F1990" s="103" t="str">
        <x:v>Source portal is identified, but edition/revision and property record locator remain unresolved.</x:v>
      </x:c>
    </x:row>
    <x:row r="1991">
      <x:c r="A1991" s="54" t="n">
        <x:v>6010</x:v>
      </x:c>
      <x:c r="B1991" s="54" t="n">
        <x:v>13</x:v>
      </x:c>
      <x:c r="C1991" s="54" t="n">
        <x:v>8</x:v>
      </x:c>
      <x:c r="D1991" s="54" t="n">
        <x:v>1</x:v>
      </x:c>
      <x:c r="E1991" s="103" t="str">
        <x:v>Material-row source portal</x:v>
      </x:c>
      <x:c r="F1991" s="103" t="str">
        <x:v>Source portal is identified, but edition/revision and property record locator remain unresolved.</x:v>
      </x:c>
    </x:row>
    <x:row r="1992">
      <x:c r="A1992" s="54" t="n">
        <x:v>6010</x:v>
      </x:c>
      <x:c r="B1992" s="54" t="n">
        <x:v>14</x:v>
      </x:c>
      <x:c r="C1992" s="54" t="n">
        <x:v>8</x:v>
      </x:c>
      <x:c r="D1992" s="54" t="n">
        <x:v>1</x:v>
      </x:c>
      <x:c r="E1992" s="103" t="str">
        <x:v>Material-row source portal</x:v>
      </x:c>
      <x:c r="F1992" s="103" t="str">
        <x:v>Source portal is identified, but edition/revision and property record locator remain unresolved.</x:v>
      </x:c>
    </x:row>
    <x:row r="1993">
      <x:c r="A1993" s="54" t="n">
        <x:v>6010</x:v>
      </x:c>
      <x:c r="B1993" s="54" t="n">
        <x:v>15</x:v>
      </x:c>
      <x:c r="C1993" s="54" t="n">
        <x:v>8</x:v>
      </x:c>
      <x:c r="D1993" s="54" t="n">
        <x:v>1</x:v>
      </x:c>
      <x:c r="E1993" s="103" t="str">
        <x:v>Material-row source portal</x:v>
      </x:c>
      <x:c r="F1993" s="103" t="str">
        <x:v>Source portal is identified, but edition/revision and property record locator remain unresolved.</x:v>
      </x:c>
    </x:row>
    <x:row r="1994">
      <x:c r="A1994" s="54" t="n">
        <x:v>6010</x:v>
      </x:c>
      <x:c r="B1994" s="54" t="n">
        <x:v>16</x:v>
      </x:c>
      <x:c r="C1994" s="54" t="n">
        <x:v>8</x:v>
      </x:c>
      <x:c r="D1994" s="54" t="n">
        <x:v>1</x:v>
      </x:c>
      <x:c r="E1994" s="103" t="str">
        <x:v>Material-row source portal</x:v>
      </x:c>
      <x:c r="F1994" s="103" t="str">
        <x:v>Source portal is identified, but edition/revision and property record locator remain unresolved.</x:v>
      </x:c>
    </x:row>
    <x:row r="1995">
      <x:c r="A1995" s="54"/>
      <x:c r="B1995" s="54"/>
      <x:c r="C1995" s="54"/>
      <x:c r="D1995" s="54"/>
      <x:c r="E1995" s="103"/>
      <x:c r="F1995" s="103"/>
    </x:row>
    <x:row r="1996">
      <x:c r="A1996" s="54"/>
      <x:c r="B1996" s="54"/>
      <x:c r="C1996" s="54"/>
      <x:c r="D1996" s="54"/>
      <x:c r="E1996" s="103"/>
      <x:c r="F1996" s="103"/>
    </x:row>
    <x:row r="1997">
      <x:c r="A1997" s="54"/>
      <x:c r="B1997" s="54"/>
      <x:c r="C1997" s="54"/>
      <x:c r="D1997" s="54"/>
      <x:c r="E1997" s="103"/>
      <x:c r="F1997" s="103"/>
    </x:row>
    <x:row r="1998">
      <x:c r="A1998" s="54"/>
      <x:c r="B1998" s="54"/>
      <x:c r="C1998" s="54"/>
      <x:c r="D1998" s="54"/>
      <x:c r="E1998" s="103"/>
      <x:c r="F1998" s="103"/>
    </x:row>
    <x:row r="1999">
      <x:c r="A1999" s="54"/>
      <x:c r="B1999" s="54"/>
      <x:c r="C1999" s="54"/>
      <x:c r="D1999" s="54"/>
      <x:c r="E1999" s="103"/>
      <x:c r="F1999" s="103"/>
    </x:row>
    <x:row r="2000">
      <x:c r="A2000" s="54"/>
      <x:c r="B2000" s="54"/>
      <x:c r="C2000" s="54"/>
      <x:c r="D2000" s="54"/>
      <x:c r="E2000" s="103"/>
      <x:c r="F2000" s="103"/>
    </x:row>
    <x:row r="2001">
      <x:c r="A2001" s="54"/>
      <x:c r="B2001" s="54"/>
      <x:c r="C2001" s="54"/>
      <x:c r="D2001" s="54"/>
      <x:c r="E2001" s="103"/>
      <x:c r="F2001" s="103"/>
    </x:row>
    <x:row r="2002">
      <x:c r="A2002" s="54"/>
      <x:c r="B2002" s="54"/>
      <x:c r="C2002" s="54"/>
      <x:c r="D2002" s="54"/>
      <x:c r="E2002" s="103"/>
      <x:c r="F2002" s="103"/>
    </x:row>
    <x:row r="2003">
      <x:c r="A2003" s="54"/>
      <x:c r="B2003" s="54"/>
      <x:c r="C2003" s="54"/>
      <x:c r="D2003" s="54"/>
      <x:c r="E2003" s="103"/>
      <x:c r="F2003" s="103"/>
    </x:row>
    <x:row r="2004">
      <x:c r="A2004" s="54"/>
      <x:c r="B2004" s="54"/>
      <x:c r="C2004" s="54"/>
      <x:c r="D2004" s="54"/>
      <x:c r="E2004" s="103"/>
      <x:c r="F2004" s="103"/>
    </x:row>
    <x:row r="2005">
      <x:c r="A2005" s="54"/>
      <x:c r="B2005" s="54"/>
      <x:c r="C2005" s="54"/>
      <x:c r="D2005" s="54"/>
      <x:c r="E2005" s="103"/>
      <x:c r="F2005" s="103"/>
    </x:row>
    <x:row r="2006">
      <x:c r="A2006" s="54"/>
      <x:c r="B2006" s="54"/>
      <x:c r="C2006" s="54"/>
      <x:c r="D2006" s="54"/>
      <x:c r="E2006" s="103"/>
      <x:c r="F2006" s="103"/>
    </x:row>
    <x:row r="2007">
      <x:c r="A2007" s="54"/>
      <x:c r="B2007" s="54"/>
      <x:c r="C2007" s="54"/>
      <x:c r="D2007" s="54"/>
      <x:c r="E2007" s="103"/>
      <x:c r="F2007" s="103"/>
    </x:row>
    <x:row r="2008">
      <x:c r="A2008" s="54"/>
      <x:c r="B2008" s="54"/>
      <x:c r="C2008" s="54"/>
      <x:c r="D2008" s="54"/>
      <x:c r="E2008" s="103"/>
      <x:c r="F2008" s="103"/>
    </x:row>
  </x:sheetData>
  <x:pageMargins left="0.7" right="0.7" top="0.75" bottom="0.75" header="0.3" footer="0.3"/>
  <x:tableParts count="1">
    <x:tablePart xmlns:r="http://schemas.openxmlformats.org/officeDocument/2006/relationships" r:id="Re62bc3e547884acc"/>
  </x:tableParts>
</x:worksheet>
</file>
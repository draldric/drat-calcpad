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3c259e91a34c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52f159feec44a75"/>
    <x:sheet xmlns:r="http://schemas.openxmlformats.org/officeDocument/2006/relationships" name="Materials" sheetId="2" r:id="Rd7eeeb2b30474169"/>
    <x:sheet xmlns:r="http://schemas.openxmlformats.org/officeDocument/2006/relationships" name="Property Dictionary" sheetId="3" r:id="R1c46aa0c40cf41c5"/>
    <x:sheet xmlns:r="http://schemas.openxmlformats.org/officeDocument/2006/relationships" name="Sources" sheetId="4" r:id="R5057f212a7b64a1b"/>
    <x:sheet xmlns:r="http://schemas.openxmlformats.org/officeDocument/2006/relationships" name="CPD Numeric Export" sheetId="5" r:id="R5123a10c0e664cd3"/>
    <x:sheet xmlns:r="http://schemas.openxmlformats.org/officeDocument/2006/relationships" name="Selector" sheetId="6" r:id="Rfc085596d9464f8d"/>
    <x:sheet xmlns:r="http://schemas.openxmlformats.org/officeDocument/2006/relationships" name="QA" sheetId="7" r:id="R6a1a200fe51c4b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"/>
    <x:numFmt numFmtId="201" formatCode="#,##0"/>
    <x:numFmt numFmtId="202" formatCode="0.000"/>
    <x:numFmt numFmtId="203" formatCode="0.0000"/>
    <x:numFmt numFmtId="204" formatCode="0.00E+00"/>
    <x:numFmt numFmtId="205" formatCode="0.0"/>
    <x:numFmt numFmtId="206" formatCode="0.000E+00"/>
    <x:numFmt numFmtId="207" formatCode="0.0%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24D"/>
      <x:name val="Carlito"/>
    </x:font>
    <x:font>
      <x:b/>
      <x:sz val="11"/>
      <x:color rgb="FFFFFFFF"/>
      <x:name val="Carlito"/>
    </x:font>
    <x:font>
      <x:i/>
      <x:sz val="11"/>
      <x:color rgb="FF17324D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5"/>
      </x:patternFill>
    </x:fill>
    <x:fill>
      <x:patternFill patternType="solid">
        <x:fgColor rgb="FF1D6F78"/>
      </x:patternFill>
    </x:fill>
    <x:fill>
      <x:patternFill patternType="solid">
        <x:fgColor rgb="FFF6F8FA"/>
      </x:patternFill>
    </x:fill>
    <x:fill>
      <x:patternFill patternType="solid">
        <x:fgColor rgb="FFE8F4EA"/>
      </x:patternFill>
    </x:fill>
    <x:fill>
      <x:patternFill patternType="solid">
        <x:fgColor rgb="FFFFF8E1"/>
      </x:patternFill>
    </x:fill>
    <x:fill>
      <x:patternFill patternType="solid">
        <x:fgColor rgb="FFFFF3CD"/>
      </x:patternFill>
    </x:fill>
    <x:fill>
      <x:patternFill patternType="solid">
        <x:fgColor rgb="FFDDEFE7"/>
      </x:patternFill>
    </x:fill>
  </x:fills>
  <x:borders count="10">
    <x:border/>
    <x:border>
      <x:right style="thin">
        <x:color rgb="FFC8D2DC"/>
      </x:right>
      <x:bottom style="thin">
        <x:color rgb="FFC8D2DC"/>
      </x:bottom>
    </x:border>
    <x:border>
      <x:left style="thin">
        <x:color rgb="FFC8D2DC"/>
      </x:left>
      <x:bottom style="thin">
        <x:color rgb="FFC8D2DC"/>
      </x:bottom>
    </x:border>
    <x:border>
      <x:right style="thin">
        <x:color rgb="FFC8D2DC"/>
      </x:right>
      <x:top style="thin">
        <x:color rgb="FFC8D2DC"/>
      </x:top>
      <x:bottom style="thin">
        <x:color rgb="FFC8D2DC"/>
      </x:bottom>
    </x:border>
    <x:border>
      <x:left style="thin">
        <x:color rgb="FFC8D2DC"/>
      </x:left>
      <x:top style="thin">
        <x:color rgb="FFC8D2DC"/>
      </x:top>
      <x:bottom style="thin">
        <x:color rgb="FFC8D2DC"/>
      </x:bottom>
    </x:border>
    <x:border>
      <x:right style="thin">
        <x:color rgb="FFC8D2DC"/>
      </x:right>
      <x:top style="thin">
        <x:color rgb="FFC8D2DC"/>
      </x:top>
    </x:border>
    <x:border>
      <x:left style="thin">
        <x:color rgb="FFC8D2DC"/>
      </x:left>
      <x:top style="thin">
        <x:color rgb="FFC8D2DC"/>
      </x:top>
    </x:border>
    <x:border>
      <x:left style="thin">
        <x:color rgb="FFC8D2DC"/>
      </x:left>
      <x:right style="thin">
        <x:color rgb="FFC8D2DC"/>
      </x:right>
      <x:bottom style="thin">
        <x:color rgb="FFC8D2DC"/>
      </x:bottom>
    </x:border>
    <x:border>
      <x:left style="thin">
        <x:color rgb="FFC8D2DC"/>
      </x:left>
      <x:right style="thin">
        <x:color rgb="FFC8D2DC"/>
      </x:right>
      <x:top style="thin">
        <x:color rgb="FFC8D2DC"/>
      </x:top>
      <x:bottom style="thin">
        <x:color rgb="FFC8D2DC"/>
      </x:bottom>
    </x:border>
    <x:border>
      <x:left style="thin">
        <x:color rgb="FFC8D2DC"/>
      </x:left>
      <x:right style="thin">
        <x:color rgb="FFC8D2DC"/>
      </x:right>
      <x:top style="thin">
        <x:color rgb="FFC8D2DC"/>
      </x:top>
    </x:border>
  </x:borders>
  <x:cellStyleXfs count="1">
    <x:xf numFmtId="0" fontId="0" fillId="0" borderId="0"/>
  </x:cellStyleXfs>
  <x:cellXfs count="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/>
    </x:xf>
    <x:xf numFmtId="0" fontId="0" fillId="0" borderId="4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0" fillId="5" borderId="7" xfId="0" applyNumberFormat="1" applyFont="1" applyFill="1" applyBorder="1" applyAlignment="1">
      <x:alignment vertical="center" wrapText="1"/>
    </x:xf>
    <x:xf numFmtId="0" fontId="0" fillId="5" borderId="2" xfId="0" applyNumberFormat="1" applyFont="1" applyFill="1" applyBorder="1" applyAlignment="1">
      <x:alignment vertical="center" wrapText="1"/>
    </x:xf>
    <x:xf numFmtId="0" fontId="0" fillId="5" borderId="3" xfId="0" applyNumberFormat="1" applyFont="1" applyFill="1" applyBorder="1" applyAlignment="1">
      <x:alignment vertical="center" wrapText="1"/>
    </x:xf>
    <x:xf numFmtId="0" fontId="0" fillId="5" borderId="8" xfId="0" applyNumberFormat="1" applyFont="1" applyFill="1" applyBorder="1" applyAlignment="1">
      <x:alignment vertical="center" wrapText="1"/>
    </x:xf>
    <x:xf numFmtId="0" fontId="0" fillId="5" borderId="4" xfId="0" applyNumberFormat="1" applyFont="1" applyFill="1" applyBorder="1" applyAlignment="1">
      <x:alignment vertical="center" wrapText="1"/>
    </x:xf>
    <x:xf numFmtId="0" fontId="0" fillId="5" borderId="5" xfId="0" applyNumberFormat="1" applyFont="1" applyFill="1" applyBorder="1" applyAlignment="1">
      <x:alignment vertical="center" wrapText="1"/>
    </x:xf>
    <x:xf numFmtId="0" fontId="0" fillId="5" borderId="9" xfId="0" applyNumberFormat="1" applyFont="1" applyFill="1" applyBorder="1" applyAlignment="1">
      <x:alignment vertical="center" wrapText="1"/>
    </x:xf>
    <x:xf numFmtId="0" fontId="0" fillId="5" borderId="6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202" fontId="0" fillId="0" borderId="0" xfId="0" applyNumberFormat="1" applyFont="1" applyFill="1" applyBorder="1" applyAlignment="1">
      <x:alignment vertical="top"/>
    </x:xf>
    <x:xf numFmtId="203" fontId="0" fillId="0" borderId="0" xfId="0" applyNumberFormat="1" applyFont="1" applyFill="1" applyBorder="1" applyAlignment="1">
      <x:alignment vertical="top"/>
    </x:xf>
    <x:xf numFmtId="204" fontId="0" fillId="0" borderId="0" xfId="0" applyNumberFormat="1" applyFont="1" applyFill="1" applyBorder="1" applyAlignment="1">
      <x:alignment vertical="top"/>
    </x:xf>
    <x:xf numFmtId="205" fontId="0" fillId="0" borderId="0" xfId="0" applyNumberFormat="1" applyFont="1" applyFill="1" applyBorder="1" applyAlignment="1">
      <x:alignment vertical="top"/>
    </x:xf>
    <x:xf numFmtId="202" fontId="0" fillId="6" borderId="0" xfId="0" applyNumberFormat="1" applyFont="1" applyFill="1" applyBorder="1" applyAlignment="1">
      <x:alignment vertical="top"/>
    </x:xf>
    <x:xf numFmtId="202" fontId="0" fillId="7" borderId="0" xfId="0" applyNumberFormat="1" applyFont="1" applyFill="1" applyBorder="1" applyAlignment="1">
      <x:alignment vertical="top"/>
    </x:xf>
    <x:xf numFmtId="202" fontId="0" fillId="0" borderId="0" xfId="0" applyNumberFormat="1" applyFont="1" applyFill="1" applyBorder="1"/>
    <x:xf numFmtId="200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200" fontId="2" fillId="8" borderId="0" xfId="0" applyNumberFormat="1" applyFont="1" applyFill="1" applyBorder="1"/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206" fontId="2" fillId="9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207" fontId="0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842029"/>
      </x:font>
      <x:fill>
        <x:patternFill patternType="solid">
          <x:bgColor rgb="FFF8D7D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e276f54a48499f" /><Relationship Type="http://schemas.openxmlformats.org/officeDocument/2006/relationships/theme" Target="/xl/theme/theme1.xml" Id="R4a2d8cf692ed4e4c" /><Relationship Type="http://schemas.openxmlformats.org/officeDocument/2006/relationships/sharedStrings" Target="/xl/sharedStrings.xml" Id="Rd05fb17615e04c65" /><Relationship Type="http://schemas.openxmlformats.org/officeDocument/2006/relationships/worksheet" Target="/xl/worksheets/sheet1.xml" Id="R452f159feec44a75" /><Relationship Type="http://schemas.openxmlformats.org/officeDocument/2006/relationships/worksheet" Target="/xl/worksheets/sheet2.xml" Id="Rd7eeeb2b30474169" /><Relationship Type="http://schemas.openxmlformats.org/officeDocument/2006/relationships/worksheet" Target="/xl/worksheets/sheet3.xml" Id="R1c46aa0c40cf41c5" /><Relationship Type="http://schemas.openxmlformats.org/officeDocument/2006/relationships/worksheet" Target="/xl/worksheets/sheet4.xml" Id="R5057f212a7b64a1b" /><Relationship Type="http://schemas.openxmlformats.org/officeDocument/2006/relationships/worksheet" Target="/xl/worksheets/sheet5.xml" Id="R5123a10c0e664cd3" /><Relationship Type="http://schemas.openxmlformats.org/officeDocument/2006/relationships/worksheet" Target="/xl/worksheets/sheet6.xml" Id="Rfc085596d9464f8d" /><Relationship Type="http://schemas.openxmlformats.org/officeDocument/2006/relationships/worksheet" Target="/xl/worksheets/sheet7.xml" Id="R6a1a200fe51c4b0b" /></Relationships>
</file>

<file path=xl/tables/table1.xml><?xml version="1.0" encoding="utf-8"?>
<x:table xmlns:x="http://schemas.openxmlformats.org/spreadsheetml/2006/main" id="1" name="EngineeringMaterialsTable" displayName="EngineeringMaterialsTable" ref="A1:AG127" headerRowCount="1" totalsRowCount="0" totalsRowShown="0">
  <x:tableColumns count="33">
    <x:tableColumn id="1" name="Material_ID"/>
    <x:tableColumn id="2" name="CPD_Constant"/>
    <x:tableColumn id="3" name="Material_Name"/>
    <x:tableColumn id="4" name="Family"/>
    <x:tableColumn id="5" name="Category"/>
    <x:tableColumn id="6" name="Standard_or_Grade"/>
    <x:tableColumn id="7" name="Condition"/>
    <x:tableColumn id="8" name="Elastic_Model"/>
    <x:tableColumn id="9" name="Density_kg_m3"/>
    <x:tableColumn id="10" name="Youngs_Modulus_GPa"/>
    <x:tableColumn id="11" name="Poisson_Ratio"/>
    <x:tableColumn id="12" name="Shear_Override_GPa"/>
    <x:tableColumn id="13" name="Bulk_Override_GPa"/>
    <x:tableColumn id="14" name="Shear_Modulus_GPa_Derived"/>
    <x:tableColumn id="15" name="Bulk_Modulus_GPa_Derived"/>
    <x:tableColumn id="16" name="Yield_Strength_MPa"/>
    <x:tableColumn id="17" name="Tensile_Strength_MPa"/>
    <x:tableColumn id="18" name="Compressive_Strength_MPa"/>
    <x:tableColumn id="19" name="Flexural_Strength_MPa"/>
    <x:tableColumn id="20" name="Elongation_Fraction"/>
    <x:tableColumn id="21" name="Fracture_Toughness_MPa_sqrt_m"/>
    <x:tableColumn id="22" name="Thermal_Conductivity_W_mK"/>
    <x:tableColumn id="23" name="Specific_Heat_J_kgK"/>
    <x:tableColumn id="24" name="CTE_um_mK"/>
    <x:tableColumn id="25" name="Electrical_Resistivity_ohm_m"/>
    <x:tableColumn id="26" name="Transition_Temperature_C"/>
    <x:tableColumn id="27" name="Max_Service_Temperature_C"/>
    <x:tableColumn id="28" name="Hardness_HV"/>
    <x:tableColumn id="29" name="Source_ID"/>
    <x:tableColumn id="30" name="Data_Quality"/>
    <x:tableColumn id="31" name="Notes"/>
    <x:tableColumn id="32" name="Source_URL"/>
    <x:tableColumn id="33" name="Duplicate_ID_Fla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pertyDictionaryTable" displayName="PropertyDictionaryTable" ref="A1:G19" headerRowCount="1" totalsRowCount="0" totalsRowShown="0">
  <x:tableColumns count="7">
    <x:tableColumn id="1" name="Property_ID"/>
    <x:tableColumn id="2" name="CPD_Constant"/>
    <x:tableColumn id="3" name="Property_Name"/>
    <x:tableColumn id="4" name="Unit"/>
    <x:tableColumn id="5" name="CPD_Export_Header"/>
    <x:tableColumn id="6" name="Definition"/>
    <x:tableColumn id="7" name="Missing_Value_Behavio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RegistryTable" displayName="SourceRegistryTable" ref="A1:E12" headerRowCount="1" totalsRowCount="0" totalsRowShown="0">
  <x:tableColumns count="5">
    <x:tableColumn id="1" name="Source_ID"/>
    <x:tableColumn id="2" name="Source_Name"/>
    <x:tableColumn id="3" name="Coverage"/>
    <x:tableColumn id="4" name="Use_in_Library"/>
    <x:tableColumn id="5" name="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PDNumericExportTable" displayName="CPDNumericExportTable" ref="A1:S127" headerRowCount="1" totalsRowCount="0" totalsRowShown="0">
  <x:tableColumns count="19">
    <x:tableColumn id="1" name="Material_ID"/>
    <x:tableColumn id="2" name="P01_Density_kg_m3"/>
    <x:tableColumn id="3" name="P02_Youngs_Modulus_GPa"/>
    <x:tableColumn id="4" name="P03_Shear_Modulus_GPa"/>
    <x:tableColumn id="5" name="P04_Poisson_Ratio"/>
    <x:tableColumn id="6" name="P05_Yield_Strength_MPa"/>
    <x:tableColumn id="7" name="P06_Tensile_Strength_MPa"/>
    <x:tableColumn id="8" name="P07_Compressive_Strength_MPa"/>
    <x:tableColumn id="9" name="P08_Flexural_Strength_MPa"/>
    <x:tableColumn id="10" name="P09_Elongation_Fraction"/>
    <x:tableColumn id="11" name="P10_Fracture_Toughness_MPa_sqrt_m"/>
    <x:tableColumn id="12" name="P11_Thermal_Conductivity_W_mK"/>
    <x:tableColumn id="13" name="P12_Specific_Heat_J_kgK"/>
    <x:tableColumn id="14" name="P13_CTE_um_mK"/>
    <x:tableColumn id="15" name="P14_Electrical_Resistivity_ohm_m"/>
    <x:tableColumn id="16" name="P15_Transition_Temperature_C"/>
    <x:tableColumn id="17" name="P16_Max_Service_Temperature_C"/>
    <x:tableColumn id="18" name="P17_Hardness_HV"/>
    <x:tableColumn id="19" name="P18_Bulk_Modulus_GP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c41f6bba63e4a9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def2fd70f3f453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30e301ff783441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025a0567e9044f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3" t="str">
        <x:v>Common Engineering Materials Library</x:v>
      </x:c>
      <x:c r="B1" s="3"/>
      <x:c r="C1" s="3"/>
      <x:c r="D1" s="3"/>
      <x:c r="E1" s="3"/>
      <x:c r="F1" s="3"/>
    </x:row>
    <x:row r="3">
      <x:c r="A3" s="9" t="str">
        <x:v>Library revision</x:v>
      </x:c>
      <x:c r="B3" s="10" t="str">
        <x:v>1.0.0</x:v>
      </x:c>
    </x:row>
    <x:row r="4">
      <x:c r="A4" s="11" t="str">
        <x:v>Revision date</x:v>
      </x:c>
      <x:c r="B4" s="12" t="str">
        <x:v>2026-08-07</x:v>
      </x:c>
    </x:row>
    <x:row r="5">
      <x:c r="A5" s="11" t="str">
        <x:v>Scope</x:v>
      </x:c>
      <x:c r="B5" s="12" t="str">
        <x:v>126 common engineering materials; 18 physical, mechanical, thermal and electrical properties</x:v>
      </x:c>
    </x:row>
    <x:row r="6">
      <x:c r="A6" s="11" t="str">
        <x:v>Reference condition</x:v>
      </x:c>
      <x:c r="B6" s="12" t="str">
        <x:v>Nominal/typical values near 20-25 C unless the material note says otherwise</x:v>
      </x:c>
    </x:row>
    <x:row r="7">
      <x:c r="A7" s="11" t="str">
        <x:v>Units</x:v>
      </x:c>
      <x:c r="B7" s="12" t="str">
        <x:v>SI-oriented; elongation is a fraction and CTE is um/(m*K)</x:v>
      </x:c>
    </x:row>
    <x:row r="8">
      <x:c r="A8" s="11" t="str">
        <x:v>Missing data</x:v>
      </x:c>
      <x:c r="B8" s="12" t="str">
        <x:v>Blank in Excel; DB_MISSING in CalcPad</x:v>
      </x:c>
    </x:row>
    <x:row r="9">
      <x:c r="A9" s="11" t="str">
        <x:v>Derived properties</x:v>
      </x:c>
      <x:c r="B9" s="12" t="str">
        <x:v>Shear and bulk modulus are formula-derived from E and Poisson ratio for isotropic rows unless an override is present</x:v>
      </x:c>
    </x:row>
    <x:row r="10">
      <x:c r="A10" s="11" t="str">
        <x:v>Workbook relationship</x:v>
      </x:c>
      <x:c r="B10" s="12" t="str">
        <x:v>Materials is the maintainable source table; CPD Numeric Export shows the exact property-column order used by the .cpd library</x:v>
      </x:c>
    </x:row>
    <x:row r="11">
      <x:c r="A11" s="11" t="str">
        <x:v>Critical limitation</x:v>
      </x:c>
      <x:c r="B11" s="12" t="str">
        <x:v>Screening/reference library only. Values are not design allowables, code strengths, certified supplier data, or substitutes for project testing.</x:v>
      </x:c>
    </x:row>
    <x:row r="12">
      <x:c r="A12" s="11" t="str">
        <x:v>Variability</x:v>
      </x:c>
      <x:c r="B12" s="12" t="str">
        <x:v>Heat treatment, product form, processing, temperature, moisture, time, direction and test method can change properties materially.</x:v>
      </x:c>
    </x:row>
    <x:row r="13">
      <x:c r="A13" s="13" t="str">
        <x:v>Recommended use</x:v>
      </x:c>
      <x:c r="B13" s="14" t="str">
        <x:v>Preliminary calculations, comparisons, unit-consistent prototypes and CalcPad worksheet development.</x:v>
      </x:c>
    </x:row>
    <x:row r="15">
      <x:c r="A15" s="16" t="str">
        <x:v>Data governance</x:v>
      </x:c>
      <x:c r="B15" s="16"/>
      <x:c r="C15" s="16"/>
      <x:c r="D15" s="16"/>
      <x:c r="E15" s="16"/>
      <x:c r="F15" s="16"/>
    </x:row>
    <x:row r="16" ht="24" customHeight="1">
      <x:c r="A16" s="20" t="str">
        <x:v>1. Filter Materials by family/category or use Selector by numeric ID.</x:v>
      </x:c>
      <x:c r="B16" s="21"/>
      <x:c r="C16" s="21"/>
      <x:c r="D16" s="21"/>
      <x:c r="E16" s="21"/>
      <x:c r="F16" s="22"/>
    </x:row>
    <x:row r="17" ht="24" customHeight="1">
      <x:c r="A17" s="23" t="str">
        <x:v>2. Review the row condition, quality flag, note and source URL before use.</x:v>
      </x:c>
      <x:c r="B17" s="24"/>
      <x:c r="C17" s="24"/>
      <x:c r="D17" s="24"/>
      <x:c r="E17" s="24"/>
      <x:c r="F17" s="25"/>
    </x:row>
    <x:row r="18" ht="24" customHeight="1">
      <x:c r="A18" s="23" t="str">
        <x:v>3. Replace screening values with project-specific certified data when calculations become design deliverables.</x:v>
      </x:c>
      <x:c r="B18" s="24"/>
      <x:c r="C18" s="24"/>
      <x:c r="D18" s="24"/>
      <x:c r="E18" s="24"/>
      <x:c r="F18" s="25"/>
    </x:row>
    <x:row r="19" ht="24" customHeight="1">
      <x:c r="A19" s="23" t="str">
        <x:v>4. Keep material IDs and property IDs stable when regenerating CalcPad tables.</x:v>
      </x:c>
      <x:c r="B19" s="24"/>
      <x:c r="C19" s="24"/>
      <x:c r="D19" s="24"/>
      <x:c r="E19" s="24"/>
      <x:c r="F19" s="25"/>
    </x:row>
    <x:row r="20" ht="24" customHeight="1">
      <x:c r="A20" s="26" t="str">
        <x:v>5. Treat anisotropic composite and wood entries as principal/longitudinal screening values only.</x:v>
      </x:c>
      <x:c r="B20" s="27"/>
      <x:c r="C20" s="27"/>
      <x:c r="D20" s="27"/>
      <x:c r="E20" s="27"/>
      <x:c r="F20" s="28"/>
    </x:row>
  </x:sheetData>
  <x:mergeCells>
    <x:mergeCell ref="A1:F1"/>
    <x:mergeCell ref="A15:F15"/>
    <x:mergeCell ref="A16:F16"/>
    <x:mergeCell ref="A17:F17"/>
    <x:mergeCell ref="A18:F18"/>
    <x:mergeCell ref="A19:F19"/>
    <x:mergeCell ref="A20:F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34" hidden="0" customWidth="1"/>
    <x:col min="4" max="4" width="20" hidden="0" customWidth="1"/>
    <x:col min="5" max="5" width="25" hidden="0" customWidth="1"/>
    <x:col min="6" max="6" width="25" hidden="0" customWidth="1"/>
    <x:col min="7" max="7" width="34" hidden="0" customWidth="1"/>
    <x:col min="8" max="8" width="20" hidden="0" customWidth="1"/>
    <x:col min="9" max="9" width="14" hidden="0" customWidth="1"/>
    <x:col min="10" max="10" width="16" hidden="0" customWidth="1"/>
    <x:col min="11" max="11" width="13" hidden="0" customWidth="1"/>
    <x:col min="12" max="12" width="16" hidden="0" customWidth="1"/>
    <x:col min="13" max="13" width="16" hidden="0" customWidth="1"/>
    <x:col min="14" max="14" width="18" hidden="0" customWidth="1"/>
    <x:col min="15" max="15" width="18" hidden="0" customWidth="1"/>
    <x:col min="16" max="16" width="16" hidden="0" customWidth="1"/>
    <x:col min="17" max="17" width="18" hidden="0" customWidth="1"/>
    <x:col min="18" max="18" width="20" hidden="0" customWidth="1"/>
    <x:col min="19" max="19" width="17" hidden="0" customWidth="1"/>
    <x:col min="20" max="20" width="16" hidden="0" customWidth="1"/>
    <x:col min="21" max="21" width="20" hidden="0" customWidth="1"/>
    <x:col min="22" max="22" width="20" hidden="0" customWidth="1"/>
    <x:col min="23" max="23" width="18" hidden="0" customWidth="1"/>
    <x:col min="24" max="24" width="14" hidden="0" customWidth="1"/>
    <x:col min="25" max="25" width="20" hidden="0" customWidth="1"/>
    <x:col min="26" max="26" width="18" hidden="0" customWidth="1"/>
    <x:col min="27" max="27" width="18" hidden="0" customWidth="1"/>
    <x:col min="28" max="28" width="13" hidden="0" customWidth="1"/>
    <x:col min="29" max="29" width="10" hidden="0" customWidth="1"/>
    <x:col min="30" max="30" width="14" hidden="0" customWidth="1"/>
    <x:col min="31" max="31" width="62" hidden="0" customWidth="1"/>
    <x:col min="32" max="32" width="44" hidden="0" customWidth="1"/>
    <x:col min="33" max="33" width="14" hidden="0" customWidth="1"/>
  </x:cols>
  <x:sheetData>
    <x:row r="1" ht="42" customHeight="1">
      <x:c r="A1" s="31" t="str">
        <x:v>Material_ID</x:v>
      </x:c>
      <x:c r="B1" s="31" t="str">
        <x:v>CPD_Constant</x:v>
      </x:c>
      <x:c r="C1" s="31" t="str">
        <x:v>Material_Name</x:v>
      </x:c>
      <x:c r="D1" s="31" t="str">
        <x:v>Family</x:v>
      </x:c>
      <x:c r="E1" s="31" t="str">
        <x:v>Category</x:v>
      </x:c>
      <x:c r="F1" s="31" t="str">
        <x:v>Standard_or_Grade</x:v>
      </x:c>
      <x:c r="G1" s="31" t="str">
        <x:v>Condition</x:v>
      </x:c>
      <x:c r="H1" s="31" t="str">
        <x:v>Elastic_Model</x:v>
      </x:c>
      <x:c r="I1" s="31" t="str">
        <x:v>Density_kg_m3</x:v>
      </x:c>
      <x:c r="J1" s="31" t="str">
        <x:v>Youngs_Modulus_GPa</x:v>
      </x:c>
      <x:c r="K1" s="31" t="str">
        <x:v>Poisson_Ratio</x:v>
      </x:c>
      <x:c r="L1" s="31" t="str">
        <x:v>Shear_Override_GPa</x:v>
      </x:c>
      <x:c r="M1" s="31" t="str">
        <x:v>Bulk_Override_GPa</x:v>
      </x:c>
      <x:c r="N1" s="31" t="str">
        <x:v>Shear_Modulus_GPa_Derived</x:v>
      </x:c>
      <x:c r="O1" s="31" t="str">
        <x:v>Bulk_Modulus_GPa_Derived</x:v>
      </x:c>
      <x:c r="P1" s="31" t="str">
        <x:v>Yield_Strength_MPa</x:v>
      </x:c>
      <x:c r="Q1" s="31" t="str">
        <x:v>Tensile_Strength_MPa</x:v>
      </x:c>
      <x:c r="R1" s="31" t="str">
        <x:v>Compressive_Strength_MPa</x:v>
      </x:c>
      <x:c r="S1" s="31" t="str">
        <x:v>Flexural_Strength_MPa</x:v>
      </x:c>
      <x:c r="T1" s="31" t="str">
        <x:v>Elongation_Fraction</x:v>
      </x:c>
      <x:c r="U1" s="31" t="str">
        <x:v>Fracture_Toughness_MPa_sqrt_m</x:v>
      </x:c>
      <x:c r="V1" s="31" t="str">
        <x:v>Thermal_Conductivity_W_mK</x:v>
      </x:c>
      <x:c r="W1" s="31" t="str">
        <x:v>Specific_Heat_J_kgK</x:v>
      </x:c>
      <x:c r="X1" s="31" t="str">
        <x:v>CTE_um_mK</x:v>
      </x:c>
      <x:c r="Y1" s="31" t="str">
        <x:v>Electrical_Resistivity_ohm_m</x:v>
      </x:c>
      <x:c r="Z1" s="31" t="str">
        <x:v>Transition_Temperature_C</x:v>
      </x:c>
      <x:c r="AA1" s="31" t="str">
        <x:v>Max_Service_Temperature_C</x:v>
      </x:c>
      <x:c r="AB1" s="31" t="str">
        <x:v>Hardness_HV</x:v>
      </x:c>
      <x:c r="AC1" s="31" t="str">
        <x:v>Source_ID</x:v>
      </x:c>
      <x:c r="AD1" s="31" t="str">
        <x:v>Data_Quality</x:v>
      </x:c>
      <x:c r="AE1" s="31" t="str">
        <x:v>Notes</x:v>
      </x:c>
      <x:c r="AF1" s="31" t="str">
        <x:v>Source_URL</x:v>
      </x:c>
      <x:c r="AG1" s="31" t="str">
        <x:v>Duplicate_ID_Flag</x:v>
      </x:c>
    </x:row>
    <x:row r="2">
      <x:c r="A2" s="33" t="n">
        <x:v>1001</x:v>
      </x:c>
      <x:c r="B2" s="32" t="str">
        <x:v>STEEL_ASTM_A36</x:v>
      </x:c>
      <x:c r="C2" s="32" t="str">
        <x:v>ASTM A36 structural steel</x:v>
      </x:c>
      <x:c r="D2" s="32" t="str">
        <x:v>Ferrous metal</x:v>
      </x:c>
      <x:c r="E2" s="32" t="str">
        <x:v>Carbon steel</x:v>
      </x:c>
      <x:c r="F2" s="32" t="str">
        <x:v>ASTM A36</x:v>
      </x:c>
      <x:c r="G2" s="32" t="str">
        <x:v>Hot rolled, typical</x:v>
      </x:c>
      <x:c r="H2" s="32" t="str">
        <x:v>Isotropic</x:v>
      </x:c>
      <x:c r="I2" s="34" t="n">
        <x:v>7850</x:v>
      </x:c>
      <x:c r="J2" s="35" t="n">
        <x:v>200</x:v>
      </x:c>
      <x:c r="K2" s="35" t="n">
        <x:v>0.29</x:v>
      </x:c>
      <x:c r="L2" s="40"/>
      <x:c r="M2" s="40"/>
      <x:c r="N2" s="39" t="n">
        <x:f>IF(L2&lt;&gt;"",L2,IF(H2&lt;&gt;"Isotropic","",IF(OR(J2="",K2=""),"",J2/(2*(1+K2)))))</x:f>
        <x:v>77.51937984496124</x:v>
      </x:c>
      <x:c r="O2" s="39" t="n">
        <x:f>IF(M2&lt;&gt;"",M2,IF(H2&lt;&gt;"Isotropic","",IF(OR(J2="",K2="",K2&gt;=0.5),"",J2/(3*(1-2*K2)))))</x:f>
        <x:v>158.7301587301587</x:v>
      </x:c>
      <x:c r="P2" s="35" t="n">
        <x:v>250</x:v>
      </x:c>
      <x:c r="Q2" s="35" t="n">
        <x:v>400</x:v>
      </x:c>
      <x:c r="R2" s="35"/>
      <x:c r="S2" s="35"/>
      <x:c r="T2" s="36" t="n">
        <x:v>0.2</x:v>
      </x:c>
      <x:c r="U2" s="35" t="n">
        <x:v>50</x:v>
      </x:c>
      <x:c r="V2" s="35" t="n">
        <x:v>50</x:v>
      </x:c>
      <x:c r="W2" s="35" t="n">
        <x:v>486</x:v>
      </x:c>
      <x:c r="X2" s="35" t="n">
        <x:v>11.7</x:v>
      </x:c>
      <x:c r="Y2" s="37" t="n">
        <x:v>1.43e-7</x:v>
      </x:c>
      <x:c r="Z2" s="38" t="n">
        <x:v>1450</x:v>
      </x:c>
      <x:c r="AA2" s="38" t="n">
        <x:v>425</x:v>
      </x:c>
      <x:c r="AB2" s="38" t="n">
        <x:v>120</x:v>
      </x:c>
      <x:c r="AC2" s="32" t="n">
        <x:v>1</x:v>
      </x:c>
      <x:c r="AD2" s="32" t="str">
        <x:v>Representative</x:v>
      </x:c>
      <x:c r="AE2" s="8" t="str">
        <x:v>Room-temperature nominal values; verify thickness-dependent specification minima.</x:v>
      </x:c>
      <x:c r="AF2" s="8" t="str">
        <x:f>IFERROR(VLOOKUP(AC2,'Sources'!$A$2:$E$12,5,FALSE),"")</x:f>
        <x:v>https://www.matweb.com/search/MaterialGroupSearch.aspx</x:v>
      </x:c>
      <x:c r="AG2" s="32" t="b">
        <x:f>COUNTIF($A$2:$A$127,A2)&gt;1</x:f>
        <x:v>0</x:v>
      </x:c>
    </x:row>
    <x:row r="3">
      <x:c r="A3" s="33" t="n">
        <x:v>1002</x:v>
      </x:c>
      <x:c r="B3" s="32" t="str">
        <x:v>STEEL_AISI_1018_CD</x:v>
      </x:c>
      <x:c r="C3" s="32" t="str">
        <x:v>AISI 1018 carbon steel</x:v>
      </x:c>
      <x:c r="D3" s="32" t="str">
        <x:v>Ferrous metal</x:v>
      </x:c>
      <x:c r="E3" s="32" t="str">
        <x:v>Carbon steel</x:v>
      </x:c>
      <x:c r="F3" s="32" t="str">
        <x:v>AISI 1018</x:v>
      </x:c>
      <x:c r="G3" s="32" t="str">
        <x:v>Cold drawn</x:v>
      </x:c>
      <x:c r="H3" s="32" t="str">
        <x:v>Isotropic</x:v>
      </x:c>
      <x:c r="I3" s="34" t="n">
        <x:v>7870</x:v>
      </x:c>
      <x:c r="J3" s="35" t="n">
        <x:v>205</x:v>
      </x:c>
      <x:c r="K3" s="35" t="n">
        <x:v>0.29</x:v>
      </x:c>
      <x:c r="L3" s="40"/>
      <x:c r="M3" s="40"/>
      <x:c r="N3" s="39" t="n">
        <x:f>IF(L3&lt;&gt;"",L3,IF(H3&lt;&gt;"Isotropic","",IF(OR(J3="",K3=""),"",J3/(2*(1+K3)))))</x:f>
        <x:v>79.45736434108527</x:v>
      </x:c>
      <x:c r="O3" s="39" t="n">
        <x:f>IF(M3&lt;&gt;"",M3,IF(H3&lt;&gt;"Isotropic","",IF(OR(J3="",K3="",K3&gt;=0.5),"",J3/(3*(1-2*K3)))))</x:f>
        <x:v>162.69841269841268</x:v>
      </x:c>
      <x:c r="P3" s="35" t="n">
        <x:v>370</x:v>
      </x:c>
      <x:c r="Q3" s="35" t="n">
        <x:v>440</x:v>
      </x:c>
      <x:c r="R3" s="35"/>
      <x:c r="S3" s="35"/>
      <x:c r="T3" s="36" t="n">
        <x:v>0.15</x:v>
      </x:c>
      <x:c r="U3" s="35" t="n">
        <x:v>55</x:v>
      </x:c>
      <x:c r="V3" s="35" t="n">
        <x:v>51.9</x:v>
      </x:c>
      <x:c r="W3" s="35" t="n">
        <x:v>486</x:v>
      </x:c>
      <x:c r="X3" s="35" t="n">
        <x:v>11.7</x:v>
      </x:c>
      <x:c r="Y3" s="37" t="n">
        <x:v>1.59e-7</x:v>
      </x:c>
      <x:c r="Z3" s="38" t="n">
        <x:v>1450</x:v>
      </x:c>
      <x:c r="AA3" s="38" t="n">
        <x:v>425</x:v>
      </x:c>
      <x:c r="AB3" s="38" t="n">
        <x:v>126</x:v>
      </x:c>
      <x:c r="AC3" s="32" t="n">
        <x:v>1</x:v>
      </x:c>
      <x:c r="AD3" s="32" t="str">
        <x:v>Representative</x:v>
      </x:c>
      <x:c r="AE3" s="8" t="str">
        <x:v>Cold work and section size materially affect strength.</x:v>
      </x:c>
      <x:c r="AF3" s="8" t="str">
        <x:f>IFERROR(VLOOKUP(AC3,'Sources'!$A$2:$E$12,5,FALSE),"")</x:f>
        <x:v>https://www.matweb.com/search/MaterialGroupSearch.aspx</x:v>
      </x:c>
      <x:c r="AG3" s="32" t="b">
        <x:f>COUNTIF($A$2:$A$127,A3)&gt;1</x:f>
        <x:v>0</x:v>
      </x:c>
    </x:row>
    <x:row r="4">
      <x:c r="A4" s="33" t="n">
        <x:v>1003</x:v>
      </x:c>
      <x:c r="B4" s="32" t="str">
        <x:v>STEEL_AISI_1020_HR</x:v>
      </x:c>
      <x:c r="C4" s="32" t="str">
        <x:v>AISI 1020 carbon steel</x:v>
      </x:c>
      <x:c r="D4" s="32" t="str">
        <x:v>Ferrous metal</x:v>
      </x:c>
      <x:c r="E4" s="32" t="str">
        <x:v>Carbon steel</x:v>
      </x:c>
      <x:c r="F4" s="32" t="str">
        <x:v>AISI 1020</x:v>
      </x:c>
      <x:c r="G4" s="32" t="str">
        <x:v>Hot rolled</x:v>
      </x:c>
      <x:c r="H4" s="32" t="str">
        <x:v>Isotropic</x:v>
      </x:c>
      <x:c r="I4" s="34" t="n">
        <x:v>7870</x:v>
      </x:c>
      <x:c r="J4" s="35" t="n">
        <x:v>205</x:v>
      </x:c>
      <x:c r="K4" s="35" t="n">
        <x:v>0.29</x:v>
      </x:c>
      <x:c r="L4" s="40"/>
      <x:c r="M4" s="40"/>
      <x:c r="N4" s="39" t="n">
        <x:f>IF(L4&lt;&gt;"",L4,IF(H4&lt;&gt;"Isotropic","",IF(OR(J4="",K4=""),"",J4/(2*(1+K4)))))</x:f>
        <x:v>79.45736434108527</x:v>
      </x:c>
      <x:c r="O4" s="39" t="n">
        <x:f>IF(M4&lt;&gt;"",M4,IF(H4&lt;&gt;"Isotropic","",IF(OR(J4="",K4="",K4&gt;=0.5),"",J4/(3*(1-2*K4)))))</x:f>
        <x:v>162.69841269841268</x:v>
      </x:c>
      <x:c r="P4" s="35" t="n">
        <x:v>295</x:v>
      </x:c>
      <x:c r="Q4" s="35" t="n">
        <x:v>395</x:v>
      </x:c>
      <x:c r="R4" s="35"/>
      <x:c r="S4" s="35"/>
      <x:c r="T4" s="36" t="n">
        <x:v>0.36</x:v>
      </x:c>
      <x:c r="U4" s="35" t="n">
        <x:v>60</x:v>
      </x:c>
      <x:c r="V4" s="35" t="n">
        <x:v>51.9</x:v>
      </x:c>
      <x:c r="W4" s="35" t="n">
        <x:v>486</x:v>
      </x:c>
      <x:c r="X4" s="35" t="n">
        <x:v>11.7</x:v>
      </x:c>
      <x:c r="Y4" s="37" t="n">
        <x:v>1.59e-7</x:v>
      </x:c>
      <x:c r="Z4" s="38" t="n">
        <x:v>1450</x:v>
      </x:c>
      <x:c r="AA4" s="38" t="n">
        <x:v>425</x:v>
      </x:c>
      <x:c r="AB4" s="38" t="n">
        <x:v>111</x:v>
      </x:c>
      <x:c r="AC4" s="32" t="n">
        <x:v>1</x:v>
      </x:c>
      <x:c r="AD4" s="32" t="str">
        <x:v>Representative</x:v>
      </x:c>
      <x:c r="AE4" s="8" t="str">
        <x:v>Typical hot-rolled condition.</x:v>
      </x:c>
      <x:c r="AF4" s="8" t="str">
        <x:f>IFERROR(VLOOKUP(AC4,'Sources'!$A$2:$E$12,5,FALSE),"")</x:f>
        <x:v>https://www.matweb.com/search/MaterialGroupSearch.aspx</x:v>
      </x:c>
      <x:c r="AG4" s="32" t="b">
        <x:f>COUNTIF($A$2:$A$127,A4)&gt;1</x:f>
        <x:v>0</x:v>
      </x:c>
    </x:row>
    <x:row r="5">
      <x:c r="A5" s="33" t="n">
        <x:v>1004</x:v>
      </x:c>
      <x:c r="B5" s="32" t="str">
        <x:v>STEEL_AISI_1045_N</x:v>
      </x:c>
      <x:c r="C5" s="32" t="str">
        <x:v>AISI 1045 carbon steel</x:v>
      </x:c>
      <x:c r="D5" s="32" t="str">
        <x:v>Ferrous metal</x:v>
      </x:c>
      <x:c r="E5" s="32" t="str">
        <x:v>Carbon steel</x:v>
      </x:c>
      <x:c r="F5" s="32" t="str">
        <x:v>AISI 1045</x:v>
      </x:c>
      <x:c r="G5" s="32" t="str">
        <x:v>Normalized</x:v>
      </x:c>
      <x:c r="H5" s="32" t="str">
        <x:v>Isotropic</x:v>
      </x:c>
      <x:c r="I5" s="34" t="n">
        <x:v>7850</x:v>
      </x:c>
      <x:c r="J5" s="35" t="n">
        <x:v>205</x:v>
      </x:c>
      <x:c r="K5" s="35" t="n">
        <x:v>0.29</x:v>
      </x:c>
      <x:c r="L5" s="40"/>
      <x:c r="M5" s="40"/>
      <x:c r="N5" s="39" t="n">
        <x:f>IF(L5&lt;&gt;"",L5,IF(H5&lt;&gt;"Isotropic","",IF(OR(J5="",K5=""),"",J5/(2*(1+K5)))))</x:f>
        <x:v>79.45736434108527</x:v>
      </x:c>
      <x:c r="O5" s="39" t="n">
        <x:f>IF(M5&lt;&gt;"",M5,IF(H5&lt;&gt;"Isotropic","",IF(OR(J5="",K5="",K5&gt;=0.5),"",J5/(3*(1-2*K5)))))</x:f>
        <x:v>162.69841269841268</x:v>
      </x:c>
      <x:c r="P5" s="35" t="n">
        <x:v>450</x:v>
      </x:c>
      <x:c r="Q5" s="35" t="n">
        <x:v>625</x:v>
      </x:c>
      <x:c r="R5" s="35"/>
      <x:c r="S5" s="35"/>
      <x:c r="T5" s="36" t="n">
        <x:v>0.16</x:v>
      </x:c>
      <x:c r="U5" s="35" t="n">
        <x:v>45</x:v>
      </x:c>
      <x:c r="V5" s="35" t="n">
        <x:v>49.8</x:v>
      </x:c>
      <x:c r="W5" s="35" t="n">
        <x:v>486</x:v>
      </x:c>
      <x:c r="X5" s="35" t="n">
        <x:v>11.7</x:v>
      </x:c>
      <x:c r="Y5" s="37" t="n">
        <x:v>1.62e-7</x:v>
      </x:c>
      <x:c r="Z5" s="38" t="n">
        <x:v>1450</x:v>
      </x:c>
      <x:c r="AA5" s="38" t="n">
        <x:v>425</x:v>
      </x:c>
      <x:c r="AB5" s="38" t="n">
        <x:v>180</x:v>
      </x:c>
      <x:c r="AC5" s="32" t="n">
        <x:v>1</x:v>
      </x:c>
      <x:c r="AD5" s="32" t="str">
        <x:v>Representative</x:v>
      </x:c>
      <x:c r="AE5" s="8" t="str">
        <x:v>Heat treatment and bar diameter affect strength.</x:v>
      </x:c>
      <x:c r="AF5" s="8" t="str">
        <x:f>IFERROR(VLOOKUP(AC5,'Sources'!$A$2:$E$12,5,FALSE),"")</x:f>
        <x:v>https://www.matweb.com/search/MaterialGroupSearch.aspx</x:v>
      </x:c>
      <x:c r="AG5" s="32" t="b">
        <x:f>COUNTIF($A$2:$A$127,A5)&gt;1</x:f>
        <x:v>0</x:v>
      </x:c>
    </x:row>
    <x:row r="6">
      <x:c r="A6" s="33" t="n">
        <x:v>1005</x:v>
      </x:c>
      <x:c r="B6" s="32" t="str">
        <x:v>STEEL_AISI_1095_A</x:v>
      </x:c>
      <x:c r="C6" s="32" t="str">
        <x:v>AISI 1095 high-carbon steel</x:v>
      </x:c>
      <x:c r="D6" s="32" t="str">
        <x:v>Ferrous metal</x:v>
      </x:c>
      <x:c r="E6" s="32" t="str">
        <x:v>Carbon steel</x:v>
      </x:c>
      <x:c r="F6" s="32" t="str">
        <x:v>AISI 1095</x:v>
      </x:c>
      <x:c r="G6" s="32" t="str">
        <x:v>Annealed</x:v>
      </x:c>
      <x:c r="H6" s="32" t="str">
        <x:v>Isotropic</x:v>
      </x:c>
      <x:c r="I6" s="34" t="n">
        <x:v>7850</x:v>
      </x:c>
      <x:c r="J6" s="35" t="n">
        <x:v>205</x:v>
      </x:c>
      <x:c r="K6" s="35" t="n">
        <x:v>0.29</x:v>
      </x:c>
      <x:c r="L6" s="40"/>
      <x:c r="M6" s="40"/>
      <x:c r="N6" s="39" t="n">
        <x:f>IF(L6&lt;&gt;"",L6,IF(H6&lt;&gt;"Isotropic","",IF(OR(J6="",K6=""),"",J6/(2*(1+K6)))))</x:f>
        <x:v>79.45736434108527</x:v>
      </x:c>
      <x:c r="O6" s="39" t="n">
        <x:f>IF(M6&lt;&gt;"",M6,IF(H6&lt;&gt;"Isotropic","",IF(OR(J6="",K6="",K6&gt;=0.5),"",J6/(3*(1-2*K6)))))</x:f>
        <x:v>162.69841269841268</x:v>
      </x:c>
      <x:c r="P6" s="35" t="n">
        <x:v>380</x:v>
      </x:c>
      <x:c r="Q6" s="35" t="n">
        <x:v>650</x:v>
      </x:c>
      <x:c r="R6" s="35"/>
      <x:c r="S6" s="35"/>
      <x:c r="T6" s="36" t="n">
        <x:v>0.1</x:v>
      </x:c>
      <x:c r="U6" s="35" t="n">
        <x:v>35</x:v>
      </x:c>
      <x:c r="V6" s="35" t="n">
        <x:v>49.8</x:v>
      </x:c>
      <x:c r="W6" s="35" t="n">
        <x:v>486</x:v>
      </x:c>
      <x:c r="X6" s="35" t="n">
        <x:v>11.7</x:v>
      </x:c>
      <x:c r="Y6" s="37" t="n">
        <x:v>1.65e-7</x:v>
      </x:c>
      <x:c r="Z6" s="38" t="n">
        <x:v>1450</x:v>
      </x:c>
      <x:c r="AA6" s="38" t="n">
        <x:v>425</x:v>
      </x:c>
      <x:c r="AB6" s="38" t="n">
        <x:v>190</x:v>
      </x:c>
      <x:c r="AC6" s="32" t="n">
        <x:v>1</x:v>
      </x:c>
      <x:c r="AD6" s="32" t="str">
        <x:v>Representative</x:v>
      </x:c>
      <x:c r="AE6" s="8" t="str">
        <x:v>Annealed screening values; hardened conditions differ greatly.</x:v>
      </x:c>
      <x:c r="AF6" s="8" t="str">
        <x:f>IFERROR(VLOOKUP(AC6,'Sources'!$A$2:$E$12,5,FALSE),"")</x:f>
        <x:v>https://www.matweb.com/search/MaterialGroupSearch.aspx</x:v>
      </x:c>
      <x:c r="AG6" s="32" t="b">
        <x:f>COUNTIF($A$2:$A$127,A6)&gt;1</x:f>
        <x:v>0</x:v>
      </x:c>
    </x:row>
    <x:row r="7">
      <x:c r="A7" s="33" t="n">
        <x:v>1006</x:v>
      </x:c>
      <x:c r="B7" s="32" t="str">
        <x:v>STEEL_AISI_4130_N</x:v>
      </x:c>
      <x:c r="C7" s="32" t="str">
        <x:v>AISI 4130 alloy steel</x:v>
      </x:c>
      <x:c r="D7" s="32" t="str">
        <x:v>Ferrous metal</x:v>
      </x:c>
      <x:c r="E7" s="32" t="str">
        <x:v>Alloy steel</x:v>
      </x:c>
      <x:c r="F7" s="32" t="str">
        <x:v>AISI 4130</x:v>
      </x:c>
      <x:c r="G7" s="32" t="str">
        <x:v>Normalized</x:v>
      </x:c>
      <x:c r="H7" s="32" t="str">
        <x:v>Isotropic</x:v>
      </x:c>
      <x:c r="I7" s="34" t="n">
        <x:v>7850</x:v>
      </x:c>
      <x:c r="J7" s="35" t="n">
        <x:v>205</x:v>
      </x:c>
      <x:c r="K7" s="35" t="n">
        <x:v>0.29</x:v>
      </x:c>
      <x:c r="L7" s="40"/>
      <x:c r="M7" s="40"/>
      <x:c r="N7" s="39" t="n">
        <x:f>IF(L7&lt;&gt;"",L7,IF(H7&lt;&gt;"Isotropic","",IF(OR(J7="",K7=""),"",J7/(2*(1+K7)))))</x:f>
        <x:v>79.45736434108527</x:v>
      </x:c>
      <x:c r="O7" s="39" t="n">
        <x:f>IF(M7&lt;&gt;"",M7,IF(H7&lt;&gt;"Isotropic","",IF(OR(J7="",K7="",K7&gt;=0.5),"",J7/(3*(1-2*K7)))))</x:f>
        <x:v>162.69841269841268</x:v>
      </x:c>
      <x:c r="P7" s="35" t="n">
        <x:v>435</x:v>
      </x:c>
      <x:c r="Q7" s="35" t="n">
        <x:v>670</x:v>
      </x:c>
      <x:c r="R7" s="35"/>
      <x:c r="S7" s="35"/>
      <x:c r="T7" s="36" t="n">
        <x:v>0.21</x:v>
      </x:c>
      <x:c r="U7" s="35" t="n">
        <x:v>75</x:v>
      </x:c>
      <x:c r="V7" s="35" t="n">
        <x:v>42.7</x:v>
      </x:c>
      <x:c r="W7" s="35" t="n">
        <x:v>477</x:v>
      </x:c>
      <x:c r="X7" s="35" t="n">
        <x:v>12.2</x:v>
      </x:c>
      <x:c r="Y7" s="37" t="n">
        <x:v>2.23e-7</x:v>
      </x:c>
      <x:c r="Z7" s="38" t="n">
        <x:v>1430</x:v>
      </x:c>
      <x:c r="AA7" s="38" t="n">
        <x:v>480</x:v>
      </x:c>
      <x:c r="AB7" s="38" t="n">
        <x:v>197</x:v>
      </x:c>
      <x:c r="AC7" s="32" t="n">
        <x:v>1</x:v>
      </x:c>
      <x:c r="AD7" s="32" t="str">
        <x:v>Representative</x:v>
      </x:c>
      <x:c r="AE7" s="8" t="str">
        <x:v>Normalized bar values.</x:v>
      </x:c>
      <x:c r="AF7" s="8" t="str">
        <x:f>IFERROR(VLOOKUP(AC7,'Sources'!$A$2:$E$12,5,FALSE),"")</x:f>
        <x:v>https://www.matweb.com/search/MaterialGroupSearch.aspx</x:v>
      </x:c>
      <x:c r="AG7" s="32" t="b">
        <x:f>COUNTIF($A$2:$A$127,A7)&gt;1</x:f>
        <x:v>0</x:v>
      </x:c>
    </x:row>
    <x:row r="8">
      <x:c r="A8" s="33" t="n">
        <x:v>1007</x:v>
      </x:c>
      <x:c r="B8" s="32" t="str">
        <x:v>STEEL_AISI_4140_QT</x:v>
      </x:c>
      <x:c r="C8" s="32" t="str">
        <x:v>AISI 4140 alloy steel</x:v>
      </x:c>
      <x:c r="D8" s="32" t="str">
        <x:v>Ferrous metal</x:v>
      </x:c>
      <x:c r="E8" s="32" t="str">
        <x:v>Alloy steel</x:v>
      </x:c>
      <x:c r="F8" s="32" t="str">
        <x:v>AISI 4140</x:v>
      </x:c>
      <x:c r="G8" s="32" t="str">
        <x:v>Quenched and tempered</x:v>
      </x:c>
      <x:c r="H8" s="32" t="str">
        <x:v>Isotropic</x:v>
      </x:c>
      <x:c r="I8" s="34" t="n">
        <x:v>7850</x:v>
      </x:c>
      <x:c r="J8" s="35" t="n">
        <x:v>205</x:v>
      </x:c>
      <x:c r="K8" s="35" t="n">
        <x:v>0.29</x:v>
      </x:c>
      <x:c r="L8" s="40"/>
      <x:c r="M8" s="40"/>
      <x:c r="N8" s="39" t="n">
        <x:f>IF(L8&lt;&gt;"",L8,IF(H8&lt;&gt;"Isotropic","",IF(OR(J8="",K8=""),"",J8/(2*(1+K8)))))</x:f>
        <x:v>79.45736434108527</x:v>
      </x:c>
      <x:c r="O8" s="39" t="n">
        <x:f>IF(M8&lt;&gt;"",M8,IF(H8&lt;&gt;"Isotropic","",IF(OR(J8="",K8="",K8&gt;=0.5),"",J8/(3*(1-2*K8)))))</x:f>
        <x:v>162.69841269841268</x:v>
      </x:c>
      <x:c r="P8" s="35" t="n">
        <x:v>655</x:v>
      </x:c>
      <x:c r="Q8" s="35" t="n">
        <x:v>1020</x:v>
      </x:c>
      <x:c r="R8" s="35"/>
      <x:c r="S8" s="35"/>
      <x:c r="T8" s="36" t="n">
        <x:v>0.15</x:v>
      </x:c>
      <x:c r="U8" s="35" t="n">
        <x:v>55</x:v>
      </x:c>
      <x:c r="V8" s="35" t="n">
        <x:v>42.6</x:v>
      </x:c>
      <x:c r="W8" s="35" t="n">
        <x:v>473</x:v>
      </x:c>
      <x:c r="X8" s="35" t="n">
        <x:v>12.3</x:v>
      </x:c>
      <x:c r="Y8" s="37" t="n">
        <x:v>2.2e-7</x:v>
      </x:c>
      <x:c r="Z8" s="38" t="n">
        <x:v>1415</x:v>
      </x:c>
      <x:c r="AA8" s="38" t="n">
        <x:v>480</x:v>
      </x:c>
      <x:c r="AB8" s="38" t="n">
        <x:v>320</x:v>
      </x:c>
      <x:c r="AC8" s="32" t="n">
        <x:v>1</x:v>
      </x:c>
      <x:c r="AD8" s="32" t="str">
        <x:v>Representative</x:v>
      </x:c>
      <x:c r="AE8" s="8" t="str">
        <x:v>Representative moderate-strength Q&amp;T condition.</x:v>
      </x:c>
      <x:c r="AF8" s="8" t="str">
        <x:f>IFERROR(VLOOKUP(AC8,'Sources'!$A$2:$E$12,5,FALSE),"")</x:f>
        <x:v>https://www.matweb.com/search/MaterialGroupSearch.aspx</x:v>
      </x:c>
      <x:c r="AG8" s="32" t="b">
        <x:f>COUNTIF($A$2:$A$127,A8)&gt;1</x:f>
        <x:v>0</x:v>
      </x:c>
    </x:row>
    <x:row r="9">
      <x:c r="A9" s="33" t="n">
        <x:v>1008</x:v>
      </x:c>
      <x:c r="B9" s="32" t="str">
        <x:v>STEEL_AISI_4340_QT</x:v>
      </x:c>
      <x:c r="C9" s="32" t="str">
        <x:v>AISI 4340 alloy steel</x:v>
      </x:c>
      <x:c r="D9" s="32" t="str">
        <x:v>Ferrous metal</x:v>
      </x:c>
      <x:c r="E9" s="32" t="str">
        <x:v>Alloy steel</x:v>
      </x:c>
      <x:c r="F9" s="32" t="str">
        <x:v>AISI 4340</x:v>
      </x:c>
      <x:c r="G9" s="32" t="str">
        <x:v>Quenched and tempered</x:v>
      </x:c>
      <x:c r="H9" s="32" t="str">
        <x:v>Isotropic</x:v>
      </x:c>
      <x:c r="I9" s="34" t="n">
        <x:v>7850</x:v>
      </x:c>
      <x:c r="J9" s="35" t="n">
        <x:v>205</x:v>
      </x:c>
      <x:c r="K9" s="35" t="n">
        <x:v>0.29</x:v>
      </x:c>
      <x:c r="L9" s="40"/>
      <x:c r="M9" s="40"/>
      <x:c r="N9" s="39" t="n">
        <x:f>IF(L9&lt;&gt;"",L9,IF(H9&lt;&gt;"Isotropic","",IF(OR(J9="",K9=""),"",J9/(2*(1+K9)))))</x:f>
        <x:v>79.45736434108527</x:v>
      </x:c>
      <x:c r="O9" s="39" t="n">
        <x:f>IF(M9&lt;&gt;"",M9,IF(H9&lt;&gt;"Isotropic","",IF(OR(J9="",K9="",K9&gt;=0.5),"",J9/(3*(1-2*K9)))))</x:f>
        <x:v>162.69841269841268</x:v>
      </x:c>
      <x:c r="P9" s="35" t="n">
        <x:v>855</x:v>
      </x:c>
      <x:c r="Q9" s="35" t="n">
        <x:v>1280</x:v>
      </x:c>
      <x:c r="R9" s="35"/>
      <x:c r="S9" s="35"/>
      <x:c r="T9" s="36" t="n">
        <x:v>0.12</x:v>
      </x:c>
      <x:c r="U9" s="35" t="n">
        <x:v>50</x:v>
      </x:c>
      <x:c r="V9" s="35" t="n">
        <x:v>44.5</x:v>
      </x:c>
      <x:c r="W9" s="35" t="n">
        <x:v>475</x:v>
      </x:c>
      <x:c r="X9" s="35" t="n">
        <x:v>12.3</x:v>
      </x:c>
      <x:c r="Y9" s="37" t="n">
        <x:v>2.48e-7</x:v>
      </x:c>
      <x:c r="Z9" s="38" t="n">
        <x:v>1425</x:v>
      </x:c>
      <x:c r="AA9" s="38" t="n">
        <x:v>480</x:v>
      </x:c>
      <x:c r="AB9" s="38" t="n">
        <x:v>390</x:v>
      </x:c>
      <x:c r="AC9" s="32" t="n">
        <x:v>1</x:v>
      </x:c>
      <x:c r="AD9" s="32" t="str">
        <x:v>Representative</x:v>
      </x:c>
      <x:c r="AE9" s="8" t="str">
        <x:v>Representative high-strength Q&amp;T condition.</x:v>
      </x:c>
      <x:c r="AF9" s="8" t="str">
        <x:f>IFERROR(VLOOKUP(AC9,'Sources'!$A$2:$E$12,5,FALSE),"")</x:f>
        <x:v>https://www.matweb.com/search/MaterialGroupSearch.aspx</x:v>
      </x:c>
      <x:c r="AG9" s="32" t="b">
        <x:f>COUNTIF($A$2:$A$127,A9)&gt;1</x:f>
        <x:v>0</x:v>
      </x:c>
    </x:row>
    <x:row r="10">
      <x:c r="A10" s="33" t="n">
        <x:v>1009</x:v>
      </x:c>
      <x:c r="B10" s="32" t="str">
        <x:v>STEEL_ASTM_A572_GR50</x:v>
      </x:c>
      <x:c r="C10" s="32" t="str">
        <x:v>ASTM A572 Grade 50 steel</x:v>
      </x:c>
      <x:c r="D10" s="32" t="str">
        <x:v>Ferrous metal</x:v>
      </x:c>
      <x:c r="E10" s="32" t="str">
        <x:v>Structural steel</x:v>
      </x:c>
      <x:c r="F10" s="32" t="str">
        <x:v>ASTM A572 Grade 50</x:v>
      </x:c>
      <x:c r="G10" s="32" t="str">
        <x:v>Hot rolled</x:v>
      </x:c>
      <x:c r="H10" s="32" t="str">
        <x:v>Isotropic</x:v>
      </x:c>
      <x:c r="I10" s="34" t="n">
        <x:v>7850</x:v>
      </x:c>
      <x:c r="J10" s="35" t="n">
        <x:v>200</x:v>
      </x:c>
      <x:c r="K10" s="35" t="n">
        <x:v>0.29</x:v>
      </x:c>
      <x:c r="L10" s="40"/>
      <x:c r="M10" s="40"/>
      <x:c r="N10" s="39" t="n">
        <x:f>IF(L10&lt;&gt;"",L10,IF(H10&lt;&gt;"Isotropic","",IF(OR(J10="",K10=""),"",J10/(2*(1+K10)))))</x:f>
        <x:v>77.51937984496124</x:v>
      </x:c>
      <x:c r="O10" s="39" t="n">
        <x:f>IF(M10&lt;&gt;"",M10,IF(H10&lt;&gt;"Isotropic","",IF(OR(J10="",K10="",K10&gt;=0.5),"",J10/(3*(1-2*K10)))))</x:f>
        <x:v>158.7301587301587</x:v>
      </x:c>
      <x:c r="P10" s="35" t="n">
        <x:v>345</x:v>
      </x:c>
      <x:c r="Q10" s="35" t="n">
        <x:v>450</x:v>
      </x:c>
      <x:c r="R10" s="35"/>
      <x:c r="S10" s="35"/>
      <x:c r="T10" s="36" t="n">
        <x:v>0.18</x:v>
      </x:c>
      <x:c r="U10" s="35" t="n">
        <x:v>50</x:v>
      </x:c>
      <x:c r="V10" s="35" t="n">
        <x:v>50</x:v>
      </x:c>
      <x:c r="W10" s="35" t="n">
        <x:v>486</x:v>
      </x:c>
      <x:c r="X10" s="35" t="n">
        <x:v>11.7</x:v>
      </x:c>
      <x:c r="Y10" s="37" t="n">
        <x:v>1.43e-7</x:v>
      </x:c>
      <x:c r="Z10" s="38" t="n">
        <x:v>1450</x:v>
      </x:c>
      <x:c r="AA10" s="38" t="n">
        <x:v>425</x:v>
      </x:c>
      <x:c r="AB10" s="38" t="n">
        <x:v>145</x:v>
      </x:c>
      <x:c r="AC10" s="32" t="n">
        <x:v>1</x:v>
      </x:c>
      <x:c r="AD10" s="32" t="str">
        <x:v>Representative</x:v>
      </x:c>
      <x:c r="AE10" s="8" t="str">
        <x:v>Verify product form and thickness-specific requirements.</x:v>
      </x:c>
      <x:c r="AF10" s="8" t="str">
        <x:f>IFERROR(VLOOKUP(AC10,'Sources'!$A$2:$E$12,5,FALSE),"")</x:f>
        <x:v>https://www.matweb.com/search/MaterialGroupSearch.aspx</x:v>
      </x:c>
      <x:c r="AG10" s="32" t="b">
        <x:f>COUNTIF($A$2:$A$127,A10)&gt;1</x:f>
        <x:v>0</x:v>
      </x:c>
    </x:row>
    <x:row r="11">
      <x:c r="A11" s="33" t="n">
        <x:v>1010</x:v>
      </x:c>
      <x:c r="B11" s="32" t="str">
        <x:v>STEEL_ASTM_A992</x:v>
      </x:c>
      <x:c r="C11" s="32" t="str">
        <x:v>ASTM A992 structural steel</x:v>
      </x:c>
      <x:c r="D11" s="32" t="str">
        <x:v>Ferrous metal</x:v>
      </x:c>
      <x:c r="E11" s="32" t="str">
        <x:v>Structural steel</x:v>
      </x:c>
      <x:c r="F11" s="32" t="str">
        <x:v>ASTM A992</x:v>
      </x:c>
      <x:c r="G11" s="32" t="str">
        <x:v>Rolled shape</x:v>
      </x:c>
      <x:c r="H11" s="32" t="str">
        <x:v>Isotropic</x:v>
      </x:c>
      <x:c r="I11" s="34" t="n">
        <x:v>7850</x:v>
      </x:c>
      <x:c r="J11" s="35" t="n">
        <x:v>200</x:v>
      </x:c>
      <x:c r="K11" s="35" t="n">
        <x:v>0.29</x:v>
      </x:c>
      <x:c r="L11" s="40"/>
      <x:c r="M11" s="40"/>
      <x:c r="N11" s="39" t="n">
        <x:f>IF(L11&lt;&gt;"",L11,IF(H11&lt;&gt;"Isotropic","",IF(OR(J11="",K11=""),"",J11/(2*(1+K11)))))</x:f>
        <x:v>77.51937984496124</x:v>
      </x:c>
      <x:c r="O11" s="39" t="n">
        <x:f>IF(M11&lt;&gt;"",M11,IF(H11&lt;&gt;"Isotropic","",IF(OR(J11="",K11="",K11&gt;=0.5),"",J11/(3*(1-2*K11)))))</x:f>
        <x:v>158.7301587301587</x:v>
      </x:c>
      <x:c r="P11" s="35" t="n">
        <x:v>345</x:v>
      </x:c>
      <x:c r="Q11" s="35" t="n">
        <x:v>450</x:v>
      </x:c>
      <x:c r="R11" s="35"/>
      <x:c r="S11" s="35"/>
      <x:c r="T11" s="36" t="n">
        <x:v>0.18</x:v>
      </x:c>
      <x:c r="U11" s="35" t="n">
        <x:v>50</x:v>
      </x:c>
      <x:c r="V11" s="35" t="n">
        <x:v>50</x:v>
      </x:c>
      <x:c r="W11" s="35" t="n">
        <x:v>486</x:v>
      </x:c>
      <x:c r="X11" s="35" t="n">
        <x:v>11.7</x:v>
      </x:c>
      <x:c r="Y11" s="37" t="n">
        <x:v>1.43e-7</x:v>
      </x:c>
      <x:c r="Z11" s="38" t="n">
        <x:v>1450</x:v>
      </x:c>
      <x:c r="AA11" s="38" t="n">
        <x:v>425</x:v>
      </x:c>
      <x:c r="AB11" s="38" t="n">
        <x:v>145</x:v>
      </x:c>
      <x:c r="AC11" s="32" t="n">
        <x:v>1</x:v>
      </x:c>
      <x:c r="AD11" s="32" t="str">
        <x:v>Representative</x:v>
      </x:c>
      <x:c r="AE11" s="8" t="str">
        <x:v>Common W-shape screening values; use governing steel code for design.</x:v>
      </x:c>
      <x:c r="AF11" s="8" t="str">
        <x:f>IFERROR(VLOOKUP(AC11,'Sources'!$A$2:$E$12,5,FALSE),"")</x:f>
        <x:v>https://www.matweb.com/search/MaterialGroupSearch.aspx</x:v>
      </x:c>
      <x:c r="AG11" s="32" t="b">
        <x:f>COUNTIF($A$2:$A$127,A11)&gt;1</x:f>
        <x:v>0</x:v>
      </x:c>
    </x:row>
    <x:row r="12">
      <x:c r="A12" s="33" t="n">
        <x:v>1011</x:v>
      </x:c>
      <x:c r="B12" s="32" t="str">
        <x:v>TOOL_STEEL_A2_HARDENED</x:v>
      </x:c>
      <x:c r="C12" s="32" t="str">
        <x:v>A2 tool steel</x:v>
      </x:c>
      <x:c r="D12" s="32" t="str">
        <x:v>Ferrous metal</x:v>
      </x:c>
      <x:c r="E12" s="32" t="str">
        <x:v>Tool steel</x:v>
      </x:c>
      <x:c r="F12" s="32" t="str">
        <x:v>AISI A2</x:v>
      </x:c>
      <x:c r="G12" s="32" t="str">
        <x:v>Hardened and tempered</x:v>
      </x:c>
      <x:c r="H12" s="32" t="str">
        <x:v>Isotropic</x:v>
      </x:c>
      <x:c r="I12" s="34" t="n">
        <x:v>7860</x:v>
      </x:c>
      <x:c r="J12" s="35" t="n">
        <x:v>203</x:v>
      </x:c>
      <x:c r="K12" s="35" t="n">
        <x:v>0.29</x:v>
      </x:c>
      <x:c r="L12" s="40"/>
      <x:c r="M12" s="40"/>
      <x:c r="N12" s="39" t="n">
        <x:f>IF(L12&lt;&gt;"",L12,IF(H12&lt;&gt;"Isotropic","",IF(OR(J12="",K12=""),"",J12/(2*(1+K12)))))</x:f>
        <x:v>78.68217054263566</x:v>
      </x:c>
      <x:c r="O12" s="39" t="n">
        <x:f>IF(M12&lt;&gt;"",M12,IF(H12&lt;&gt;"Isotropic","",IF(OR(J12="",K12="",K12&gt;=0.5),"",J12/(3*(1-2*K12)))))</x:f>
        <x:v>161.1111111111111</x:v>
      </x:c>
      <x:c r="P12" s="35" t="n">
        <x:v>1580</x:v>
      </x:c>
      <x:c r="Q12" s="35" t="n">
        <x:v>1900</x:v>
      </x:c>
      <x:c r="R12" s="35"/>
      <x:c r="S12" s="35"/>
      <x:c r="T12" s="36" t="n">
        <x:v>0.02</x:v>
      </x:c>
      <x:c r="U12" s="35" t="n">
        <x:v>20</x:v>
      </x:c>
      <x:c r="V12" s="35" t="n">
        <x:v>26</x:v>
      </x:c>
      <x:c r="W12" s="35" t="n">
        <x:v>460</x:v>
      </x:c>
      <x:c r="X12" s="35" t="n">
        <x:v>11.5</x:v>
      </x:c>
      <x:c r="Y12" s="37" t="n">
        <x:v>4.7e-7</x:v>
      </x:c>
      <x:c r="Z12" s="38" t="n">
        <x:v>1420</x:v>
      </x:c>
      <x:c r="AA12" s="38" t="n">
        <x:v>315</x:v>
      </x:c>
      <x:c r="AB12" s="38" t="n">
        <x:v>650</x:v>
      </x:c>
      <x:c r="AC12" s="32" t="n">
        <x:v>1</x:v>
      </x:c>
      <x:c r="AD12" s="32" t="str">
        <x:v>Approximate</x:v>
      </x:c>
      <x:c r="AE12" s="8" t="str">
        <x:v>Properties depend strongly on tempering temperature and section size.</x:v>
      </x:c>
      <x:c r="AF12" s="8" t="str">
        <x:f>IFERROR(VLOOKUP(AC12,'Sources'!$A$2:$E$12,5,FALSE),"")</x:f>
        <x:v>https://www.matweb.com/search/MaterialGroupSearch.aspx</x:v>
      </x:c>
      <x:c r="AG12" s="32" t="b">
        <x:f>COUNTIF($A$2:$A$127,A12)&gt;1</x:f>
        <x:v>0</x:v>
      </x:c>
    </x:row>
    <x:row r="13">
      <x:c r="A13" s="33" t="n">
        <x:v>1012</x:v>
      </x:c>
      <x:c r="B13" s="32" t="str">
        <x:v>TOOL_STEEL_D2_HARDENED</x:v>
      </x:c>
      <x:c r="C13" s="32" t="str">
        <x:v>D2 tool steel</x:v>
      </x:c>
      <x:c r="D13" s="32" t="str">
        <x:v>Ferrous metal</x:v>
      </x:c>
      <x:c r="E13" s="32" t="str">
        <x:v>Tool steel</x:v>
      </x:c>
      <x:c r="F13" s="32" t="str">
        <x:v>AISI D2</x:v>
      </x:c>
      <x:c r="G13" s="32" t="str">
        <x:v>Hardened and tempered</x:v>
      </x:c>
      <x:c r="H13" s="32" t="str">
        <x:v>Isotropic</x:v>
      </x:c>
      <x:c r="I13" s="34" t="n">
        <x:v>7700</x:v>
      </x:c>
      <x:c r="J13" s="35" t="n">
        <x:v>210</x:v>
      </x:c>
      <x:c r="K13" s="35" t="n">
        <x:v>0.28</x:v>
      </x:c>
      <x:c r="L13" s="40"/>
      <x:c r="M13" s="40"/>
      <x:c r="N13" s="39" t="n">
        <x:f>IF(L13&lt;&gt;"",L13,IF(H13&lt;&gt;"Isotropic","",IF(OR(J13="",K13=""),"",J13/(2*(1+K13)))))</x:f>
        <x:v>82.03125</x:v>
      </x:c>
      <x:c r="O13" s="39" t="n">
        <x:f>IF(M13&lt;&gt;"",M13,IF(H13&lt;&gt;"Isotropic","",IF(OR(J13="",K13="",K13&gt;=0.5),"",J13/(3*(1-2*K13)))))</x:f>
        <x:v>159.09090909090912</x:v>
      </x:c>
      <x:c r="P13" s="35" t="n">
        <x:v>1530</x:v>
      </x:c>
      <x:c r="Q13" s="35" t="n">
        <x:v>1900</x:v>
      </x:c>
      <x:c r="R13" s="35"/>
      <x:c r="S13" s="35"/>
      <x:c r="T13" s="36" t="n">
        <x:v>0.01</x:v>
      </x:c>
      <x:c r="U13" s="35" t="n">
        <x:v>18</x:v>
      </x:c>
      <x:c r="V13" s="35" t="n">
        <x:v>20</x:v>
      </x:c>
      <x:c r="W13" s="35" t="n">
        <x:v>460</x:v>
      </x:c>
      <x:c r="X13" s="35" t="n">
        <x:v>10.4</x:v>
      </x:c>
      <x:c r="Y13" s="37" t="n">
        <x:v>5.4e-7</x:v>
      </x:c>
      <x:c r="Z13" s="38" t="n">
        <x:v>1420</x:v>
      </x:c>
      <x:c r="AA13" s="38" t="n">
        <x:v>315</x:v>
      </x:c>
      <x:c r="AB13" s="38" t="n">
        <x:v>700</x:v>
      </x:c>
      <x:c r="AC13" s="32" t="n">
        <x:v>1</x:v>
      </x:c>
      <x:c r="AD13" s="32" t="str">
        <x:v>Approximate</x:v>
      </x:c>
      <x:c r="AE13" s="8" t="str">
        <x:v>High-carbide tool steel; properties depend on heat treatment.</x:v>
      </x:c>
      <x:c r="AF13" s="8" t="str">
        <x:f>IFERROR(VLOOKUP(AC13,'Sources'!$A$2:$E$12,5,FALSE),"")</x:f>
        <x:v>https://www.matweb.com/search/MaterialGroupSearch.aspx</x:v>
      </x:c>
      <x:c r="AG13" s="32" t="b">
        <x:f>COUNTIF($A$2:$A$127,A13)&gt;1</x:f>
        <x:v>0</x:v>
      </x:c>
    </x:row>
    <x:row r="14">
      <x:c r="A14" s="33" t="n">
        <x:v>1013</x:v>
      </x:c>
      <x:c r="B14" s="32" t="str">
        <x:v>TOOL_STEEL_H13_HARDENED</x:v>
      </x:c>
      <x:c r="C14" s="32" t="str">
        <x:v>H13 hot-work tool steel</x:v>
      </x:c>
      <x:c r="D14" s="32" t="str">
        <x:v>Ferrous metal</x:v>
      </x:c>
      <x:c r="E14" s="32" t="str">
        <x:v>Tool steel</x:v>
      </x:c>
      <x:c r="F14" s="32" t="str">
        <x:v>AISI H13</x:v>
      </x:c>
      <x:c r="G14" s="32" t="str">
        <x:v>Hardened and tempered</x:v>
      </x:c>
      <x:c r="H14" s="32" t="str">
        <x:v>Isotropic</x:v>
      </x:c>
      <x:c r="I14" s="34" t="n">
        <x:v>7800</x:v>
      </x:c>
      <x:c r="J14" s="35" t="n">
        <x:v>210</x:v>
      </x:c>
      <x:c r="K14" s="35" t="n">
        <x:v>0.29</x:v>
      </x:c>
      <x:c r="L14" s="40"/>
      <x:c r="M14" s="40"/>
      <x:c r="N14" s="39" t="n">
        <x:f>IF(L14&lt;&gt;"",L14,IF(H14&lt;&gt;"Isotropic","",IF(OR(J14="",K14=""),"",J14/(2*(1+K14)))))</x:f>
        <x:v>81.3953488372093</x:v>
      </x:c>
      <x:c r="O14" s="39" t="n">
        <x:f>IF(M14&lt;&gt;"",M14,IF(H14&lt;&gt;"Isotropic","",IF(OR(J14="",K14="",K14&gt;=0.5),"",J14/(3*(1-2*K14)))))</x:f>
        <x:v>166.66666666666663</x:v>
      </x:c>
      <x:c r="P14" s="35" t="n">
        <x:v>1200</x:v>
      </x:c>
      <x:c r="Q14" s="35" t="n">
        <x:v>1500</x:v>
      </x:c>
      <x:c r="R14" s="35"/>
      <x:c r="S14" s="35"/>
      <x:c r="T14" s="36" t="n">
        <x:v>0.08</x:v>
      </x:c>
      <x:c r="U14" s="35" t="n">
        <x:v>22</x:v>
      </x:c>
      <x:c r="V14" s="35" t="n">
        <x:v>28.6</x:v>
      </x:c>
      <x:c r="W14" s="35" t="n">
        <x:v>460</x:v>
      </x:c>
      <x:c r="X14" s="35" t="n">
        <x:v>11.9</x:v>
      </x:c>
      <x:c r="Y14" s="37" t="n">
        <x:v>5.2e-7</x:v>
      </x:c>
      <x:c r="Z14" s="38" t="n">
        <x:v>1425</x:v>
      </x:c>
      <x:c r="AA14" s="38" t="n">
        <x:v>540</x:v>
      </x:c>
      <x:c r="AB14" s="38" t="n">
        <x:v>560</x:v>
      </x:c>
      <x:c r="AC14" s="32" t="n">
        <x:v>1</x:v>
      </x:c>
      <x:c r="AD14" s="32" t="str">
        <x:v>Approximate</x:v>
      </x:c>
      <x:c r="AE14" s="8" t="str">
        <x:v>Hot-work grade; verify temper and operating-cycle limits.</x:v>
      </x:c>
      <x:c r="AF14" s="8" t="str">
        <x:f>IFERROR(VLOOKUP(AC14,'Sources'!$A$2:$E$12,5,FALSE),"")</x:f>
        <x:v>https://www.matweb.com/search/MaterialGroupSearch.aspx</x:v>
      </x:c>
      <x:c r="AG14" s="32" t="b">
        <x:f>COUNTIF($A$2:$A$127,A14)&gt;1</x:f>
        <x:v>0</x:v>
      </x:c>
    </x:row>
    <x:row r="15">
      <x:c r="A15" s="33" t="n">
        <x:v>1014</x:v>
      </x:c>
      <x:c r="B15" s="32" t="str">
        <x:v>MARAGING_STEEL_18NI_250</x:v>
      </x:c>
      <x:c r="C15" s="32" t="str">
        <x:v>18Ni(250) maraging steel</x:v>
      </x:c>
      <x:c r="D15" s="32" t="str">
        <x:v>Ferrous metal</x:v>
      </x:c>
      <x:c r="E15" s="32" t="str">
        <x:v>Maraging steel</x:v>
      </x:c>
      <x:c r="F15" s="32" t="str">
        <x:v>18Ni(250)</x:v>
      </x:c>
      <x:c r="G15" s="32" t="str">
        <x:v>Solution treated and aged</x:v>
      </x:c>
      <x:c r="H15" s="32" t="str">
        <x:v>Isotropic</x:v>
      </x:c>
      <x:c r="I15" s="34" t="n">
        <x:v>8000</x:v>
      </x:c>
      <x:c r="J15" s="35" t="n">
        <x:v>190</x:v>
      </x:c>
      <x:c r="K15" s="35" t="n">
        <x:v>0.3</x:v>
      </x:c>
      <x:c r="L15" s="40"/>
      <x:c r="M15" s="40"/>
      <x:c r="N15" s="39" t="n">
        <x:f>IF(L15&lt;&gt;"",L15,IF(H15&lt;&gt;"Isotropic","",IF(OR(J15="",K15=""),"",J15/(2*(1+K15)))))</x:f>
        <x:v>73.07692307692308</x:v>
      </x:c>
      <x:c r="O15" s="39" t="n">
        <x:f>IF(M15&lt;&gt;"",M15,IF(H15&lt;&gt;"Isotropic","",IF(OR(J15="",K15="",K15&gt;=0.5),"",J15/(3*(1-2*K15)))))</x:f>
        <x:v>158.33333333333331</x:v>
      </x:c>
      <x:c r="P15" s="35" t="n">
        <x:v>1700</x:v>
      </x:c>
      <x:c r="Q15" s="35" t="n">
        <x:v>1800</x:v>
      </x:c>
      <x:c r="R15" s="35"/>
      <x:c r="S15" s="35"/>
      <x:c r="T15" s="36" t="n">
        <x:v>0.08</x:v>
      </x:c>
      <x:c r="U15" s="35" t="n">
        <x:v>70</x:v>
      </x:c>
      <x:c r="V15" s="35" t="n">
        <x:v>25.5</x:v>
      </x:c>
      <x:c r="W15" s="35" t="n">
        <x:v>460</x:v>
      </x:c>
      <x:c r="X15" s="35" t="n">
        <x:v>10.3</x:v>
      </x:c>
      <x:c r="Y15" s="37" t="n">
        <x:v>8e-7</x:v>
      </x:c>
      <x:c r="Z15" s="38" t="n">
        <x:v>1413</x:v>
      </x:c>
      <x:c r="AA15" s="38" t="n">
        <x:v>480</x:v>
      </x:c>
      <x:c r="AB15" s="38" t="n">
        <x:v>540</x:v>
      </x:c>
      <x:c r="AC15" s="32" t="n">
        <x:v>1</x:v>
      </x:c>
      <x:c r="AD15" s="32" t="str">
        <x:v>Approximate</x:v>
      </x:c>
      <x:c r="AE15" s="8" t="str">
        <x:v>Aging schedule affects strength and toughness.</x:v>
      </x:c>
      <x:c r="AF15" s="8" t="str">
        <x:f>IFERROR(VLOOKUP(AC15,'Sources'!$A$2:$E$12,5,FALSE),"")</x:f>
        <x:v>https://www.matweb.com/search/MaterialGroupSearch.aspx</x:v>
      </x:c>
      <x:c r="AG15" s="32" t="b">
        <x:f>COUNTIF($A$2:$A$127,A15)&gt;1</x:f>
        <x:v>0</x:v>
      </x:c>
    </x:row>
    <x:row r="16">
      <x:c r="A16" s="33" t="n">
        <x:v>1101</x:v>
      </x:c>
      <x:c r="B16" s="32" t="str">
        <x:v>STAINLESS_304</x:v>
      </x:c>
      <x:c r="C16" s="32" t="str">
        <x:v>AISI 304 stainless steel</x:v>
      </x:c>
      <x:c r="D16" s="32" t="str">
        <x:v>Ferrous metal</x:v>
      </x:c>
      <x:c r="E16" s="32" t="str">
        <x:v>Austenitic stainless steel</x:v>
      </x:c>
      <x:c r="F16" s="32" t="str">
        <x:v>AISI 304</x:v>
      </x:c>
      <x:c r="G16" s="32" t="str">
        <x:v>Annealed</x:v>
      </x:c>
      <x:c r="H16" s="32" t="str">
        <x:v>Isotropic</x:v>
      </x:c>
      <x:c r="I16" s="34" t="n">
        <x:v>8000</x:v>
      </x:c>
      <x:c r="J16" s="35" t="n">
        <x:v>193</x:v>
      </x:c>
      <x:c r="K16" s="35" t="n">
        <x:v>0.29</x:v>
      </x:c>
      <x:c r="L16" s="40"/>
      <x:c r="M16" s="40"/>
      <x:c r="N16" s="39" t="n">
        <x:f>IF(L16&lt;&gt;"",L16,IF(H16&lt;&gt;"Isotropic","",IF(OR(J16="",K16=""),"",J16/(2*(1+K16)))))</x:f>
        <x:v>74.8062015503876</x:v>
      </x:c>
      <x:c r="O16" s="39" t="n">
        <x:f>IF(M16&lt;&gt;"",M16,IF(H16&lt;&gt;"Isotropic","",IF(OR(J16="",K16="",K16&gt;=0.5),"",J16/(3*(1-2*K16)))))</x:f>
        <x:v>153.17460317460313</x:v>
      </x:c>
      <x:c r="P16" s="35" t="n">
        <x:v>215</x:v>
      </x:c>
      <x:c r="Q16" s="35" t="n">
        <x:v>505</x:v>
      </x:c>
      <x:c r="R16" s="35"/>
      <x:c r="S16" s="35"/>
      <x:c r="T16" s="36" t="n">
        <x:v>0.7</x:v>
      </x:c>
      <x:c r="U16" s="35" t="n">
        <x:v>120</x:v>
      </x:c>
      <x:c r="V16" s="35" t="n">
        <x:v>16.2</x:v>
      </x:c>
      <x:c r="W16" s="35" t="n">
        <x:v>500</x:v>
      </x:c>
      <x:c r="X16" s="35" t="n">
        <x:v>17.2</x:v>
      </x:c>
      <x:c r="Y16" s="37" t="n">
        <x:v>7.2e-7</x:v>
      </x:c>
      <x:c r="Z16" s="38" t="n">
        <x:v>1400</x:v>
      </x:c>
      <x:c r="AA16" s="38" t="n">
        <x:v>870</x:v>
      </x:c>
      <x:c r="AB16" s="38" t="n">
        <x:v>129</x:v>
      </x:c>
      <x:c r="AC16" s="32" t="n">
        <x:v>2</x:v>
      </x:c>
      <x:c r="AD16" s="32" t="str">
        <x:v>Representative</x:v>
      </x:c>
      <x:c r="AE16" s="8" t="str">
        <x:v>Annealed sheet/bar typical values.</x:v>
      </x:c>
      <x:c r="AF16" s="8" t="str">
        <x:f>IFERROR(VLOOKUP(AC16,'Sources'!$A$2:$E$12,5,FALSE),"")</x:f>
        <x:v>https://www.outokumpu.com/en/products/stainless-steel/grades</x:v>
      </x:c>
      <x:c r="AG16" s="32" t="b">
        <x:f>COUNTIF($A$2:$A$127,A16)&gt;1</x:f>
        <x:v>0</x:v>
      </x:c>
    </x:row>
    <x:row r="17">
      <x:c r="A17" s="33" t="n">
        <x:v>1102</x:v>
      </x:c>
      <x:c r="B17" s="32" t="str">
        <x:v>STAINLESS_304L</x:v>
      </x:c>
      <x:c r="C17" s="32" t="str">
        <x:v>AISI 304L stainless steel</x:v>
      </x:c>
      <x:c r="D17" s="32" t="str">
        <x:v>Ferrous metal</x:v>
      </x:c>
      <x:c r="E17" s="32" t="str">
        <x:v>Austenitic stainless steel</x:v>
      </x:c>
      <x:c r="F17" s="32" t="str">
        <x:v>AISI 304L</x:v>
      </x:c>
      <x:c r="G17" s="32" t="str">
        <x:v>Annealed</x:v>
      </x:c>
      <x:c r="H17" s="32" t="str">
        <x:v>Isotropic</x:v>
      </x:c>
      <x:c r="I17" s="34" t="n">
        <x:v>8000</x:v>
      </x:c>
      <x:c r="J17" s="35" t="n">
        <x:v>193</x:v>
      </x:c>
      <x:c r="K17" s="35" t="n">
        <x:v>0.29</x:v>
      </x:c>
      <x:c r="L17" s="40"/>
      <x:c r="M17" s="40"/>
      <x:c r="N17" s="39" t="n">
        <x:f>IF(L17&lt;&gt;"",L17,IF(H17&lt;&gt;"Isotropic","",IF(OR(J17="",K17=""),"",J17/(2*(1+K17)))))</x:f>
        <x:v>74.8062015503876</x:v>
      </x:c>
      <x:c r="O17" s="39" t="n">
        <x:f>IF(M17&lt;&gt;"",M17,IF(H17&lt;&gt;"Isotropic","",IF(OR(J17="",K17="",K17&gt;=0.5),"",J17/(3*(1-2*K17)))))</x:f>
        <x:v>153.17460317460313</x:v>
      </x:c>
      <x:c r="P17" s="35" t="n">
        <x:v>170</x:v>
      </x:c>
      <x:c r="Q17" s="35" t="n">
        <x:v>485</x:v>
      </x:c>
      <x:c r="R17" s="35"/>
      <x:c r="S17" s="35"/>
      <x:c r="T17" s="36" t="n">
        <x:v>0.7</x:v>
      </x:c>
      <x:c r="U17" s="35" t="n">
        <x:v>120</x:v>
      </x:c>
      <x:c r="V17" s="35" t="n">
        <x:v>16.2</x:v>
      </x:c>
      <x:c r="W17" s="35" t="n">
        <x:v>500</x:v>
      </x:c>
      <x:c r="X17" s="35" t="n">
        <x:v>17.2</x:v>
      </x:c>
      <x:c r="Y17" s="37" t="n">
        <x:v>7.2e-7</x:v>
      </x:c>
      <x:c r="Z17" s="38" t="n">
        <x:v>1400</x:v>
      </x:c>
      <x:c r="AA17" s="38" t="n">
        <x:v>870</x:v>
      </x:c>
      <x:c r="AB17" s="38" t="n">
        <x:v>125</x:v>
      </x:c>
      <x:c r="AC17" s="32" t="n">
        <x:v>2</x:v>
      </x:c>
      <x:c r="AD17" s="32" t="str">
        <x:v>Representative</x:v>
      </x:c>
      <x:c r="AE17" s="8" t="str">
        <x:v>Low-carbon 304; product form affects proof stress.</x:v>
      </x:c>
      <x:c r="AF17" s="8" t="str">
        <x:f>IFERROR(VLOOKUP(AC17,'Sources'!$A$2:$E$12,5,FALSE),"")</x:f>
        <x:v>https://www.outokumpu.com/en/products/stainless-steel/grades</x:v>
      </x:c>
      <x:c r="AG17" s="32" t="b">
        <x:f>COUNTIF($A$2:$A$127,A17)&gt;1</x:f>
        <x:v>0</x:v>
      </x:c>
    </x:row>
    <x:row r="18">
      <x:c r="A18" s="33" t="n">
        <x:v>1103</x:v>
      </x:c>
      <x:c r="B18" s="32" t="str">
        <x:v>STAINLESS_316</x:v>
      </x:c>
      <x:c r="C18" s="32" t="str">
        <x:v>AISI 316 stainless steel</x:v>
      </x:c>
      <x:c r="D18" s="32" t="str">
        <x:v>Ferrous metal</x:v>
      </x:c>
      <x:c r="E18" s="32" t="str">
        <x:v>Austenitic stainless steel</x:v>
      </x:c>
      <x:c r="F18" s="32" t="str">
        <x:v>AISI 316</x:v>
      </x:c>
      <x:c r="G18" s="32" t="str">
        <x:v>Annealed</x:v>
      </x:c>
      <x:c r="H18" s="32" t="str">
        <x:v>Isotropic</x:v>
      </x:c>
      <x:c r="I18" s="34" t="n">
        <x:v>8000</x:v>
      </x:c>
      <x:c r="J18" s="35" t="n">
        <x:v>193</x:v>
      </x:c>
      <x:c r="K18" s="35" t="n">
        <x:v>0.3</x:v>
      </x:c>
      <x:c r="L18" s="40"/>
      <x:c r="M18" s="40"/>
      <x:c r="N18" s="39" t="n">
        <x:f>IF(L18&lt;&gt;"",L18,IF(H18&lt;&gt;"Isotropic","",IF(OR(J18="",K18=""),"",J18/(2*(1+K18)))))</x:f>
        <x:v>74.23076923076923</x:v>
      </x:c>
      <x:c r="O18" s="39" t="n">
        <x:f>IF(M18&lt;&gt;"",M18,IF(H18&lt;&gt;"Isotropic","",IF(OR(J18="",K18="",K18&gt;=0.5),"",J18/(3*(1-2*K18)))))</x:f>
        <x:v>160.83333333333331</x:v>
      </x:c>
      <x:c r="P18" s="35" t="n">
        <x:v>205</x:v>
      </x:c>
      <x:c r="Q18" s="35" t="n">
        <x:v>515</x:v>
      </x:c>
      <x:c r="R18" s="35"/>
      <x:c r="S18" s="35"/>
      <x:c r="T18" s="36" t="n">
        <x:v>0.6</x:v>
      </x:c>
      <x:c r="U18" s="35" t="n">
        <x:v>140</x:v>
      </x:c>
      <x:c r="V18" s="35" t="n">
        <x:v>16.3</x:v>
      </x:c>
      <x:c r="W18" s="35" t="n">
        <x:v>500</x:v>
      </x:c>
      <x:c r="X18" s="35" t="n">
        <x:v>15.9</x:v>
      </x:c>
      <x:c r="Y18" s="37" t="n">
        <x:v>7.4e-7</x:v>
      </x:c>
      <x:c r="Z18" s="38" t="n">
        <x:v>1380</x:v>
      </x:c>
      <x:c r="AA18" s="38" t="n">
        <x:v>870</x:v>
      </x:c>
      <x:c r="AB18" s="38" t="n">
        <x:v>146</x:v>
      </x:c>
      <x:c r="AC18" s="32" t="n">
        <x:v>2</x:v>
      </x:c>
      <x:c r="AD18" s="32" t="str">
        <x:v>Representative</x:v>
      </x:c>
      <x:c r="AE18" s="8" t="str">
        <x:v>Annealed typical values.</x:v>
      </x:c>
      <x:c r="AF18" s="8" t="str">
        <x:f>IFERROR(VLOOKUP(AC18,'Sources'!$A$2:$E$12,5,FALSE),"")</x:f>
        <x:v>https://www.outokumpu.com/en/products/stainless-steel/grades</x:v>
      </x:c>
      <x:c r="AG18" s="32" t="b">
        <x:f>COUNTIF($A$2:$A$127,A18)&gt;1</x:f>
        <x:v>0</x:v>
      </x:c>
    </x:row>
    <x:row r="19">
      <x:c r="A19" s="33" t="n">
        <x:v>1104</x:v>
      </x:c>
      <x:c r="B19" s="32" t="str">
        <x:v>STAINLESS_316L</x:v>
      </x:c>
      <x:c r="C19" s="32" t="str">
        <x:v>AISI 316L stainless steel</x:v>
      </x:c>
      <x:c r="D19" s="32" t="str">
        <x:v>Ferrous metal</x:v>
      </x:c>
      <x:c r="E19" s="32" t="str">
        <x:v>Austenitic stainless steel</x:v>
      </x:c>
      <x:c r="F19" s="32" t="str">
        <x:v>AISI 316L</x:v>
      </x:c>
      <x:c r="G19" s="32" t="str">
        <x:v>Annealed</x:v>
      </x:c>
      <x:c r="H19" s="32" t="str">
        <x:v>Isotropic</x:v>
      </x:c>
      <x:c r="I19" s="34" t="n">
        <x:v>8000</x:v>
      </x:c>
      <x:c r="J19" s="35" t="n">
        <x:v>193</x:v>
      </x:c>
      <x:c r="K19" s="35" t="n">
        <x:v>0.3</x:v>
      </x:c>
      <x:c r="L19" s="40"/>
      <x:c r="M19" s="40"/>
      <x:c r="N19" s="39" t="n">
        <x:f>IF(L19&lt;&gt;"",L19,IF(H19&lt;&gt;"Isotropic","",IF(OR(J19="",K19=""),"",J19/(2*(1+K19)))))</x:f>
        <x:v>74.23076923076923</x:v>
      </x:c>
      <x:c r="O19" s="39" t="n">
        <x:f>IF(M19&lt;&gt;"",M19,IF(H19&lt;&gt;"Isotropic","",IF(OR(J19="",K19="",K19&gt;=0.5),"",J19/(3*(1-2*K19)))))</x:f>
        <x:v>160.83333333333331</x:v>
      </x:c>
      <x:c r="P19" s="35" t="n">
        <x:v>170</x:v>
      </x:c>
      <x:c r="Q19" s="35" t="n">
        <x:v>485</x:v>
      </x:c>
      <x:c r="R19" s="35"/>
      <x:c r="S19" s="35"/>
      <x:c r="T19" s="36" t="n">
        <x:v>0.6</x:v>
      </x:c>
      <x:c r="U19" s="35" t="n">
        <x:v>140</x:v>
      </x:c>
      <x:c r="V19" s="35" t="n">
        <x:v>16.3</x:v>
      </x:c>
      <x:c r="W19" s="35" t="n">
        <x:v>500</x:v>
      </x:c>
      <x:c r="X19" s="35" t="n">
        <x:v>15.9</x:v>
      </x:c>
      <x:c r="Y19" s="37" t="n">
        <x:v>7.4e-7</x:v>
      </x:c>
      <x:c r="Z19" s="38" t="n">
        <x:v>1380</x:v>
      </x:c>
      <x:c r="AA19" s="38" t="n">
        <x:v>870</x:v>
      </x:c>
      <x:c r="AB19" s="38" t="n">
        <x:v>140</x:v>
      </x:c>
      <x:c r="AC19" s="32" t="n">
        <x:v>2</x:v>
      </x:c>
      <x:c r="AD19" s="32" t="str">
        <x:v>Representative</x:v>
      </x:c>
      <x:c r="AE19" s="8" t="str">
        <x:v>Low-carbon 316; verify product specification.</x:v>
      </x:c>
      <x:c r="AF19" s="8" t="str">
        <x:f>IFERROR(VLOOKUP(AC19,'Sources'!$A$2:$E$12,5,FALSE),"")</x:f>
        <x:v>https://www.outokumpu.com/en/products/stainless-steel/grades</x:v>
      </x:c>
      <x:c r="AG19" s="32" t="b">
        <x:f>COUNTIF($A$2:$A$127,A19)&gt;1</x:f>
        <x:v>0</x:v>
      </x:c>
    </x:row>
    <x:row r="20">
      <x:c r="A20" s="33" t="n">
        <x:v>1105</x:v>
      </x:c>
      <x:c r="B20" s="32" t="str">
        <x:v>STAINLESS_321</x:v>
      </x:c>
      <x:c r="C20" s="32" t="str">
        <x:v>AISI 321 stainless steel</x:v>
      </x:c>
      <x:c r="D20" s="32" t="str">
        <x:v>Ferrous metal</x:v>
      </x:c>
      <x:c r="E20" s="32" t="str">
        <x:v>Austenitic stainless steel</x:v>
      </x:c>
      <x:c r="F20" s="32" t="str">
        <x:v>AISI 321</x:v>
      </x:c>
      <x:c r="G20" s="32" t="str">
        <x:v>Annealed</x:v>
      </x:c>
      <x:c r="H20" s="32" t="str">
        <x:v>Isotropic</x:v>
      </x:c>
      <x:c r="I20" s="34" t="n">
        <x:v>8020</x:v>
      </x:c>
      <x:c r="J20" s="35" t="n">
        <x:v>193</x:v>
      </x:c>
      <x:c r="K20" s="35" t="n">
        <x:v>0.29</x:v>
      </x:c>
      <x:c r="L20" s="40"/>
      <x:c r="M20" s="40"/>
      <x:c r="N20" s="39" t="n">
        <x:f>IF(L20&lt;&gt;"",L20,IF(H20&lt;&gt;"Isotropic","",IF(OR(J20="",K20=""),"",J20/(2*(1+K20)))))</x:f>
        <x:v>74.8062015503876</x:v>
      </x:c>
      <x:c r="O20" s="39" t="n">
        <x:f>IF(M20&lt;&gt;"",M20,IF(H20&lt;&gt;"Isotropic","",IF(OR(J20="",K20="",K20&gt;=0.5),"",J20/(3*(1-2*K20)))))</x:f>
        <x:v>153.17460317460313</x:v>
      </x:c>
      <x:c r="P20" s="35" t="n">
        <x:v>205</x:v>
      </x:c>
      <x:c r="Q20" s="35" t="n">
        <x:v>515</x:v>
      </x:c>
      <x:c r="R20" s="35"/>
      <x:c r="S20" s="35"/>
      <x:c r="T20" s="36" t="n">
        <x:v>0.4</x:v>
      </x:c>
      <x:c r="U20" s="35" t="n">
        <x:v>110</x:v>
      </x:c>
      <x:c r="V20" s="35" t="n">
        <x:v>16.1</x:v>
      </x:c>
      <x:c r="W20" s="35" t="n">
        <x:v>500</x:v>
      </x:c>
      <x:c r="X20" s="35" t="n">
        <x:v>16.6</x:v>
      </x:c>
      <x:c r="Y20" s="37" t="n">
        <x:v>7.2e-7</x:v>
      </x:c>
      <x:c r="Z20" s="38" t="n">
        <x:v>1400</x:v>
      </x:c>
      <x:c r="AA20" s="38" t="n">
        <x:v>870</x:v>
      </x:c>
      <x:c r="AB20" s="38" t="n">
        <x:v>150</x:v>
      </x:c>
      <x:c r="AC20" s="32" t="n">
        <x:v>2</x:v>
      </x:c>
      <x:c r="AD20" s="32" t="str">
        <x:v>Representative</x:v>
      </x:c>
      <x:c r="AE20" s="8" t="str">
        <x:v>Titanium-stabilized stainless steel.</x:v>
      </x:c>
      <x:c r="AF20" s="8" t="str">
        <x:f>IFERROR(VLOOKUP(AC20,'Sources'!$A$2:$E$12,5,FALSE),"")</x:f>
        <x:v>https://www.outokumpu.com/en/products/stainless-steel/grades</x:v>
      </x:c>
      <x:c r="AG20" s="32" t="b">
        <x:f>COUNTIF($A$2:$A$127,A20)&gt;1</x:f>
        <x:v>0</x:v>
      </x:c>
    </x:row>
    <x:row r="21">
      <x:c r="A21" s="33" t="n">
        <x:v>1106</x:v>
      </x:c>
      <x:c r="B21" s="32" t="str">
        <x:v>STAINLESS_410_A</x:v>
      </x:c>
      <x:c r="C21" s="32" t="str">
        <x:v>AISI 410 stainless steel</x:v>
      </x:c>
      <x:c r="D21" s="32" t="str">
        <x:v>Ferrous metal</x:v>
      </x:c>
      <x:c r="E21" s="32" t="str">
        <x:v>Martensitic stainless steel</x:v>
      </x:c>
      <x:c r="F21" s="32" t="str">
        <x:v>AISI 410</x:v>
      </x:c>
      <x:c r="G21" s="32" t="str">
        <x:v>Annealed</x:v>
      </x:c>
      <x:c r="H21" s="32" t="str">
        <x:v>Isotropic</x:v>
      </x:c>
      <x:c r="I21" s="34" t="n">
        <x:v>7750</x:v>
      </x:c>
      <x:c r="J21" s="35" t="n">
        <x:v>200</x:v>
      </x:c>
      <x:c r="K21" s="35" t="n">
        <x:v>0.28</x:v>
      </x:c>
      <x:c r="L21" s="40"/>
      <x:c r="M21" s="40"/>
      <x:c r="N21" s="39" t="n">
        <x:f>IF(L21&lt;&gt;"",L21,IF(H21&lt;&gt;"Isotropic","",IF(OR(J21="",K21=""),"",J21/(2*(1+K21)))))</x:f>
        <x:v>78.125</x:v>
      </x:c>
      <x:c r="O21" s="39" t="n">
        <x:f>IF(M21&lt;&gt;"",M21,IF(H21&lt;&gt;"Isotropic","",IF(OR(J21="",K21="",K21&gt;=0.5),"",J21/(3*(1-2*K21)))))</x:f>
        <x:v>151.51515151515153</x:v>
      </x:c>
      <x:c r="P21" s="35" t="n">
        <x:v>275</x:v>
      </x:c>
      <x:c r="Q21" s="35" t="n">
        <x:v>480</x:v>
      </x:c>
      <x:c r="R21" s="35"/>
      <x:c r="S21" s="35"/>
      <x:c r="T21" s="36" t="n">
        <x:v>0.25</x:v>
      </x:c>
      <x:c r="U21" s="35" t="n">
        <x:v>65</x:v>
      </x:c>
      <x:c r="V21" s="35" t="n">
        <x:v>24.9</x:v>
      </x:c>
      <x:c r="W21" s="35" t="n">
        <x:v>460</x:v>
      </x:c>
      <x:c r="X21" s="35" t="n">
        <x:v>9.9</x:v>
      </x:c>
      <x:c r="Y21" s="37" t="n">
        <x:v>5.7e-7</x:v>
      </x:c>
      <x:c r="Z21" s="38" t="n">
        <x:v>1480</x:v>
      </x:c>
      <x:c r="AA21" s="38" t="n">
        <x:v>650</x:v>
      </x:c>
      <x:c r="AB21" s="38" t="n">
        <x:v>155</x:v>
      </x:c>
      <x:c r="AC21" s="32" t="n">
        <x:v>2</x:v>
      </x:c>
      <x:c r="AD21" s="32" t="str">
        <x:v>Representative</x:v>
      </x:c>
      <x:c r="AE21" s="8" t="str">
        <x:v>Annealed condition; hardened properties differ greatly.</x:v>
      </x:c>
      <x:c r="AF21" s="8" t="str">
        <x:f>IFERROR(VLOOKUP(AC21,'Sources'!$A$2:$E$12,5,FALSE),"")</x:f>
        <x:v>https://www.outokumpu.com/en/products/stainless-steel/grades</x:v>
      </x:c>
      <x:c r="AG21" s="32" t="b">
        <x:f>COUNTIF($A$2:$A$127,A21)&gt;1</x:f>
        <x:v>0</x:v>
      </x:c>
    </x:row>
    <x:row r="22">
      <x:c r="A22" s="33" t="n">
        <x:v>1107</x:v>
      </x:c>
      <x:c r="B22" s="32" t="str">
        <x:v>STAINLESS_420_H</x:v>
      </x:c>
      <x:c r="C22" s="32" t="str">
        <x:v>AISI 420 stainless steel</x:v>
      </x:c>
      <x:c r="D22" s="32" t="str">
        <x:v>Ferrous metal</x:v>
      </x:c>
      <x:c r="E22" s="32" t="str">
        <x:v>Martensitic stainless steel</x:v>
      </x:c>
      <x:c r="F22" s="32" t="str">
        <x:v>AISI 420</x:v>
      </x:c>
      <x:c r="G22" s="32" t="str">
        <x:v>Hardened and tempered</x:v>
      </x:c>
      <x:c r="H22" s="32" t="str">
        <x:v>Isotropic</x:v>
      </x:c>
      <x:c r="I22" s="34" t="n">
        <x:v>7740</x:v>
      </x:c>
      <x:c r="J22" s="35" t="n">
        <x:v>200</x:v>
      </x:c>
      <x:c r="K22" s="35" t="n">
        <x:v>0.28</x:v>
      </x:c>
      <x:c r="L22" s="40"/>
      <x:c r="M22" s="40"/>
      <x:c r="N22" s="39" t="n">
        <x:f>IF(L22&lt;&gt;"",L22,IF(H22&lt;&gt;"Isotropic","",IF(OR(J22="",K22=""),"",J22/(2*(1+K22)))))</x:f>
        <x:v>78.125</x:v>
      </x:c>
      <x:c r="O22" s="39" t="n">
        <x:f>IF(M22&lt;&gt;"",M22,IF(H22&lt;&gt;"Isotropic","",IF(OR(J22="",K22="",K22&gt;=0.5),"",J22/(3*(1-2*K22)))))</x:f>
        <x:v>151.51515151515153</x:v>
      </x:c>
      <x:c r="P22" s="35" t="n">
        <x:v>1000</x:v>
      </x:c>
      <x:c r="Q22" s="35" t="n">
        <x:v>1250</x:v>
      </x:c>
      <x:c r="R22" s="35"/>
      <x:c r="S22" s="35"/>
      <x:c r="T22" s="36" t="n">
        <x:v>0.05</x:v>
      </x:c>
      <x:c r="U22" s="35" t="n">
        <x:v>30</x:v>
      </x:c>
      <x:c r="V22" s="35" t="n">
        <x:v>24.9</x:v>
      </x:c>
      <x:c r="W22" s="35" t="n">
        <x:v>460</x:v>
      </x:c>
      <x:c r="X22" s="35" t="n">
        <x:v>10.3</x:v>
      </x:c>
      <x:c r="Y22" s="37" t="n">
        <x:v>5.5e-7</x:v>
      </x:c>
      <x:c r="Z22" s="38" t="n">
        <x:v>1450</x:v>
      </x:c>
      <x:c r="AA22" s="38" t="n">
        <x:v>540</x:v>
      </x:c>
      <x:c r="AB22" s="38" t="n">
        <x:v>520</x:v>
      </x:c>
      <x:c r="AC22" s="32" t="n">
        <x:v>2</x:v>
      </x:c>
      <x:c r="AD22" s="32" t="str">
        <x:v>Approximate</x:v>
      </x:c>
      <x:c r="AE22" s="8" t="str">
        <x:v>Representative hardened condition; verify temper.</x:v>
      </x:c>
      <x:c r="AF22" s="8" t="str">
        <x:f>IFERROR(VLOOKUP(AC22,'Sources'!$A$2:$E$12,5,FALSE),"")</x:f>
        <x:v>https://www.outokumpu.com/en/products/stainless-steel/grades</x:v>
      </x:c>
      <x:c r="AG22" s="32" t="b">
        <x:f>COUNTIF($A$2:$A$127,A22)&gt;1</x:f>
        <x:v>0</x:v>
      </x:c>
    </x:row>
    <x:row r="23">
      <x:c r="A23" s="33" t="n">
        <x:v>1108</x:v>
      </x:c>
      <x:c r="B23" s="32" t="str">
        <x:v>STAINLESS_430</x:v>
      </x:c>
      <x:c r="C23" s="32" t="str">
        <x:v>AISI 430 stainless steel</x:v>
      </x:c>
      <x:c r="D23" s="32" t="str">
        <x:v>Ferrous metal</x:v>
      </x:c>
      <x:c r="E23" s="32" t="str">
        <x:v>Ferritic stainless steel</x:v>
      </x:c>
      <x:c r="F23" s="32" t="str">
        <x:v>AISI 430</x:v>
      </x:c>
      <x:c r="G23" s="32" t="str">
        <x:v>Annealed</x:v>
      </x:c>
      <x:c r="H23" s="32" t="str">
        <x:v>Isotropic</x:v>
      </x:c>
      <x:c r="I23" s="34" t="n">
        <x:v>7750</x:v>
      </x:c>
      <x:c r="J23" s="35" t="n">
        <x:v>200</x:v>
      </x:c>
      <x:c r="K23" s="35" t="n">
        <x:v>0.29</x:v>
      </x:c>
      <x:c r="L23" s="40"/>
      <x:c r="M23" s="40"/>
      <x:c r="N23" s="39" t="n">
        <x:f>IF(L23&lt;&gt;"",L23,IF(H23&lt;&gt;"Isotropic","",IF(OR(J23="",K23=""),"",J23/(2*(1+K23)))))</x:f>
        <x:v>77.51937984496124</x:v>
      </x:c>
      <x:c r="O23" s="39" t="n">
        <x:f>IF(M23&lt;&gt;"",M23,IF(H23&lt;&gt;"Isotropic","",IF(OR(J23="",K23="",K23&gt;=0.5),"",J23/(3*(1-2*K23)))))</x:f>
        <x:v>158.7301587301587</x:v>
      </x:c>
      <x:c r="P23" s="35" t="n">
        <x:v>205</x:v>
      </x:c>
      <x:c r="Q23" s="35" t="n">
        <x:v>450</x:v>
      </x:c>
      <x:c r="R23" s="35"/>
      <x:c r="S23" s="35"/>
      <x:c r="T23" s="36" t="n">
        <x:v>0.22</x:v>
      </x:c>
      <x:c r="U23" s="35" t="n">
        <x:v>55</x:v>
      </x:c>
      <x:c r="V23" s="35" t="n">
        <x:v>26.1</x:v>
      </x:c>
      <x:c r="W23" s="35" t="n">
        <x:v>460</x:v>
      </x:c>
      <x:c r="X23" s="35" t="n">
        <x:v>10.4</x:v>
      </x:c>
      <x:c r="Y23" s="37" t="n">
        <x:v>6e-7</x:v>
      </x:c>
      <x:c r="Z23" s="38" t="n">
        <x:v>1480</x:v>
      </x:c>
      <x:c r="AA23" s="38" t="n">
        <x:v>815</x:v>
      </x:c>
      <x:c r="AB23" s="38" t="n">
        <x:v>160</x:v>
      </x:c>
      <x:c r="AC23" s="32" t="n">
        <x:v>2</x:v>
      </x:c>
      <x:c r="AD23" s="32" t="str">
        <x:v>Representative</x:v>
      </x:c>
      <x:c r="AE23" s="8" t="str">
        <x:v>Ferritic stainless, annealed.</x:v>
      </x:c>
      <x:c r="AF23" s="8" t="str">
        <x:f>IFERROR(VLOOKUP(AC23,'Sources'!$A$2:$E$12,5,FALSE),"")</x:f>
        <x:v>https://www.outokumpu.com/en/products/stainless-steel/grades</x:v>
      </x:c>
      <x:c r="AG23" s="32" t="b">
        <x:f>COUNTIF($A$2:$A$127,A23)&gt;1</x:f>
        <x:v>0</x:v>
      </x:c>
    </x:row>
    <x:row r="24">
      <x:c r="A24" s="33" t="n">
        <x:v>1109</x:v>
      </x:c>
      <x:c r="B24" s="32" t="str">
        <x:v>STAINLESS_17_4PH_H900</x:v>
      </x:c>
      <x:c r="C24" s="32" t="str">
        <x:v>17-4 PH stainless steel</x:v>
      </x:c>
      <x:c r="D24" s="32" t="str">
        <x:v>Ferrous metal</x:v>
      </x:c>
      <x:c r="E24" s="32" t="str">
        <x:v>Precipitation-hardening stainless steel</x:v>
      </x:c>
      <x:c r="F24" s="32" t="str">
        <x:v>17-4 PH</x:v>
      </x:c>
      <x:c r="G24" s="32" t="str">
        <x:v>H900 aged</x:v>
      </x:c>
      <x:c r="H24" s="32" t="str">
        <x:v>Isotropic</x:v>
      </x:c>
      <x:c r="I24" s="34" t="n">
        <x:v>7780</x:v>
      </x:c>
      <x:c r="J24" s="35" t="n">
        <x:v>197</x:v>
      </x:c>
      <x:c r="K24" s="35" t="n">
        <x:v>0.27</x:v>
      </x:c>
      <x:c r="L24" s="40"/>
      <x:c r="M24" s="40"/>
      <x:c r="N24" s="39" t="n">
        <x:f>IF(L24&lt;&gt;"",L24,IF(H24&lt;&gt;"Isotropic","",IF(OR(J24="",K24=""),"",J24/(2*(1+K24)))))</x:f>
        <x:v>77.55905511811024</x:v>
      </x:c>
      <x:c r="O24" s="39" t="n">
        <x:f>IF(M24&lt;&gt;"",M24,IF(H24&lt;&gt;"Isotropic","",IF(OR(J24="",K24="",K24&gt;=0.5),"",J24/(3*(1-2*K24)))))</x:f>
        <x:v>142.7536231884058</x:v>
      </x:c>
      <x:c r="P24" s="35" t="n">
        <x:v>1170</x:v>
      </x:c>
      <x:c r="Q24" s="35" t="n">
        <x:v>1310</x:v>
      </x:c>
      <x:c r="R24" s="35"/>
      <x:c r="S24" s="35"/>
      <x:c r="T24" s="36" t="n">
        <x:v>0.1</x:v>
      </x:c>
      <x:c r="U24" s="35" t="n">
        <x:v>55</x:v>
      </x:c>
      <x:c r="V24" s="35" t="n">
        <x:v>18.3</x:v>
      </x:c>
      <x:c r="W24" s="35" t="n">
        <x:v>460</x:v>
      </x:c>
      <x:c r="X24" s="35" t="n">
        <x:v>10.8</x:v>
      </x:c>
      <x:c r="Y24" s="37" t="n">
        <x:v>8e-7</x:v>
      </x:c>
      <x:c r="Z24" s="38" t="n">
        <x:v>1400</x:v>
      </x:c>
      <x:c r="AA24" s="38" t="n">
        <x:v>315</x:v>
      </x:c>
      <x:c r="AB24" s="38" t="n">
        <x:v>420</x:v>
      </x:c>
      <x:c r="AC24" s="32" t="n">
        <x:v>2</x:v>
      </x:c>
      <x:c r="AD24" s="32" t="str">
        <x:v>Representative</x:v>
      </x:c>
      <x:c r="AE24" s="8" t="str">
        <x:v>H900 is high strength with reduced toughness versus overaged conditions.</x:v>
      </x:c>
      <x:c r="AF24" s="8" t="str">
        <x:f>IFERROR(VLOOKUP(AC24,'Sources'!$A$2:$E$12,5,FALSE),"")</x:f>
        <x:v>https://www.outokumpu.com/en/products/stainless-steel/grades</x:v>
      </x:c>
      <x:c r="AG24" s="32" t="b">
        <x:f>COUNTIF($A$2:$A$127,A24)&gt;1</x:f>
        <x:v>0</x:v>
      </x:c>
    </x:row>
    <x:row r="25">
      <x:c r="A25" s="33" t="n">
        <x:v>1110</x:v>
      </x:c>
      <x:c r="B25" s="32" t="str">
        <x:v>STAINLESS_DUPLEX_2205</x:v>
      </x:c>
      <x:c r="C25" s="32" t="str">
        <x:v>2205 duplex stainless steel</x:v>
      </x:c>
      <x:c r="D25" s="32" t="str">
        <x:v>Ferrous metal</x:v>
      </x:c>
      <x:c r="E25" s="32" t="str">
        <x:v>Duplex stainless steel</x:v>
      </x:c>
      <x:c r="F25" s="32" t="str">
        <x:v>UNS S32205/S31803</x:v>
      </x:c>
      <x:c r="G25" s="32" t="str">
        <x:v>Solution annealed</x:v>
      </x:c>
      <x:c r="H25" s="32" t="str">
        <x:v>Isotropic</x:v>
      </x:c>
      <x:c r="I25" s="34" t="n">
        <x:v>7800</x:v>
      </x:c>
      <x:c r="J25" s="35" t="n">
        <x:v>200</x:v>
      </x:c>
      <x:c r="K25" s="35" t="n">
        <x:v>0.3</x:v>
      </x:c>
      <x:c r="L25" s="40"/>
      <x:c r="M25" s="40"/>
      <x:c r="N25" s="39" t="n">
        <x:f>IF(L25&lt;&gt;"",L25,IF(H25&lt;&gt;"Isotropic","",IF(OR(J25="",K25=""),"",J25/(2*(1+K25)))))</x:f>
        <x:v>76.92307692307692</x:v>
      </x:c>
      <x:c r="O25" s="39" t="n">
        <x:f>IF(M25&lt;&gt;"",M25,IF(H25&lt;&gt;"Isotropic","",IF(OR(J25="",K25="",K25&gt;=0.5),"",J25/(3*(1-2*K25)))))</x:f>
        <x:v>166.66666666666663</x:v>
      </x:c>
      <x:c r="P25" s="35" t="n">
        <x:v>450</x:v>
      </x:c>
      <x:c r="Q25" s="35" t="n">
        <x:v>620</x:v>
      </x:c>
      <x:c r="R25" s="35"/>
      <x:c r="S25" s="35"/>
      <x:c r="T25" s="36" t="n">
        <x:v>0.25</x:v>
      </x:c>
      <x:c r="U25" s="35" t="n">
        <x:v>130</x:v>
      </x:c>
      <x:c r="V25" s="35" t="n">
        <x:v>19</x:v>
      </x:c>
      <x:c r="W25" s="35" t="n">
        <x:v>500</x:v>
      </x:c>
      <x:c r="X25" s="35" t="n">
        <x:v>13</x:v>
      </x:c>
      <x:c r="Y25" s="37" t="n">
        <x:v>8.5e-7</x:v>
      </x:c>
      <x:c r="Z25" s="38" t="n">
        <x:v>1400</x:v>
      </x:c>
      <x:c r="AA25" s="38" t="n">
        <x:v>315</x:v>
      </x:c>
      <x:c r="AB25" s="38" t="n">
        <x:v>260</x:v>
      </x:c>
      <x:c r="AC25" s="32" t="n">
        <x:v>2</x:v>
      </x:c>
      <x:c r="AD25" s="32" t="str">
        <x:v>Representative</x:v>
      </x:c>
      <x:c r="AE25" s="8" t="str">
        <x:v>Strength and corrosion performance depend on heat treatment and fabrication.</x:v>
      </x:c>
      <x:c r="AF25" s="8" t="str">
        <x:f>IFERROR(VLOOKUP(AC25,'Sources'!$A$2:$E$12,5,FALSE),"")</x:f>
        <x:v>https://www.outokumpu.com/en/products/stainless-steel/grades</x:v>
      </x:c>
      <x:c r="AG25" s="32" t="b">
        <x:f>COUNTIF($A$2:$A$127,A25)&gt;1</x:f>
        <x:v>0</x:v>
      </x:c>
    </x:row>
    <x:row r="26">
      <x:c r="A26" s="33" t="n">
        <x:v>1201</x:v>
      </x:c>
      <x:c r="B26" s="32" t="str">
        <x:v>CAST_IRON_GRAY_CLASS_30</x:v>
      </x:c>
      <x:c r="C26" s="32" t="str">
        <x:v>Gray cast iron Class 30</x:v>
      </x:c>
      <x:c r="D26" s="32" t="str">
        <x:v>Ferrous metal</x:v>
      </x:c>
      <x:c r="E26" s="32" t="str">
        <x:v>Gray cast iron</x:v>
      </x:c>
      <x:c r="F26" s="32" t="str">
        <x:v>ASTM A48 Class 30</x:v>
      </x:c>
      <x:c r="G26" s="32" t="str">
        <x:v>As cast</x:v>
      </x:c>
      <x:c r="H26" s="32" t="str">
        <x:v>Isotropic</x:v>
      </x:c>
      <x:c r="I26" s="34" t="n">
        <x:v>7200</x:v>
      </x:c>
      <x:c r="J26" s="35" t="n">
        <x:v>110</x:v>
      </x:c>
      <x:c r="K26" s="35" t="n">
        <x:v>0.26</x:v>
      </x:c>
      <x:c r="L26" s="40"/>
      <x:c r="M26" s="40"/>
      <x:c r="N26" s="39" t="n">
        <x:f>IF(L26&lt;&gt;"",L26,IF(H26&lt;&gt;"Isotropic","",IF(OR(J26="",K26=""),"",J26/(2*(1+K26)))))</x:f>
        <x:v>43.65079365079365</x:v>
      </x:c>
      <x:c r="O26" s="39" t="n">
        <x:f>IF(M26&lt;&gt;"",M26,IF(H26&lt;&gt;"Isotropic","",IF(OR(J26="",K26="",K26&gt;=0.5),"",J26/(3*(1-2*K26)))))</x:f>
        <x:v>76.38888888888889</x:v>
      </x:c>
      <x:c r="P26" s="35"/>
      <x:c r="Q26" s="35" t="n">
        <x:v>214</x:v>
      </x:c>
      <x:c r="R26" s="35" t="n">
        <x:v>750</x:v>
      </x:c>
      <x:c r="S26" s="35" t="n">
        <x:v>300</x:v>
      </x:c>
      <x:c r="T26" s="36" t="n">
        <x:v>0.005</x:v>
      </x:c>
      <x:c r="U26" s="35" t="n">
        <x:v>20</x:v>
      </x:c>
      <x:c r="V26" s="35" t="n">
        <x:v>53</x:v>
      </x:c>
      <x:c r="W26" s="35" t="n">
        <x:v>460</x:v>
      </x:c>
      <x:c r="X26" s="35" t="n">
        <x:v>10.5</x:v>
      </x:c>
      <x:c r="Y26" s="37" t="n">
        <x:v>8e-7</x:v>
      </x:c>
      <x:c r="Z26" s="38" t="n">
        <x:v>1150</x:v>
      </x:c>
      <x:c r="AA26" s="38" t="n">
        <x:v>400</x:v>
      </x:c>
      <x:c r="AB26" s="38" t="n">
        <x:v>210</x:v>
      </x:c>
      <x:c r="AC26" s="32" t="n">
        <x:v>1</x:v>
      </x:c>
      <x:c r="AD26" s="32" t="str">
        <x:v>Approximate</x:v>
      </x:c>
      <x:c r="AE26" s="8" t="str">
        <x:v>Brittle material; tensile and compressive response are asymmetric.</x:v>
      </x:c>
      <x:c r="AF26" s="8" t="str">
        <x:f>IFERROR(VLOOKUP(AC26,'Sources'!$A$2:$E$12,5,FALSE),"")</x:f>
        <x:v>https://www.matweb.com/search/MaterialGroupSearch.aspx</x:v>
      </x:c>
      <x:c r="AG26" s="32" t="b">
        <x:f>COUNTIF($A$2:$A$127,A26)&gt;1</x:f>
        <x:v>0</x:v>
      </x:c>
    </x:row>
    <x:row r="27">
      <x:c r="A27" s="33" t="n">
        <x:v>1202</x:v>
      </x:c>
      <x:c r="B27" s="32" t="str">
        <x:v>CAST_IRON_DUCTILE_65_45_12</x:v>
      </x:c>
      <x:c r="C27" s="32" t="str">
        <x:v>Ductile cast iron 65-45-12</x:v>
      </x:c>
      <x:c r="D27" s="32" t="str">
        <x:v>Ferrous metal</x:v>
      </x:c>
      <x:c r="E27" s="32" t="str">
        <x:v>Ductile cast iron</x:v>
      </x:c>
      <x:c r="F27" s="32" t="str">
        <x:v>ASTM A536 65-45-12</x:v>
      </x:c>
      <x:c r="G27" s="32" t="str">
        <x:v>Ferritic, as cast/annealed</x:v>
      </x:c>
      <x:c r="H27" s="32" t="str">
        <x:v>Isotropic</x:v>
      </x:c>
      <x:c r="I27" s="34" t="n">
        <x:v>7100</x:v>
      </x:c>
      <x:c r="J27" s="35" t="n">
        <x:v>169</x:v>
      </x:c>
      <x:c r="K27" s="35" t="n">
        <x:v>0.29</x:v>
      </x:c>
      <x:c r="L27" s="40"/>
      <x:c r="M27" s="40"/>
      <x:c r="N27" s="39" t="n">
        <x:f>IF(L27&lt;&gt;"",L27,IF(H27&lt;&gt;"Isotropic","",IF(OR(J27="",K27=""),"",J27/(2*(1+K27)))))</x:f>
        <x:v>65.50387596899225</x:v>
      </x:c>
      <x:c r="O27" s="39" t="n">
        <x:f>IF(M27&lt;&gt;"",M27,IF(H27&lt;&gt;"Isotropic","",IF(OR(J27="",K27="",K27&gt;=0.5),"",J27/(3*(1-2*K27)))))</x:f>
        <x:v>134.1269841269841</x:v>
      </x:c>
      <x:c r="P27" s="35" t="n">
        <x:v>310</x:v>
      </x:c>
      <x:c r="Q27" s="35" t="n">
        <x:v>450</x:v>
      </x:c>
      <x:c r="R27" s="35" t="n">
        <x:v>700</x:v>
      </x:c>
      <x:c r="S27" s="35"/>
      <x:c r="T27" s="36" t="n">
        <x:v>0.12</x:v>
      </x:c>
      <x:c r="U27" s="35" t="n">
        <x:v>35</x:v>
      </x:c>
      <x:c r="V27" s="35" t="n">
        <x:v>36</x:v>
      </x:c>
      <x:c r="W27" s="35" t="n">
        <x:v>460</x:v>
      </x:c>
      <x:c r="X27" s="35" t="n">
        <x:v>11</x:v>
      </x:c>
      <x:c r="Y27" s="37" t="n">
        <x:v>6e-7</x:v>
      </x:c>
      <x:c r="Z27" s="38" t="n">
        <x:v>1150</x:v>
      </x:c>
      <x:c r="AA27" s="38" t="n">
        <x:v>400</x:v>
      </x:c>
      <x:c r="AB27" s="38" t="n">
        <x:v>170</x:v>
      </x:c>
      <x:c r="AC27" s="32" t="n">
        <x:v>1</x:v>
      </x:c>
      <x:c r="AD27" s="32" t="str">
        <x:v>Representative</x:v>
      </x:c>
      <x:c r="AE27" s="8" t="str">
        <x:v>Minimum grade strengths are distinct from nominal screening values.</x:v>
      </x:c>
      <x:c r="AF27" s="8" t="str">
        <x:f>IFERROR(VLOOKUP(AC27,'Sources'!$A$2:$E$12,5,FALSE),"")</x:f>
        <x:v>https://www.matweb.com/search/MaterialGroupSearch.aspx</x:v>
      </x:c>
      <x:c r="AG27" s="32" t="b">
        <x:f>COUNTIF($A$2:$A$127,A27)&gt;1</x:f>
        <x:v>0</x:v>
      </x:c>
    </x:row>
    <x:row r="28">
      <x:c r="A28" s="33" t="n">
        <x:v>1203</x:v>
      </x:c>
      <x:c r="B28" s="32" t="str">
        <x:v>CAST_IRON_COMPACTED_GRAPHITE</x:v>
      </x:c>
      <x:c r="C28" s="32" t="str">
        <x:v>Compacted graphite iron</x:v>
      </x:c>
      <x:c r="D28" s="32" t="str">
        <x:v>Ferrous metal</x:v>
      </x:c>
      <x:c r="E28" s="32" t="str">
        <x:v>Compacted graphite iron</x:v>
      </x:c>
      <x:c r="F28" s="32" t="str">
        <x:v>Typical CGI</x:v>
      </x:c>
      <x:c r="G28" s="32" t="str">
        <x:v>As cast</x:v>
      </x:c>
      <x:c r="H28" s="32" t="str">
        <x:v>Isotropic</x:v>
      </x:c>
      <x:c r="I28" s="34" t="n">
        <x:v>7250</x:v>
      </x:c>
      <x:c r="J28" s="35" t="n">
        <x:v>150</x:v>
      </x:c>
      <x:c r="K28" s="35" t="n">
        <x:v>0.27</x:v>
      </x:c>
      <x:c r="L28" s="40"/>
      <x:c r="M28" s="40"/>
      <x:c r="N28" s="39" t="n">
        <x:f>IF(L28&lt;&gt;"",L28,IF(H28&lt;&gt;"Isotropic","",IF(OR(J28="",K28=""),"",J28/(2*(1+K28)))))</x:f>
        <x:v>59.05511811023622</x:v>
      </x:c>
      <x:c r="O28" s="39" t="n">
        <x:f>IF(M28&lt;&gt;"",M28,IF(H28&lt;&gt;"Isotropic","",IF(OR(J28="",K28="",K28&gt;=0.5),"",J28/(3*(1-2*K28)))))</x:f>
        <x:v>108.69565217391305</x:v>
      </x:c>
      <x:c r="P28" s="35" t="n">
        <x:v>350</x:v>
      </x:c>
      <x:c r="Q28" s="35" t="n">
        <x:v>500</x:v>
      </x:c>
      <x:c r="R28" s="35" t="n">
        <x:v>1000</x:v>
      </x:c>
      <x:c r="S28" s="35" t="n">
        <x:v>550</x:v>
      </x:c>
      <x:c r="T28" s="36" t="n">
        <x:v>0.03</x:v>
      </x:c>
      <x:c r="U28" s="35" t="n">
        <x:v>25</x:v>
      </x:c>
      <x:c r="V28" s="35" t="n">
        <x:v>42</x:v>
      </x:c>
      <x:c r="W28" s="35" t="n">
        <x:v>460</x:v>
      </x:c>
      <x:c r="X28" s="35" t="n">
        <x:v>11</x:v>
      </x:c>
      <x:c r="Y28" s="37" t="n">
        <x:v>7e-7</x:v>
      </x:c>
      <x:c r="Z28" s="38" t="n">
        <x:v>1150</x:v>
      </x:c>
      <x:c r="AA28" s="38" t="n">
        <x:v>450</x:v>
      </x:c>
      <x:c r="AB28" s="38" t="n">
        <x:v>220</x:v>
      </x:c>
      <x:c r="AC28" s="32" t="n">
        <x:v>1</x:v>
      </x:c>
      <x:c r="AD28" s="32" t="str">
        <x:v>Approximate</x:v>
      </x:c>
      <x:c r="AE28" s="8" t="str">
        <x:v>Grade and graphite morphology affect properties.</x:v>
      </x:c>
      <x:c r="AF28" s="8" t="str">
        <x:f>IFERROR(VLOOKUP(AC28,'Sources'!$A$2:$E$12,5,FALSE),"")</x:f>
        <x:v>https://www.matweb.com/search/MaterialGroupSearch.aspx</x:v>
      </x:c>
      <x:c r="AG28" s="32" t="b">
        <x:f>COUNTIF($A$2:$A$127,A28)&gt;1</x:f>
        <x:v>0</x:v>
      </x:c>
    </x:row>
    <x:row r="29">
      <x:c r="A29" s="33" t="n">
        <x:v>2001</x:v>
      </x:c>
      <x:c r="B29" s="32" t="str">
        <x:v>ALUMINUM_1100_H14</x:v>
      </x:c>
      <x:c r="C29" s="32" t="str">
        <x:v>Aluminum 1100-H14</x:v>
      </x:c>
      <x:c r="D29" s="32" t="str">
        <x:v>Nonferrous metal</x:v>
      </x:c>
      <x:c r="E29" s="32" t="str">
        <x:v>Aluminum alloy</x:v>
      </x:c>
      <x:c r="F29" s="32" t="str">
        <x:v>AA 1100-H14</x:v>
      </x:c>
      <x:c r="G29" s="32" t="str">
        <x:v>Strain hardened</x:v>
      </x:c>
      <x:c r="H29" s="32" t="str">
        <x:v>Isotropic</x:v>
      </x:c>
      <x:c r="I29" s="34" t="n">
        <x:v>2710</x:v>
      </x:c>
      <x:c r="J29" s="35" t="n">
        <x:v>69</x:v>
      </x:c>
      <x:c r="K29" s="35" t="n">
        <x:v>0.33</x:v>
      </x:c>
      <x:c r="L29" s="40"/>
      <x:c r="M29" s="40"/>
      <x:c r="N29" s="39" t="n">
        <x:f>IF(L29&lt;&gt;"",L29,IF(H29&lt;&gt;"Isotropic","",IF(OR(J29="",K29=""),"",J29/(2*(1+K29)))))</x:f>
        <x:v>25.939849624060148</x:v>
      </x:c>
      <x:c r="O29" s="39" t="n">
        <x:f>IF(M29&lt;&gt;"",M29,IF(H29&lt;&gt;"Isotropic","",IF(OR(J29="",K29="",K29&gt;=0.5),"",J29/(3*(1-2*K29)))))</x:f>
        <x:v>67.6470588235294</x:v>
      </x:c>
      <x:c r="P29" s="35" t="n">
        <x:v>95</x:v>
      </x:c>
      <x:c r="Q29" s="35" t="n">
        <x:v>110</x:v>
      </x:c>
      <x:c r="R29" s="35"/>
      <x:c r="S29" s="35"/>
      <x:c r="T29" s="36" t="n">
        <x:v>0.12</x:v>
      </x:c>
      <x:c r="U29" s="35" t="n">
        <x:v>25</x:v>
      </x:c>
      <x:c r="V29" s="35" t="n">
        <x:v>222</x:v>
      </x:c>
      <x:c r="W29" s="35" t="n">
        <x:v>904</x:v>
      </x:c>
      <x:c r="X29" s="35" t="n">
        <x:v>23.6</x:v>
      </x:c>
      <x:c r="Y29" s="37" t="n">
        <x:v>2.82e-8</x:v>
      </x:c>
      <x:c r="Z29" s="38" t="n">
        <x:v>657</x:v>
      </x:c>
      <x:c r="AA29" s="38" t="n">
        <x:v>200</x:v>
      </x:c>
      <x:c r="AB29" s="38" t="n">
        <x:v>32</x:v>
      </x:c>
      <x:c r="AC29" s="32" t="n">
        <x:v>10</x:v>
      </x:c>
      <x:c r="AD29" s="32" t="str">
        <x:v>Representative</x:v>
      </x:c>
      <x:c r="AE29" s="8" t="str">
        <x:v>Commercially pure aluminum.</x:v>
      </x:c>
      <x:c r="AF29" s="8" t="str">
        <x:f>IFERROR(VLOOKUP(AC29,'Sources'!$A$2:$E$12,5,FALSE),"")</x:f>
        <x:v>https://www.aluminum.org/industry-standards/aluminum-alloys-101</x:v>
      </x:c>
      <x:c r="AG29" s="32" t="b">
        <x:f>COUNTIF($A$2:$A$127,A29)&gt;1</x:f>
        <x:v>0</x:v>
      </x:c>
    </x:row>
    <x:row r="30">
      <x:c r="A30" s="33" t="n">
        <x:v>2002</x:v>
      </x:c>
      <x:c r="B30" s="32" t="str">
        <x:v>ALUMINUM_2024_T3</x:v>
      </x:c>
      <x:c r="C30" s="32" t="str">
        <x:v>Aluminum 2024-T3</x:v>
      </x:c>
      <x:c r="D30" s="32" t="str">
        <x:v>Nonferrous metal</x:v>
      </x:c>
      <x:c r="E30" s="32" t="str">
        <x:v>Aluminum alloy</x:v>
      </x:c>
      <x:c r="F30" s="32" t="str">
        <x:v>AA 2024-T3</x:v>
      </x:c>
      <x:c r="G30" s="32" t="str">
        <x:v>Solution heat-treated, cold worked, naturally aged</x:v>
      </x:c>
      <x:c r="H30" s="32" t="str">
        <x:v>Isotropic</x:v>
      </x:c>
      <x:c r="I30" s="34" t="n">
        <x:v>2780</x:v>
      </x:c>
      <x:c r="J30" s="35" t="n">
        <x:v>73.1</x:v>
      </x:c>
      <x:c r="K30" s="35" t="n">
        <x:v>0.33</x:v>
      </x:c>
      <x:c r="L30" s="40"/>
      <x:c r="M30" s="40"/>
      <x:c r="N30" s="39" t="n">
        <x:f>IF(L30&lt;&gt;"",L30,IF(H30&lt;&gt;"Isotropic","",IF(OR(J30="",K30=""),"",J30/(2*(1+K30)))))</x:f>
        <x:v>27.481203007518793</x:v>
      </x:c>
      <x:c r="O30" s="39" t="n">
        <x:f>IF(M30&lt;&gt;"",M30,IF(H30&lt;&gt;"Isotropic","",IF(OR(J30="",K30="",K30&gt;=0.5),"",J30/(3*(1-2*K30)))))</x:f>
        <x:v>71.66666666666666</x:v>
      </x:c>
      <x:c r="P30" s="35" t="n">
        <x:v>345</x:v>
      </x:c>
      <x:c r="Q30" s="35" t="n">
        <x:v>483</x:v>
      </x:c>
      <x:c r="R30" s="35"/>
      <x:c r="S30" s="35"/>
      <x:c r="T30" s="36" t="n">
        <x:v>0.18</x:v>
      </x:c>
      <x:c r="U30" s="35" t="n">
        <x:v>35</x:v>
      </x:c>
      <x:c r="V30" s="35" t="n">
        <x:v>121</x:v>
      </x:c>
      <x:c r="W30" s="35" t="n">
        <x:v>875</x:v>
      </x:c>
      <x:c r="X30" s="35" t="n">
        <x:v>23.2</x:v>
      </x:c>
      <x:c r="Y30" s="37" t="n">
        <x:v>5.8e-8</x:v>
      </x:c>
      <x:c r="Z30" s="38" t="n">
        <x:v>502</x:v>
      </x:c>
      <x:c r="AA30" s="38" t="n">
        <x:v>150</x:v>
      </x:c>
      <x:c r="AB30" s="38" t="n">
        <x:v>137</x:v>
      </x:c>
      <x:c r="AC30" s="32" t="n">
        <x:v>10</x:v>
      </x:c>
      <x:c r="AD30" s="32" t="str">
        <x:v>Representative</x:v>
      </x:c>
      <x:c r="AE30" s="8" t="str">
        <x:v>Clad and bare products differ; fatigue/corrosion require dedicated data.</x:v>
      </x:c>
      <x:c r="AF30" s="8" t="str">
        <x:f>IFERROR(VLOOKUP(AC30,'Sources'!$A$2:$E$12,5,FALSE),"")</x:f>
        <x:v>https://www.aluminum.org/industry-standards/aluminum-alloys-101</x:v>
      </x:c>
      <x:c r="AG30" s="32" t="b">
        <x:f>COUNTIF($A$2:$A$127,A30)&gt;1</x:f>
        <x:v>0</x:v>
      </x:c>
    </x:row>
    <x:row r="31">
      <x:c r="A31" s="33" t="n">
        <x:v>2003</x:v>
      </x:c>
      <x:c r="B31" s="32" t="str">
        <x:v>ALUMINUM_3003_H14</x:v>
      </x:c>
      <x:c r="C31" s="32" t="str">
        <x:v>Aluminum 3003-H14</x:v>
      </x:c>
      <x:c r="D31" s="32" t="str">
        <x:v>Nonferrous metal</x:v>
      </x:c>
      <x:c r="E31" s="32" t="str">
        <x:v>Aluminum alloy</x:v>
      </x:c>
      <x:c r="F31" s="32" t="str">
        <x:v>AA 3003-H14</x:v>
      </x:c>
      <x:c r="G31" s="32" t="str">
        <x:v>Strain hardened</x:v>
      </x:c>
      <x:c r="H31" s="32" t="str">
        <x:v>Isotropic</x:v>
      </x:c>
      <x:c r="I31" s="34" t="n">
        <x:v>2730</x:v>
      </x:c>
      <x:c r="J31" s="35" t="n">
        <x:v>69</x:v>
      </x:c>
      <x:c r="K31" s="35" t="n">
        <x:v>0.33</x:v>
      </x:c>
      <x:c r="L31" s="40"/>
      <x:c r="M31" s="40"/>
      <x:c r="N31" s="39" t="n">
        <x:f>IF(L31&lt;&gt;"",L31,IF(H31&lt;&gt;"Isotropic","",IF(OR(J31="",K31=""),"",J31/(2*(1+K31)))))</x:f>
        <x:v>25.939849624060148</x:v>
      </x:c>
      <x:c r="O31" s="39" t="n">
        <x:f>IF(M31&lt;&gt;"",M31,IF(H31&lt;&gt;"Isotropic","",IF(OR(J31="",K31="",K31&gt;=0.5),"",J31/(3*(1-2*K31)))))</x:f>
        <x:v>67.6470588235294</x:v>
      </x:c>
      <x:c r="P31" s="35" t="n">
        <x:v>145</x:v>
      </x:c>
      <x:c r="Q31" s="35" t="n">
        <x:v>152</x:v>
      </x:c>
      <x:c r="R31" s="35"/>
      <x:c r="S31" s="35"/>
      <x:c r="T31" s="36" t="n">
        <x:v>0.08</x:v>
      </x:c>
      <x:c r="U31" s="35" t="n">
        <x:v>25</x:v>
      </x:c>
      <x:c r="V31" s="35" t="n">
        <x:v>193</x:v>
      </x:c>
      <x:c r="W31" s="35" t="n">
        <x:v>893</x:v>
      </x:c>
      <x:c r="X31" s="35" t="n">
        <x:v>23.2</x:v>
      </x:c>
      <x:c r="Y31" s="37" t="n">
        <x:v>3.4e-8</x:v>
      </x:c>
      <x:c r="Z31" s="38" t="n">
        <x:v>643</x:v>
      </x:c>
      <x:c r="AA31" s="38" t="n">
        <x:v>175</x:v>
      </x:c>
      <x:c r="AB31" s="38" t="n">
        <x:v>40</x:v>
      </x:c>
      <x:c r="AC31" s="32" t="n">
        <x:v>10</x:v>
      </x:c>
      <x:c r="AD31" s="32" t="str">
        <x:v>Representative</x:v>
      </x:c>
      <x:c r="AE31" s="8" t="str">
        <x:v>Sheet typical values.</x:v>
      </x:c>
      <x:c r="AF31" s="8" t="str">
        <x:f>IFERROR(VLOOKUP(AC31,'Sources'!$A$2:$E$12,5,FALSE),"")</x:f>
        <x:v>https://www.aluminum.org/industry-standards/aluminum-alloys-101</x:v>
      </x:c>
      <x:c r="AG31" s="32" t="b">
        <x:f>COUNTIF($A$2:$A$127,A31)&gt;1</x:f>
        <x:v>0</x:v>
      </x:c>
    </x:row>
    <x:row r="32">
      <x:c r="A32" s="33" t="n">
        <x:v>2004</x:v>
      </x:c>
      <x:c r="B32" s="32" t="str">
        <x:v>ALUMINUM_5052_H32</x:v>
      </x:c>
      <x:c r="C32" s="32" t="str">
        <x:v>Aluminum 5052-H32</x:v>
      </x:c>
      <x:c r="D32" s="32" t="str">
        <x:v>Nonferrous metal</x:v>
      </x:c>
      <x:c r="E32" s="32" t="str">
        <x:v>Aluminum alloy</x:v>
      </x:c>
      <x:c r="F32" s="32" t="str">
        <x:v>AA 5052-H32</x:v>
      </x:c>
      <x:c r="G32" s="32" t="str">
        <x:v>Strain hardened and stabilized</x:v>
      </x:c>
      <x:c r="H32" s="32" t="str">
        <x:v>Isotropic</x:v>
      </x:c>
      <x:c r="I32" s="34" t="n">
        <x:v>2680</x:v>
      </x:c>
      <x:c r="J32" s="35" t="n">
        <x:v>70.3</x:v>
      </x:c>
      <x:c r="K32" s="35" t="n">
        <x:v>0.33</x:v>
      </x:c>
      <x:c r="L32" s="40"/>
      <x:c r="M32" s="40"/>
      <x:c r="N32" s="39" t="n">
        <x:f>IF(L32&lt;&gt;"",L32,IF(H32&lt;&gt;"Isotropic","",IF(OR(J32="",K32=""),"",J32/(2*(1+K32)))))</x:f>
        <x:v>26.428571428571427</x:v>
      </x:c>
      <x:c r="O32" s="39" t="n">
        <x:f>IF(M32&lt;&gt;"",M32,IF(H32&lt;&gt;"Isotropic","",IF(OR(J32="",K32="",K32&gt;=0.5),"",J32/(3*(1-2*K32)))))</x:f>
        <x:v>68.92156862745098</x:v>
      </x:c>
      <x:c r="P32" s="35" t="n">
        <x:v>193</x:v>
      </x:c>
      <x:c r="Q32" s="35" t="n">
        <x:v>228</x:v>
      </x:c>
      <x:c r="R32" s="35"/>
      <x:c r="S32" s="35"/>
      <x:c r="T32" s="36" t="n">
        <x:v>0.12</x:v>
      </x:c>
      <x:c r="U32" s="35" t="n">
        <x:v>30</x:v>
      </x:c>
      <x:c r="V32" s="35" t="n">
        <x:v>138</x:v>
      </x:c>
      <x:c r="W32" s="35" t="n">
        <x:v>880</x:v>
      </x:c>
      <x:c r="X32" s="35" t="n">
        <x:v>23.8</x:v>
      </x:c>
      <x:c r="Y32" s="37" t="n">
        <x:v>4.9e-8</x:v>
      </x:c>
      <x:c r="Z32" s="38" t="n">
        <x:v>607</x:v>
      </x:c>
      <x:c r="AA32" s="38" t="n">
        <x:v>150</x:v>
      </x:c>
      <x:c r="AB32" s="38" t="n">
        <x:v>68</x:v>
      </x:c>
      <x:c r="AC32" s="32" t="n">
        <x:v>10</x:v>
      </x:c>
      <x:c r="AD32" s="32" t="str">
        <x:v>Representative</x:v>
      </x:c>
      <x:c r="AE32" s="8" t="str">
        <x:v>Marine sheet alloy screening values.</x:v>
      </x:c>
      <x:c r="AF32" s="8" t="str">
        <x:f>IFERROR(VLOOKUP(AC32,'Sources'!$A$2:$E$12,5,FALSE),"")</x:f>
        <x:v>https://www.aluminum.org/industry-standards/aluminum-alloys-101</x:v>
      </x:c>
      <x:c r="AG32" s="32" t="b">
        <x:f>COUNTIF($A$2:$A$127,A32)&gt;1</x:f>
        <x:v>0</x:v>
      </x:c>
    </x:row>
    <x:row r="33">
      <x:c r="A33" s="33" t="n">
        <x:v>2005</x:v>
      </x:c>
      <x:c r="B33" s="32" t="str">
        <x:v>ALUMINUM_5083_H116</x:v>
      </x:c>
      <x:c r="C33" s="32" t="str">
        <x:v>Aluminum 5083-H116</x:v>
      </x:c>
      <x:c r="D33" s="32" t="str">
        <x:v>Nonferrous metal</x:v>
      </x:c>
      <x:c r="E33" s="32" t="str">
        <x:v>Aluminum alloy</x:v>
      </x:c>
      <x:c r="F33" s="32" t="str">
        <x:v>AA 5083-H116</x:v>
      </x:c>
      <x:c r="G33" s="32" t="str">
        <x:v>Marine plate temper</x:v>
      </x:c>
      <x:c r="H33" s="32" t="str">
        <x:v>Isotropic</x:v>
      </x:c>
      <x:c r="I33" s="34" t="n">
        <x:v>2660</x:v>
      </x:c>
      <x:c r="J33" s="35" t="n">
        <x:v>71</x:v>
      </x:c>
      <x:c r="K33" s="35" t="n">
        <x:v>0.33</x:v>
      </x:c>
      <x:c r="L33" s="40"/>
      <x:c r="M33" s="40"/>
      <x:c r="N33" s="39" t="n">
        <x:f>IF(L33&lt;&gt;"",L33,IF(H33&lt;&gt;"Isotropic","",IF(OR(J33="",K33=""),"",J33/(2*(1+K33)))))</x:f>
        <x:v>26.69172932330827</x:v>
      </x:c>
      <x:c r="O33" s="39" t="n">
        <x:f>IF(M33&lt;&gt;"",M33,IF(H33&lt;&gt;"Isotropic","",IF(OR(J33="",K33="",K33&gt;=0.5),"",J33/(3*(1-2*K33)))))</x:f>
        <x:v>69.6078431372549</x:v>
      </x:c>
      <x:c r="P33" s="35" t="n">
        <x:v>215</x:v>
      </x:c>
      <x:c r="Q33" s="35" t="n">
        <x:v>305</x:v>
      </x:c>
      <x:c r="R33" s="35"/>
      <x:c r="S33" s="35"/>
      <x:c r="T33" s="36" t="n">
        <x:v>0.12</x:v>
      </x:c>
      <x:c r="U33" s="35" t="n">
        <x:v>32</x:v>
      </x:c>
      <x:c r="V33" s="35" t="n">
        <x:v>117</x:v>
      </x:c>
      <x:c r="W33" s="35" t="n">
        <x:v>900</x:v>
      </x:c>
      <x:c r="X33" s="35" t="n">
        <x:v>23.5</x:v>
      </x:c>
      <x:c r="Y33" s="37" t="n">
        <x:v>5.9e-8</x:v>
      </x:c>
      <x:c r="Z33" s="38" t="n">
        <x:v>590</x:v>
      </x:c>
      <x:c r="AA33" s="38" t="n">
        <x:v>150</x:v>
      </x:c>
      <x:c r="AB33" s="38" t="n">
        <x:v>90</x:v>
      </x:c>
      <x:c r="AC33" s="32" t="n">
        <x:v>10</x:v>
      </x:c>
      <x:c r="AD33" s="32" t="str">
        <x:v>Representative</x:v>
      </x:c>
      <x:c r="AE33" s="8" t="str">
        <x:v>Plate thickness and welding reduce local strength.</x:v>
      </x:c>
      <x:c r="AF33" s="8" t="str">
        <x:f>IFERROR(VLOOKUP(AC33,'Sources'!$A$2:$E$12,5,FALSE),"")</x:f>
        <x:v>https://www.aluminum.org/industry-standards/aluminum-alloys-101</x:v>
      </x:c>
      <x:c r="AG33" s="32" t="b">
        <x:f>COUNTIF($A$2:$A$127,A33)&gt;1</x:f>
        <x:v>0</x:v>
      </x:c>
    </x:row>
    <x:row r="34">
      <x:c r="A34" s="33" t="n">
        <x:v>2006</x:v>
      </x:c>
      <x:c r="B34" s="32" t="str">
        <x:v>ALUMINUM_6061_T6</x:v>
      </x:c>
      <x:c r="C34" s="32" t="str">
        <x:v>Aluminum 6061-T6</x:v>
      </x:c>
      <x:c r="D34" s="32" t="str">
        <x:v>Nonferrous metal</x:v>
      </x:c>
      <x:c r="E34" s="32" t="str">
        <x:v>Aluminum alloy</x:v>
      </x:c>
      <x:c r="F34" s="32" t="str">
        <x:v>AA 6061-T6</x:v>
      </x:c>
      <x:c r="G34" s="32" t="str">
        <x:v>Solution heat-treated and artificially aged</x:v>
      </x:c>
      <x:c r="H34" s="32" t="str">
        <x:v>Isotropic</x:v>
      </x:c>
      <x:c r="I34" s="34" t="n">
        <x:v>2700</x:v>
      </x:c>
      <x:c r="J34" s="35" t="n">
        <x:v>68.9</x:v>
      </x:c>
      <x:c r="K34" s="35" t="n">
        <x:v>0.33</x:v>
      </x:c>
      <x:c r="L34" s="40"/>
      <x:c r="M34" s="40"/>
      <x:c r="N34" s="39" t="n">
        <x:f>IF(L34&lt;&gt;"",L34,IF(H34&lt;&gt;"Isotropic","",IF(OR(J34="",K34=""),"",J34/(2*(1+K34)))))</x:f>
        <x:v>25.902255639097746</x:v>
      </x:c>
      <x:c r="O34" s="39" t="n">
        <x:f>IF(M34&lt;&gt;"",M34,IF(H34&lt;&gt;"Isotropic","",IF(OR(J34="",K34="",K34&gt;=0.5),"",J34/(3*(1-2*K34)))))</x:f>
        <x:v>67.54901960784314</x:v>
      </x:c>
      <x:c r="P34" s="35" t="n">
        <x:v>276</x:v>
      </x:c>
      <x:c r="Q34" s="35" t="n">
        <x:v>310</x:v>
      </x:c>
      <x:c r="R34" s="35"/>
      <x:c r="S34" s="35"/>
      <x:c r="T34" s="36" t="n">
        <x:v>0.12</x:v>
      </x:c>
      <x:c r="U34" s="35" t="n">
        <x:v>29</x:v>
      </x:c>
      <x:c r="V34" s="35" t="n">
        <x:v>167</x:v>
      </x:c>
      <x:c r="W34" s="35" t="n">
        <x:v>896</x:v>
      </x:c>
      <x:c r="X34" s="35" t="n">
        <x:v>23.6</x:v>
      </x:c>
      <x:c r="Y34" s="37" t="n">
        <x:v>4e-8</x:v>
      </x:c>
      <x:c r="Z34" s="38" t="n">
        <x:v>582</x:v>
      </x:c>
      <x:c r="AA34" s="38" t="n">
        <x:v>150</x:v>
      </x:c>
      <x:c r="AB34" s="38" t="n">
        <x:v>107</x:v>
      </x:c>
      <x:c r="AC34" s="32" t="n">
        <x:v>10</x:v>
      </x:c>
      <x:c r="AD34" s="32" t="str">
        <x:v>Representative</x:v>
      </x:c>
      <x:c r="AE34" s="8" t="str">
        <x:v>Common wrought product screening values.</x:v>
      </x:c>
      <x:c r="AF34" s="8" t="str">
        <x:f>IFERROR(VLOOKUP(AC34,'Sources'!$A$2:$E$12,5,FALSE),"")</x:f>
        <x:v>https://www.aluminum.org/industry-standards/aluminum-alloys-101</x:v>
      </x:c>
      <x:c r="AG34" s="32" t="b">
        <x:f>COUNTIF($A$2:$A$127,A34)&gt;1</x:f>
        <x:v>0</x:v>
      </x:c>
    </x:row>
    <x:row r="35">
      <x:c r="A35" s="33" t="n">
        <x:v>2007</x:v>
      </x:c>
      <x:c r="B35" s="32" t="str">
        <x:v>ALUMINUM_6063_T5</x:v>
      </x:c>
      <x:c r="C35" s="32" t="str">
        <x:v>Aluminum 6063-T5</x:v>
      </x:c>
      <x:c r="D35" s="32" t="str">
        <x:v>Nonferrous metal</x:v>
      </x:c>
      <x:c r="E35" s="32" t="str">
        <x:v>Aluminum alloy</x:v>
      </x:c>
      <x:c r="F35" s="32" t="str">
        <x:v>AA 6063-T5</x:v>
      </x:c>
      <x:c r="G35" s="32" t="str">
        <x:v>Cooled from forming and artificially aged</x:v>
      </x:c>
      <x:c r="H35" s="32" t="str">
        <x:v>Isotropic</x:v>
      </x:c>
      <x:c r="I35" s="34" t="n">
        <x:v>2700</x:v>
      </x:c>
      <x:c r="J35" s="35" t="n">
        <x:v>68.9</x:v>
      </x:c>
      <x:c r="K35" s="35" t="n">
        <x:v>0.33</x:v>
      </x:c>
      <x:c r="L35" s="40"/>
      <x:c r="M35" s="40"/>
      <x:c r="N35" s="39" t="n">
        <x:f>IF(L35&lt;&gt;"",L35,IF(H35&lt;&gt;"Isotropic","",IF(OR(J35="",K35=""),"",J35/(2*(1+K35)))))</x:f>
        <x:v>25.902255639097746</x:v>
      </x:c>
      <x:c r="O35" s="39" t="n">
        <x:f>IF(M35&lt;&gt;"",M35,IF(H35&lt;&gt;"Isotropic","",IF(OR(J35="",K35="",K35&gt;=0.5),"",J35/(3*(1-2*K35)))))</x:f>
        <x:v>67.54901960784314</x:v>
      </x:c>
      <x:c r="P35" s="35" t="n">
        <x:v>145</x:v>
      </x:c>
      <x:c r="Q35" s="35" t="n">
        <x:v>186</x:v>
      </x:c>
      <x:c r="R35" s="35"/>
      <x:c r="S35" s="35"/>
      <x:c r="T35" s="36" t="n">
        <x:v>0.12</x:v>
      </x:c>
      <x:c r="U35" s="35" t="n">
        <x:v>25</x:v>
      </x:c>
      <x:c r="V35" s="35" t="n">
        <x:v>201</x:v>
      </x:c>
      <x:c r="W35" s="35" t="n">
        <x:v>900</x:v>
      </x:c>
      <x:c r="X35" s="35" t="n">
        <x:v>23.5</x:v>
      </x:c>
      <x:c r="Y35" s="37" t="n">
        <x:v>3.3e-8</x:v>
      </x:c>
      <x:c r="Z35" s="38" t="n">
        <x:v>616</x:v>
      </x:c>
      <x:c r="AA35" s="38" t="n">
        <x:v>150</x:v>
      </x:c>
      <x:c r="AB35" s="38" t="n">
        <x:v>60</x:v>
      </x:c>
      <x:c r="AC35" s="32" t="n">
        <x:v>10</x:v>
      </x:c>
      <x:c r="AD35" s="32" t="str">
        <x:v>Representative</x:v>
      </x:c>
      <x:c r="AE35" s="8" t="str">
        <x:v>Extrusion typical values.</x:v>
      </x:c>
      <x:c r="AF35" s="8" t="str">
        <x:f>IFERROR(VLOOKUP(AC35,'Sources'!$A$2:$E$12,5,FALSE),"")</x:f>
        <x:v>https://www.aluminum.org/industry-standards/aluminum-alloys-101</x:v>
      </x:c>
      <x:c r="AG35" s="32" t="b">
        <x:f>COUNTIF($A$2:$A$127,A35)&gt;1</x:f>
        <x:v>0</x:v>
      </x:c>
    </x:row>
    <x:row r="36">
      <x:c r="A36" s="33" t="n">
        <x:v>2008</x:v>
      </x:c>
      <x:c r="B36" s="32" t="str">
        <x:v>ALUMINUM_7075_T6</x:v>
      </x:c>
      <x:c r="C36" s="32" t="str">
        <x:v>Aluminum 7075-T6</x:v>
      </x:c>
      <x:c r="D36" s="32" t="str">
        <x:v>Nonferrous metal</x:v>
      </x:c>
      <x:c r="E36" s="32" t="str">
        <x:v>Aluminum alloy</x:v>
      </x:c>
      <x:c r="F36" s="32" t="str">
        <x:v>AA 7075-T6</x:v>
      </x:c>
      <x:c r="G36" s="32" t="str">
        <x:v>Solution heat-treated and artificially aged</x:v>
      </x:c>
      <x:c r="H36" s="32" t="str">
        <x:v>Isotropic</x:v>
      </x:c>
      <x:c r="I36" s="34" t="n">
        <x:v>2810</x:v>
      </x:c>
      <x:c r="J36" s="35" t="n">
        <x:v>71.7</x:v>
      </x:c>
      <x:c r="K36" s="35" t="n">
        <x:v>0.33</x:v>
      </x:c>
      <x:c r="L36" s="40"/>
      <x:c r="M36" s="40"/>
      <x:c r="N36" s="39" t="n">
        <x:f>IF(L36&lt;&gt;"",L36,IF(H36&lt;&gt;"Isotropic","",IF(OR(J36="",K36=""),"",J36/(2*(1+K36)))))</x:f>
        <x:v>26.954887218045112</x:v>
      </x:c>
      <x:c r="O36" s="39" t="n">
        <x:f>IF(M36&lt;&gt;"",M36,IF(H36&lt;&gt;"Isotropic","",IF(OR(J36="",K36="",K36&gt;=0.5),"",J36/(3*(1-2*K36)))))</x:f>
        <x:v>70.29411764705883</x:v>
      </x:c>
      <x:c r="P36" s="35" t="n">
        <x:v>503</x:v>
      </x:c>
      <x:c r="Q36" s="35" t="n">
        <x:v>572</x:v>
      </x:c>
      <x:c r="R36" s="35"/>
      <x:c r="S36" s="35"/>
      <x:c r="T36" s="36" t="n">
        <x:v>0.11</x:v>
      </x:c>
      <x:c r="U36" s="35" t="n">
        <x:v>25</x:v>
      </x:c>
      <x:c r="V36" s="35" t="n">
        <x:v>130</x:v>
      </x:c>
      <x:c r="W36" s="35" t="n">
        <x:v>960</x:v>
      </x:c>
      <x:c r="X36" s="35" t="n">
        <x:v>23.5</x:v>
      </x:c>
      <x:c r="Y36" s="37" t="n">
        <x:v>5.2e-8</x:v>
      </x:c>
      <x:c r="Z36" s="38" t="n">
        <x:v>477</x:v>
      </x:c>
      <x:c r="AA36" s="38" t="n">
        <x:v>120</x:v>
      </x:c>
      <x:c r="AB36" s="38" t="n">
        <x:v>175</x:v>
      </x:c>
      <x:c r="AC36" s="32" t="n">
        <x:v>10</x:v>
      </x:c>
      <x:c r="AD36" s="32" t="str">
        <x:v>Representative</x:v>
      </x:c>
      <x:c r="AE36" s="8" t="str">
        <x:v>High-strength temper; stress-corrosion and toughness require product-specific data.</x:v>
      </x:c>
      <x:c r="AF36" s="8" t="str">
        <x:f>IFERROR(VLOOKUP(AC36,'Sources'!$A$2:$E$12,5,FALSE),"")</x:f>
        <x:v>https://www.aluminum.org/industry-standards/aluminum-alloys-101</x:v>
      </x:c>
      <x:c r="AG36" s="32" t="b">
        <x:f>COUNTIF($A$2:$A$127,A36)&gt;1</x:f>
        <x:v>0</x:v>
      </x:c>
    </x:row>
    <x:row r="37">
      <x:c r="A37" s="33" t="n">
        <x:v>2009</x:v>
      </x:c>
      <x:c r="B37" s="32" t="str">
        <x:v>ALUMINUM_A356_T6</x:v>
      </x:c>
      <x:c r="C37" s="32" t="str">
        <x:v>A356-T6 cast aluminum</x:v>
      </x:c>
      <x:c r="D37" s="32" t="str">
        <x:v>Nonferrous metal</x:v>
      </x:c>
      <x:c r="E37" s="32" t="str">
        <x:v>Aluminum casting alloy</x:v>
      </x:c>
      <x:c r="F37" s="32" t="str">
        <x:v>A356-T6</x:v>
      </x:c>
      <x:c r="G37" s="32" t="str">
        <x:v>Solution heat-treated and aged casting</x:v>
      </x:c>
      <x:c r="H37" s="32" t="str">
        <x:v>Isotropic</x:v>
      </x:c>
      <x:c r="I37" s="34" t="n">
        <x:v>2680</x:v>
      </x:c>
      <x:c r="J37" s="35" t="n">
        <x:v>72.4</x:v>
      </x:c>
      <x:c r="K37" s="35" t="n">
        <x:v>0.33</x:v>
      </x:c>
      <x:c r="L37" s="40"/>
      <x:c r="M37" s="40"/>
      <x:c r="N37" s="39" t="n">
        <x:f>IF(L37&lt;&gt;"",L37,IF(H37&lt;&gt;"Isotropic","",IF(OR(J37="",K37=""),"",J37/(2*(1+K37)))))</x:f>
        <x:v>27.218045112781954</x:v>
      </x:c>
      <x:c r="O37" s="39" t="n">
        <x:f>IF(M37&lt;&gt;"",M37,IF(H37&lt;&gt;"Isotropic","",IF(OR(J37="",K37="",K37&gt;=0.5),"",J37/(3*(1-2*K37)))))</x:f>
        <x:v>70.98039215686275</x:v>
      </x:c>
      <x:c r="P37" s="35" t="n">
        <x:v>165</x:v>
      </x:c>
      <x:c r="Q37" s="35" t="n">
        <x:v>230</x:v>
      </x:c>
      <x:c r="R37" s="35"/>
      <x:c r="S37" s="35"/>
      <x:c r="T37" s="36" t="n">
        <x:v>0.035</x:v>
      </x:c>
      <x:c r="U37" s="35" t="n">
        <x:v>22</x:v>
      </x:c>
      <x:c r="V37" s="35" t="n">
        <x:v>151</x:v>
      </x:c>
      <x:c r="W37" s="35" t="n">
        <x:v>963</x:v>
      </x:c>
      <x:c r="X37" s="35" t="n">
        <x:v>21.5</x:v>
      </x:c>
      <x:c r="Y37" s="37" t="n">
        <x:v>4.5e-8</x:v>
      </x:c>
      <x:c r="Z37" s="38" t="n">
        <x:v>557</x:v>
      </x:c>
      <x:c r="AA37" s="38" t="n">
        <x:v>200</x:v>
      </x:c>
      <x:c r="AB37" s="38" t="n">
        <x:v>90</x:v>
      </x:c>
      <x:c r="AC37" s="32" t="n">
        <x:v>10</x:v>
      </x:c>
      <x:c r="AD37" s="32" t="str">
        <x:v>Approximate</x:v>
      </x:c>
      <x:c r="AE37" s="8" t="str">
        <x:v>Casting quality, porosity and section size materially affect properties.</x:v>
      </x:c>
      <x:c r="AF37" s="8" t="str">
        <x:f>IFERROR(VLOOKUP(AC37,'Sources'!$A$2:$E$12,5,FALSE),"")</x:f>
        <x:v>https://www.aluminum.org/industry-standards/aluminum-alloys-101</x:v>
      </x:c>
      <x:c r="AG37" s="32" t="b">
        <x:f>COUNTIF($A$2:$A$127,A37)&gt;1</x:f>
        <x:v>0</x:v>
      </x:c>
    </x:row>
    <x:row r="38">
      <x:c r="A38" s="33" t="n">
        <x:v>2101</x:v>
      </x:c>
      <x:c r="B38" s="32" t="str">
        <x:v>COPPER_C110_ANNEALED</x:v>
      </x:c>
      <x:c r="C38" s="32" t="str">
        <x:v>C110 electrolytic tough-pitch copper</x:v>
      </x:c>
      <x:c r="D38" s="32" t="str">
        <x:v>Nonferrous metal</x:v>
      </x:c>
      <x:c r="E38" s="32" t="str">
        <x:v>Copper alloy</x:v>
      </x:c>
      <x:c r="F38" s="32" t="str">
        <x:v>C11000</x:v>
      </x:c>
      <x:c r="G38" s="32" t="str">
        <x:v>Annealed</x:v>
      </x:c>
      <x:c r="H38" s="32" t="str">
        <x:v>Isotropic</x:v>
      </x:c>
      <x:c r="I38" s="34" t="n">
        <x:v>8940</x:v>
      </x:c>
      <x:c r="J38" s="35" t="n">
        <x:v>117</x:v>
      </x:c>
      <x:c r="K38" s="35" t="n">
        <x:v>0.34</x:v>
      </x:c>
      <x:c r="L38" s="40"/>
      <x:c r="M38" s="40"/>
      <x:c r="N38" s="39" t="n">
        <x:f>IF(L38&lt;&gt;"",L38,IF(H38&lt;&gt;"Isotropic","",IF(OR(J38="",K38=""),"",J38/(2*(1+K38)))))</x:f>
        <x:v>43.656716417910445</x:v>
      </x:c>
      <x:c r="O38" s="39" t="n">
        <x:f>IF(M38&lt;&gt;"",M38,IF(H38&lt;&gt;"Isotropic","",IF(OR(J38="",K38="",K38&gt;=0.5),"",J38/(3*(1-2*K38)))))</x:f>
        <x:v>121.87500000000001</x:v>
      </x:c>
      <x:c r="P38" s="35" t="n">
        <x:v>70</x:v>
      </x:c>
      <x:c r="Q38" s="35" t="n">
        <x:v>220</x:v>
      </x:c>
      <x:c r="R38" s="35"/>
      <x:c r="S38" s="35"/>
      <x:c r="T38" s="36" t="n">
        <x:v>0.45</x:v>
      </x:c>
      <x:c r="U38" s="35" t="n">
        <x:v>70</x:v>
      </x:c>
      <x:c r="V38" s="35" t="n">
        <x:v>391</x:v>
      </x:c>
      <x:c r="W38" s="35" t="n">
        <x:v>385</x:v>
      </x:c>
      <x:c r="X38" s="35" t="n">
        <x:v>16.5</x:v>
      </x:c>
      <x:c r="Y38" s="37" t="n">
        <x:v>1.72e-8</x:v>
      </x:c>
      <x:c r="Z38" s="38" t="n">
        <x:v>1083</x:v>
      </x:c>
      <x:c r="AA38" s="38" t="n">
        <x:v>200</x:v>
      </x:c>
      <x:c r="AB38" s="38" t="n">
        <x:v>50</x:v>
      </x:c>
      <x:c r="AC38" s="32" t="n">
        <x:v>3</x:v>
      </x:c>
      <x:c r="AD38" s="32" t="str">
        <x:v>Representative</x:v>
      </x:c>
      <x:c r="AE38" s="8" t="str">
        <x:v>Annealed high-conductivity copper.</x:v>
      </x:c>
      <x:c r="AF38" s="8" t="str">
        <x:f>IFERROR(VLOOKUP(AC38,'Sources'!$A$2:$E$12,5,FALSE),"")</x:f>
        <x:v>https://www.copper.org/resources/properties/db/</x:v>
      </x:c>
      <x:c r="AG38" s="32" t="b">
        <x:f>COUNTIF($A$2:$A$127,A38)&gt;1</x:f>
        <x:v>0</x:v>
      </x:c>
    </x:row>
    <x:row r="39">
      <x:c r="A39" s="33" t="n">
        <x:v>2102</x:v>
      </x:c>
      <x:c r="B39" s="32" t="str">
        <x:v>BRASS_C260_H02</x:v>
      </x:c>
      <x:c r="C39" s="32" t="str">
        <x:v>C260 cartridge brass</x:v>
      </x:c>
      <x:c r="D39" s="32" t="str">
        <x:v>Nonferrous metal</x:v>
      </x:c>
      <x:c r="E39" s="32" t="str">
        <x:v>Brass</x:v>
      </x:c>
      <x:c r="F39" s="32" t="str">
        <x:v>C26000</x:v>
      </x:c>
      <x:c r="G39" s="32" t="str">
        <x:v>Half hard H02</x:v>
      </x:c>
      <x:c r="H39" s="32" t="str">
        <x:v>Isotropic</x:v>
      </x:c>
      <x:c r="I39" s="34" t="n">
        <x:v>8530</x:v>
      </x:c>
      <x:c r="J39" s="35" t="n">
        <x:v>110</x:v>
      </x:c>
      <x:c r="K39" s="35" t="n">
        <x:v>0.34</x:v>
      </x:c>
      <x:c r="L39" s="40"/>
      <x:c r="M39" s="40"/>
      <x:c r="N39" s="39" t="n">
        <x:f>IF(L39&lt;&gt;"",L39,IF(H39&lt;&gt;"Isotropic","",IF(OR(J39="",K39=""),"",J39/(2*(1+K39)))))</x:f>
        <x:v>41.04477611940298</x:v>
      </x:c>
      <x:c r="O39" s="39" t="n">
        <x:f>IF(M39&lt;&gt;"",M39,IF(H39&lt;&gt;"Isotropic","",IF(OR(J39="",K39="",K39&gt;=0.5),"",J39/(3*(1-2*K39)))))</x:f>
        <x:v>114.58333333333336</x:v>
      </x:c>
      <x:c r="P39" s="35" t="n">
        <x:v>345</x:v>
      </x:c>
      <x:c r="Q39" s="35" t="n">
        <x:v>435</x:v>
      </x:c>
      <x:c r="R39" s="35"/>
      <x:c r="S39" s="35"/>
      <x:c r="T39" s="36" t="n">
        <x:v>0.15</x:v>
      </x:c>
      <x:c r="U39" s="35" t="n">
        <x:v>45</x:v>
      </x:c>
      <x:c r="V39" s="35" t="n">
        <x:v>120</x:v>
      </x:c>
      <x:c r="W39" s="35" t="n">
        <x:v>377</x:v>
      </x:c>
      <x:c r="X39" s="35" t="n">
        <x:v>20.5</x:v>
      </x:c>
      <x:c r="Y39" s="37" t="n">
        <x:v>6.4e-8</x:v>
      </x:c>
      <x:c r="Z39" s="38" t="n">
        <x:v>930</x:v>
      </x:c>
      <x:c r="AA39" s="38" t="n">
        <x:v>200</x:v>
      </x:c>
      <x:c r="AB39" s="38" t="n">
        <x:v>125</x:v>
      </x:c>
      <x:c r="AC39" s="32" t="n">
        <x:v>3</x:v>
      </x:c>
      <x:c r="AD39" s="32" t="str">
        <x:v>Representative</x:v>
      </x:c>
      <x:c r="AE39" s="8" t="str">
        <x:v>Temper affects strength and elongation.</x:v>
      </x:c>
      <x:c r="AF39" s="8" t="str">
        <x:f>IFERROR(VLOOKUP(AC39,'Sources'!$A$2:$E$12,5,FALSE),"")</x:f>
        <x:v>https://www.copper.org/resources/properties/db/</x:v>
      </x:c>
      <x:c r="AG39" s="32" t="b">
        <x:f>COUNTIF($A$2:$A$127,A39)&gt;1</x:f>
        <x:v>0</x:v>
      </x:c>
    </x:row>
    <x:row r="40">
      <x:c r="A40" s="33" t="n">
        <x:v>2103</x:v>
      </x:c>
      <x:c r="B40" s="32" t="str">
        <x:v>BRASS_C360</x:v>
      </x:c>
      <x:c r="C40" s="32" t="str">
        <x:v>C360 free-cutting brass</x:v>
      </x:c>
      <x:c r="D40" s="32" t="str">
        <x:v>Nonferrous metal</x:v>
      </x:c>
      <x:c r="E40" s="32" t="str">
        <x:v>Brass</x:v>
      </x:c>
      <x:c r="F40" s="32" t="str">
        <x:v>C36000</x:v>
      </x:c>
      <x:c r="G40" s="32" t="str">
        <x:v>Extruded/half hard typical</x:v>
      </x:c>
      <x:c r="H40" s="32" t="str">
        <x:v>Isotropic</x:v>
      </x:c>
      <x:c r="I40" s="34" t="n">
        <x:v>8500</x:v>
      </x:c>
      <x:c r="J40" s="35" t="n">
        <x:v>97</x:v>
      </x:c>
      <x:c r="K40" s="35" t="n">
        <x:v>0.31</x:v>
      </x:c>
      <x:c r="L40" s="40"/>
      <x:c r="M40" s="40"/>
      <x:c r="N40" s="39" t="n">
        <x:f>IF(L40&lt;&gt;"",L40,IF(H40&lt;&gt;"Isotropic","",IF(OR(J40="",K40=""),"",J40/(2*(1+K40)))))</x:f>
        <x:v>37.02290076335878</x:v>
      </x:c>
      <x:c r="O40" s="39" t="n">
        <x:f>IF(M40&lt;&gt;"",M40,IF(H40&lt;&gt;"Isotropic","",IF(OR(J40="",K40="",K40&gt;=0.5),"",J40/(3*(1-2*K40)))))</x:f>
        <x:v>85.0877192982456</x:v>
      </x:c>
      <x:c r="P40" s="35" t="n">
        <x:v>310</x:v>
      </x:c>
      <x:c r="Q40" s="35" t="n">
        <x:v>360</x:v>
      </x:c>
      <x:c r="R40" s="35"/>
      <x:c r="S40" s="35"/>
      <x:c r="T40" s="36" t="n">
        <x:v>0.18</x:v>
      </x:c>
      <x:c r="U40" s="35" t="n">
        <x:v>35</x:v>
      </x:c>
      <x:c r="V40" s="35" t="n">
        <x:v>115</x:v>
      </x:c>
      <x:c r="W40" s="35" t="n">
        <x:v>380</x:v>
      </x:c>
      <x:c r="X40" s="35" t="n">
        <x:v>20.5</x:v>
      </x:c>
      <x:c r="Y40" s="37" t="n">
        <x:v>6.6e-8</x:v>
      </x:c>
      <x:c r="Z40" s="38" t="n">
        <x:v>900</x:v>
      </x:c>
      <x:c r="AA40" s="38" t="n">
        <x:v>200</x:v>
      </x:c>
      <x:c r="AB40" s="38" t="n">
        <x:v>110</x:v>
      </x:c>
      <x:c r="AC40" s="32" t="n">
        <x:v>3</x:v>
      </x:c>
      <x:c r="AD40" s="32" t="str">
        <x:v>Representative</x:v>
      </x:c>
      <x:c r="AE40" s="8" t="str">
        <x:v>Machining brass; product temper varies.</x:v>
      </x:c>
      <x:c r="AF40" s="8" t="str">
        <x:f>IFERROR(VLOOKUP(AC40,'Sources'!$A$2:$E$12,5,FALSE),"")</x:f>
        <x:v>https://www.copper.org/resources/properties/db/</x:v>
      </x:c>
      <x:c r="AG40" s="32" t="b">
        <x:f>COUNTIF($A$2:$A$127,A40)&gt;1</x:f>
        <x:v>0</x:v>
      </x:c>
    </x:row>
    <x:row r="41">
      <x:c r="A41" s="33" t="n">
        <x:v>2104</x:v>
      </x:c>
      <x:c r="B41" s="32" t="str">
        <x:v>PHOSPHOR_BRONZE_C510</x:v>
      </x:c>
      <x:c r="C41" s="32" t="str">
        <x:v>C510 phosphor bronze</x:v>
      </x:c>
      <x:c r="D41" s="32" t="str">
        <x:v>Nonferrous metal</x:v>
      </x:c>
      <x:c r="E41" s="32" t="str">
        <x:v>Bronze</x:v>
      </x:c>
      <x:c r="F41" s="32" t="str">
        <x:v>C51000</x:v>
      </x:c>
      <x:c r="G41" s="32" t="str">
        <x:v>Half hard</x:v>
      </x:c>
      <x:c r="H41" s="32" t="str">
        <x:v>Isotropic</x:v>
      </x:c>
      <x:c r="I41" s="34" t="n">
        <x:v>8860</x:v>
      </x:c>
      <x:c r="J41" s="35" t="n">
        <x:v>110</x:v>
      </x:c>
      <x:c r="K41" s="35" t="n">
        <x:v>0.34</x:v>
      </x:c>
      <x:c r="L41" s="40"/>
      <x:c r="M41" s="40"/>
      <x:c r="N41" s="39" t="n">
        <x:f>IF(L41&lt;&gt;"",L41,IF(H41&lt;&gt;"Isotropic","",IF(OR(J41="",K41=""),"",J41/(2*(1+K41)))))</x:f>
        <x:v>41.04477611940298</x:v>
      </x:c>
      <x:c r="O41" s="39" t="n">
        <x:f>IF(M41&lt;&gt;"",M41,IF(H41&lt;&gt;"Isotropic","",IF(OR(J41="",K41="",K41&gt;=0.5),"",J41/(3*(1-2*K41)))))</x:f>
        <x:v>114.58333333333336</x:v>
      </x:c>
      <x:c r="P41" s="35" t="n">
        <x:v>380</x:v>
      </x:c>
      <x:c r="Q41" s="35" t="n">
        <x:v>550</x:v>
      </x:c>
      <x:c r="R41" s="35"/>
      <x:c r="S41" s="35"/>
      <x:c r="T41" s="36" t="n">
        <x:v>0.12</x:v>
      </x:c>
      <x:c r="U41" s="35" t="n">
        <x:v>40</x:v>
      </x:c>
      <x:c r="V41" s="35" t="n">
        <x:v>63</x:v>
      </x:c>
      <x:c r="W41" s="35" t="n">
        <x:v>377</x:v>
      </x:c>
      <x:c r="X41" s="35" t="n">
        <x:v>17.8</x:v>
      </x:c>
      <x:c r="Y41" s="37" t="n">
        <x:v>8.8e-8</x:v>
      </x:c>
      <x:c r="Z41" s="38" t="n">
        <x:v>1000</x:v>
      </x:c>
      <x:c r="AA41" s="38" t="n">
        <x:v>250</x:v>
      </x:c>
      <x:c r="AB41" s="38" t="n">
        <x:v>170</x:v>
      </x:c>
      <x:c r="AC41" s="32" t="n">
        <x:v>3</x:v>
      </x:c>
      <x:c r="AD41" s="32" t="str">
        <x:v>Representative</x:v>
      </x:c>
      <x:c r="AE41" s="8" t="str">
        <x:v>Temper strongly affects spring properties.</x:v>
      </x:c>
      <x:c r="AF41" s="8" t="str">
        <x:f>IFERROR(VLOOKUP(AC41,'Sources'!$A$2:$E$12,5,FALSE),"")</x:f>
        <x:v>https://www.copper.org/resources/properties/db/</x:v>
      </x:c>
      <x:c r="AG41" s="32" t="b">
        <x:f>COUNTIF($A$2:$A$127,A41)&gt;1</x:f>
        <x:v>0</x:v>
      </x:c>
    </x:row>
    <x:row r="42">
      <x:c r="A42" s="33" t="n">
        <x:v>2105</x:v>
      </x:c>
      <x:c r="B42" s="32" t="str">
        <x:v>BEARING_BRONZE_C932</x:v>
      </x:c>
      <x:c r="C42" s="32" t="str">
        <x:v>C932 bearing bronze</x:v>
      </x:c>
      <x:c r="D42" s="32" t="str">
        <x:v>Nonferrous metal</x:v>
      </x:c>
      <x:c r="E42" s="32" t="str">
        <x:v>Bronze</x:v>
      </x:c>
      <x:c r="F42" s="32" t="str">
        <x:v>C93200</x:v>
      </x:c>
      <x:c r="G42" s="32" t="str">
        <x:v>Continuous cast typical</x:v>
      </x:c>
      <x:c r="H42" s="32" t="str">
        <x:v>Isotropic</x:v>
      </x:c>
      <x:c r="I42" s="34" t="n">
        <x:v>8930</x:v>
      </x:c>
      <x:c r="J42" s="35" t="n">
        <x:v>103</x:v>
      </x:c>
      <x:c r="K42" s="35" t="n">
        <x:v>0.34</x:v>
      </x:c>
      <x:c r="L42" s="40"/>
      <x:c r="M42" s="40"/>
      <x:c r="N42" s="39" t="n">
        <x:f>IF(L42&lt;&gt;"",L42,IF(H42&lt;&gt;"Isotropic","",IF(OR(J42="",K42=""),"",J42/(2*(1+K42)))))</x:f>
        <x:v>38.43283582089552</x:v>
      </x:c>
      <x:c r="O42" s="39" t="n">
        <x:f>IF(M42&lt;&gt;"",M42,IF(H42&lt;&gt;"Isotropic","",IF(OR(J42="",K42="",K42&gt;=0.5),"",J42/(3*(1-2*K42)))))</x:f>
        <x:v>107.29166666666669</x:v>
      </x:c>
      <x:c r="P42" s="35" t="n">
        <x:v>145</x:v>
      </x:c>
      <x:c r="Q42" s="35" t="n">
        <x:v>240</x:v>
      </x:c>
      <x:c r="R42" s="35"/>
      <x:c r="S42" s="35"/>
      <x:c r="T42" s="36" t="n">
        <x:v>0.15</x:v>
      </x:c>
      <x:c r="U42" s="35" t="n">
        <x:v>25</x:v>
      </x:c>
      <x:c r="V42" s="35" t="n">
        <x:v>59</x:v>
      </x:c>
      <x:c r="W42" s="35" t="n">
        <x:v>380</x:v>
      </x:c>
      <x:c r="X42" s="35" t="n">
        <x:v>18</x:v>
      </x:c>
      <x:c r="Y42" s="37" t="n">
        <x:v>1.3e-7</x:v>
      </x:c>
      <x:c r="Z42" s="38" t="n">
        <x:v>900</x:v>
      </x:c>
      <x:c r="AA42" s="38" t="n">
        <x:v>260</x:v>
      </x:c>
      <x:c r="AB42" s="38" t="n">
        <x:v>75</x:v>
      </x:c>
      <x:c r="AC42" s="32" t="n">
        <x:v>3</x:v>
      </x:c>
      <x:c r="AD42" s="32" t="str">
        <x:v>Approximate</x:v>
      </x:c>
      <x:c r="AE42" s="8" t="str">
        <x:v>Bearing alloy; use supplier data for pressure-velocity limits.</x:v>
      </x:c>
      <x:c r="AF42" s="8" t="str">
        <x:f>IFERROR(VLOOKUP(AC42,'Sources'!$A$2:$E$12,5,FALSE),"")</x:f>
        <x:v>https://www.copper.org/resources/properties/db/</x:v>
      </x:c>
      <x:c r="AG42" s="32" t="b">
        <x:f>COUNTIF($A$2:$A$127,A42)&gt;1</x:f>
        <x:v>0</x:v>
      </x:c>
    </x:row>
    <x:row r="43">
      <x:c r="A43" s="33" t="n">
        <x:v>2106</x:v>
      </x:c>
      <x:c r="B43" s="32" t="str">
        <x:v>COPPER_NICKEL_C715</x:v>
      </x:c>
      <x:c r="C43" s="32" t="str">
        <x:v>C715 70-30 copper-nickel</x:v>
      </x:c>
      <x:c r="D43" s="32" t="str">
        <x:v>Nonferrous metal</x:v>
      </x:c>
      <x:c r="E43" s="32" t="str">
        <x:v>Copper-nickel alloy</x:v>
      </x:c>
      <x:c r="F43" s="32" t="str">
        <x:v>C71500</x:v>
      </x:c>
      <x:c r="G43" s="32" t="str">
        <x:v>Annealed</x:v>
      </x:c>
      <x:c r="H43" s="32" t="str">
        <x:v>Isotropic</x:v>
      </x:c>
      <x:c r="I43" s="34" t="n">
        <x:v>8940</x:v>
      </x:c>
      <x:c r="J43" s="35" t="n">
        <x:v>150</x:v>
      </x:c>
      <x:c r="K43" s="35" t="n">
        <x:v>0.32</x:v>
      </x:c>
      <x:c r="L43" s="40"/>
      <x:c r="M43" s="40"/>
      <x:c r="N43" s="39" t="n">
        <x:f>IF(L43&lt;&gt;"",L43,IF(H43&lt;&gt;"Isotropic","",IF(OR(J43="",K43=""),"",J43/(2*(1+K43)))))</x:f>
        <x:v>56.81818181818181</x:v>
      </x:c>
      <x:c r="O43" s="39" t="n">
        <x:f>IF(M43&lt;&gt;"",M43,IF(H43&lt;&gt;"Isotropic","",IF(OR(J43="",K43="",K43&gt;=0.5),"",J43/(3*(1-2*K43)))))</x:f>
        <x:v>138.88888888888889</x:v>
      </x:c>
      <x:c r="P43" s="35" t="n">
        <x:v>150</x:v>
      </x:c>
      <x:c r="Q43" s="35" t="n">
        <x:v>372</x:v>
      </x:c>
      <x:c r="R43" s="35"/>
      <x:c r="S43" s="35"/>
      <x:c r="T43" s="36" t="n">
        <x:v>0.35</x:v>
      </x:c>
      <x:c r="U43" s="35" t="n">
        <x:v>90</x:v>
      </x:c>
      <x:c r="V43" s="35" t="n">
        <x:v>29</x:v>
      </x:c>
      <x:c r="W43" s="35" t="n">
        <x:v>377</x:v>
      </x:c>
      <x:c r="X43" s="35" t="n">
        <x:v>16.2</x:v>
      </x:c>
      <x:c r="Y43" s="37" t="n">
        <x:v>3.7e-7</x:v>
      </x:c>
      <x:c r="Z43" s="38" t="n">
        <x:v>1170</x:v>
      </x:c>
      <x:c r="AA43" s="38" t="n">
        <x:v>315</x:v>
      </x:c>
      <x:c r="AB43" s="38" t="n">
        <x:v>100</x:v>
      </x:c>
      <x:c r="AC43" s="32" t="n">
        <x:v>3</x:v>
      </x:c>
      <x:c r="AD43" s="32" t="str">
        <x:v>Representative</x:v>
      </x:c>
      <x:c r="AE43" s="8" t="str">
        <x:v>Marine copper-nickel typical values.</x:v>
      </x:c>
      <x:c r="AF43" s="8" t="str">
        <x:f>IFERROR(VLOOKUP(AC43,'Sources'!$A$2:$E$12,5,FALSE),"")</x:f>
        <x:v>https://www.copper.org/resources/properties/db/</x:v>
      </x:c>
      <x:c r="AG43" s="32" t="b">
        <x:f>COUNTIF($A$2:$A$127,A43)&gt;1</x:f>
        <x:v>0</x:v>
      </x:c>
    </x:row>
    <x:row r="44">
      <x:c r="A44" s="33" t="n">
        <x:v>2201</x:v>
      </x:c>
      <x:c r="B44" s="32" t="str">
        <x:v>MAGNESIUM_AZ31B_H24</x:v>
      </x:c>
      <x:c r="C44" s="32" t="str">
        <x:v>Magnesium AZ31B-H24</x:v>
      </x:c>
      <x:c r="D44" s="32" t="str">
        <x:v>Nonferrous metal</x:v>
      </x:c>
      <x:c r="E44" s="32" t="str">
        <x:v>Magnesium alloy</x:v>
      </x:c>
      <x:c r="F44" s="32" t="str">
        <x:v>AZ31B-H24</x:v>
      </x:c>
      <x:c r="G44" s="32" t="str">
        <x:v>Strain hardened and partially annealed</x:v>
      </x:c>
      <x:c r="H44" s="32" t="str">
        <x:v>Isotropic</x:v>
      </x:c>
      <x:c r="I44" s="34" t="n">
        <x:v>1770</x:v>
      </x:c>
      <x:c r="J44" s="35" t="n">
        <x:v>45</x:v>
      </x:c>
      <x:c r="K44" s="35" t="n">
        <x:v>0.35</x:v>
      </x:c>
      <x:c r="L44" s="40"/>
      <x:c r="M44" s="40"/>
      <x:c r="N44" s="39" t="n">
        <x:f>IF(L44&lt;&gt;"",L44,IF(H44&lt;&gt;"Isotropic","",IF(OR(J44="",K44=""),"",J44/(2*(1+K44)))))</x:f>
        <x:v>16.666666666666664</x:v>
      </x:c>
      <x:c r="O44" s="39" t="n">
        <x:f>IF(M44&lt;&gt;"",M44,IF(H44&lt;&gt;"Isotropic","",IF(OR(J44="",K44="",K44&gt;=0.5),"",J44/(3*(1-2*K44)))))</x:f>
        <x:v>49.99999999999999</x:v>
      </x:c>
      <x:c r="P44" s="35" t="n">
        <x:v>220</x:v>
      </x:c>
      <x:c r="Q44" s="35" t="n">
        <x:v>290</x:v>
      </x:c>
      <x:c r="R44" s="35"/>
      <x:c r="S44" s="35"/>
      <x:c r="T44" s="36" t="n">
        <x:v>0.15</x:v>
      </x:c>
      <x:c r="U44" s="35" t="n">
        <x:v>18</x:v>
      </x:c>
      <x:c r="V44" s="35" t="n">
        <x:v>96</x:v>
      </x:c>
      <x:c r="W44" s="35" t="n">
        <x:v>1040</x:v>
      </x:c>
      <x:c r="X44" s="35" t="n">
        <x:v>26</x:v>
      </x:c>
      <x:c r="Y44" s="37" t="n">
        <x:v>9.2e-8</x:v>
      </x:c>
      <x:c r="Z44" s="38" t="n">
        <x:v>630</x:v>
      </x:c>
      <x:c r="AA44" s="38" t="n">
        <x:v>120</x:v>
      </x:c>
      <x:c r="AB44" s="38" t="n">
        <x:v>73</x:v>
      </x:c>
      <x:c r="AC44" s="32" t="n">
        <x:v>1</x:v>
      </x:c>
      <x:c r="AD44" s="32" t="str">
        <x:v>Representative</x:v>
      </x:c>
      <x:c r="AE44" s="8" t="str">
        <x:v>Wrought sheet typical values.</x:v>
      </x:c>
      <x:c r="AF44" s="8" t="str">
        <x:f>IFERROR(VLOOKUP(AC44,'Sources'!$A$2:$E$12,5,FALSE),"")</x:f>
        <x:v>https://www.matweb.com/search/MaterialGroupSearch.aspx</x:v>
      </x:c>
      <x:c r="AG44" s="32" t="b">
        <x:f>COUNTIF($A$2:$A$127,A44)&gt;1</x:f>
        <x:v>0</x:v>
      </x:c>
    </x:row>
    <x:row r="45">
      <x:c r="A45" s="33" t="n">
        <x:v>2202</x:v>
      </x:c>
      <x:c r="B45" s="32" t="str">
        <x:v>MAGNESIUM_AZ91D_T6</x:v>
      </x:c>
      <x:c r="C45" s="32" t="str">
        <x:v>Magnesium AZ91D-T6</x:v>
      </x:c>
      <x:c r="D45" s="32" t="str">
        <x:v>Nonferrous metal</x:v>
      </x:c>
      <x:c r="E45" s="32" t="str">
        <x:v>Magnesium alloy</x:v>
      </x:c>
      <x:c r="F45" s="32" t="str">
        <x:v>AZ91D-T6</x:v>
      </x:c>
      <x:c r="G45" s="32" t="str">
        <x:v>Heat-treated die casting</x:v>
      </x:c>
      <x:c r="H45" s="32" t="str">
        <x:v>Isotropic</x:v>
      </x:c>
      <x:c r="I45" s="34" t="n">
        <x:v>1810</x:v>
      </x:c>
      <x:c r="J45" s="35" t="n">
        <x:v>45</x:v>
      </x:c>
      <x:c r="K45" s="35" t="n">
        <x:v>0.35</x:v>
      </x:c>
      <x:c r="L45" s="40"/>
      <x:c r="M45" s="40"/>
      <x:c r="N45" s="39" t="n">
        <x:f>IF(L45&lt;&gt;"",L45,IF(H45&lt;&gt;"Isotropic","",IF(OR(J45="",K45=""),"",J45/(2*(1+K45)))))</x:f>
        <x:v>16.666666666666664</x:v>
      </x:c>
      <x:c r="O45" s="39" t="n">
        <x:f>IF(M45&lt;&gt;"",M45,IF(H45&lt;&gt;"Isotropic","",IF(OR(J45="",K45="",K45&gt;=0.5),"",J45/(3*(1-2*K45)))))</x:f>
        <x:v>49.99999999999999</x:v>
      </x:c>
      <x:c r="P45" s="35" t="n">
        <x:v>160</x:v>
      </x:c>
      <x:c r="Q45" s="35" t="n">
        <x:v>230</x:v>
      </x:c>
      <x:c r="R45" s="35"/>
      <x:c r="S45" s="35"/>
      <x:c r="T45" s="36" t="n">
        <x:v>0.03</x:v>
      </x:c>
      <x:c r="U45" s="35" t="n">
        <x:v>12</x:v>
      </x:c>
      <x:c r="V45" s="35" t="n">
        <x:v>72</x:v>
      </x:c>
      <x:c r="W45" s="35" t="n">
        <x:v>1020</x:v>
      </x:c>
      <x:c r="X45" s="35" t="n">
        <x:v>26</x:v>
      </x:c>
      <x:c r="Y45" s="37" t="n">
        <x:v>1.4e-7</x:v>
      </x:c>
      <x:c r="Z45" s="38" t="n">
        <x:v>595</x:v>
      </x:c>
      <x:c r="AA45" s="38" t="n">
        <x:v>120</x:v>
      </x:c>
      <x:c r="AB45" s="38" t="n">
        <x:v>75</x:v>
      </x:c>
      <x:c r="AC45" s="32" t="n">
        <x:v>1</x:v>
      </x:c>
      <x:c r="AD45" s="32" t="str">
        <x:v>Approximate</x:v>
      </x:c>
      <x:c r="AE45" s="8" t="str">
        <x:v>Die-casting porosity and heat treatment affect properties.</x:v>
      </x:c>
      <x:c r="AF45" s="8" t="str">
        <x:f>IFERROR(VLOOKUP(AC45,'Sources'!$A$2:$E$12,5,FALSE),"")</x:f>
        <x:v>https://www.matweb.com/search/MaterialGroupSearch.aspx</x:v>
      </x:c>
      <x:c r="AG45" s="32" t="b">
        <x:f>COUNTIF($A$2:$A$127,A45)&gt;1</x:f>
        <x:v>0</x:v>
      </x:c>
    </x:row>
    <x:row r="46">
      <x:c r="A46" s="33" t="n">
        <x:v>2301</x:v>
      </x:c>
      <x:c r="B46" s="32" t="str">
        <x:v>TITANIUM_GRADE_2</x:v>
      </x:c>
      <x:c r="C46" s="32" t="str">
        <x:v>Commercially pure titanium Grade 2</x:v>
      </x:c>
      <x:c r="D46" s="32" t="str">
        <x:v>Nonferrous metal</x:v>
      </x:c>
      <x:c r="E46" s="32" t="str">
        <x:v>Titanium alloy</x:v>
      </x:c>
      <x:c r="F46" s="32" t="str">
        <x:v>ASTM Grade 2</x:v>
      </x:c>
      <x:c r="G46" s="32" t="str">
        <x:v>Annealed</x:v>
      </x:c>
      <x:c r="H46" s="32" t="str">
        <x:v>Isotropic</x:v>
      </x:c>
      <x:c r="I46" s="34" t="n">
        <x:v>4510</x:v>
      </x:c>
      <x:c r="J46" s="35" t="n">
        <x:v>105</x:v>
      </x:c>
      <x:c r="K46" s="35" t="n">
        <x:v>0.34</x:v>
      </x:c>
      <x:c r="L46" s="40"/>
      <x:c r="M46" s="40"/>
      <x:c r="N46" s="39" t="n">
        <x:f>IF(L46&lt;&gt;"",L46,IF(H46&lt;&gt;"Isotropic","",IF(OR(J46="",K46=""),"",J46/(2*(1+K46)))))</x:f>
        <x:v>39.179104477611936</x:v>
      </x:c>
      <x:c r="O46" s="39" t="n">
        <x:f>IF(M46&lt;&gt;"",M46,IF(H46&lt;&gt;"Isotropic","",IF(OR(J46="",K46="",K46&gt;=0.5),"",J46/(3*(1-2*K46)))))</x:f>
        <x:v>109.37500000000001</x:v>
      </x:c>
      <x:c r="P46" s="35" t="n">
        <x:v>275</x:v>
      </x:c>
      <x:c r="Q46" s="35" t="n">
        <x:v>345</x:v>
      </x:c>
      <x:c r="R46" s="35"/>
      <x:c r="S46" s="35"/>
      <x:c r="T46" s="36" t="n">
        <x:v>0.2</x:v>
      </x:c>
      <x:c r="U46" s="35" t="n">
        <x:v>70</x:v>
      </x:c>
      <x:c r="V46" s="35" t="n">
        <x:v>16.4</x:v>
      </x:c>
      <x:c r="W46" s="35" t="n">
        <x:v>523</x:v>
      </x:c>
      <x:c r="X46" s="35" t="n">
        <x:v>8.6</x:v>
      </x:c>
      <x:c r="Y46" s="37" t="n">
        <x:v>4.2e-7</x:v>
      </x:c>
      <x:c r="Z46" s="38" t="n">
        <x:v>1665</x:v>
      </x:c>
      <x:c r="AA46" s="38" t="n">
        <x:v>540</x:v>
      </x:c>
      <x:c r="AB46" s="38" t="n">
        <x:v>145</x:v>
      </x:c>
      <x:c r="AC46" s="32" t="n">
        <x:v>1</x:v>
      </x:c>
      <x:c r="AD46" s="32" t="str">
        <x:v>Representative</x:v>
      </x:c>
      <x:c r="AE46" s="8" t="str">
        <x:v>Commercially pure titanium; product form affects minima.</x:v>
      </x:c>
      <x:c r="AF46" s="8" t="str">
        <x:f>IFERROR(VLOOKUP(AC46,'Sources'!$A$2:$E$12,5,FALSE),"")</x:f>
        <x:v>https://www.matweb.com/search/MaterialGroupSearch.aspx</x:v>
      </x:c>
      <x:c r="AG46" s="32" t="b">
        <x:f>COUNTIF($A$2:$A$127,A46)&gt;1</x:f>
        <x:v>0</x:v>
      </x:c>
    </x:row>
    <x:row r="47">
      <x:c r="A47" s="33" t="n">
        <x:v>2302</x:v>
      </x:c>
      <x:c r="B47" s="32" t="str">
        <x:v>TITANIUM_TI6AL4V_ANNEALED</x:v>
      </x:c>
      <x:c r="C47" s="32" t="str">
        <x:v>Ti-6Al-4V Grade 5</x:v>
      </x:c>
      <x:c r="D47" s="32" t="str">
        <x:v>Nonferrous metal</x:v>
      </x:c>
      <x:c r="E47" s="32" t="str">
        <x:v>Titanium alloy</x:v>
      </x:c>
      <x:c r="F47" s="32" t="str">
        <x:v>Ti-6Al-4V / Grade 5</x:v>
      </x:c>
      <x:c r="G47" s="32" t="str">
        <x:v>Annealed</x:v>
      </x:c>
      <x:c r="H47" s="32" t="str">
        <x:v>Isotropic</x:v>
      </x:c>
      <x:c r="I47" s="34" t="n">
        <x:v>4430</x:v>
      </x:c>
      <x:c r="J47" s="35" t="n">
        <x:v>114</x:v>
      </x:c>
      <x:c r="K47" s="35" t="n">
        <x:v>0.34</x:v>
      </x:c>
      <x:c r="L47" s="40"/>
      <x:c r="M47" s="40"/>
      <x:c r="N47" s="39" t="n">
        <x:f>IF(L47&lt;&gt;"",L47,IF(H47&lt;&gt;"Isotropic","",IF(OR(J47="",K47=""),"",J47/(2*(1+K47)))))</x:f>
        <x:v>42.537313432835816</x:v>
      </x:c>
      <x:c r="O47" s="39" t="n">
        <x:f>IF(M47&lt;&gt;"",M47,IF(H47&lt;&gt;"Isotropic","",IF(OR(J47="",K47="",K47&gt;=0.5),"",J47/(3*(1-2*K47)))))</x:f>
        <x:v>118.75000000000001</x:v>
      </x:c>
      <x:c r="P47" s="35" t="n">
        <x:v>880</x:v>
      </x:c>
      <x:c r="Q47" s="35" t="n">
        <x:v>950</x:v>
      </x:c>
      <x:c r="R47" s="35"/>
      <x:c r="S47" s="35"/>
      <x:c r="T47" s="36" t="n">
        <x:v>0.14</x:v>
      </x:c>
      <x:c r="U47" s="35" t="n">
        <x:v>75</x:v>
      </x:c>
      <x:c r="V47" s="35" t="n">
        <x:v>6.7</x:v>
      </x:c>
      <x:c r="W47" s="35" t="n">
        <x:v>526</x:v>
      </x:c>
      <x:c r="X47" s="35" t="n">
        <x:v>8.6</x:v>
      </x:c>
      <x:c r="Y47" s="37" t="n">
        <x:v>0.00000178</x:v>
      </x:c>
      <x:c r="Z47" s="38" t="n">
        <x:v>1604</x:v>
      </x:c>
      <x:c r="AA47" s="38" t="n">
        <x:v>400</x:v>
      </x:c>
      <x:c r="AB47" s="38" t="n">
        <x:v>349</x:v>
      </x:c>
      <x:c r="AC47" s="32" t="n">
        <x:v>1</x:v>
      </x:c>
      <x:c r="AD47" s="32" t="str">
        <x:v>Representative</x:v>
      </x:c>
      <x:c r="AE47" s="8" t="str">
        <x:v>Annealed wrought product; fatigue and fracture properties are process-sensitive.</x:v>
      </x:c>
      <x:c r="AF47" s="8" t="str">
        <x:f>IFERROR(VLOOKUP(AC47,'Sources'!$A$2:$E$12,5,FALSE),"")</x:f>
        <x:v>https://www.matweb.com/search/MaterialGroupSearch.aspx</x:v>
      </x:c>
      <x:c r="AG47" s="32" t="b">
        <x:f>COUNTIF($A$2:$A$127,A47)&gt;1</x:f>
        <x:v>0</x:v>
      </x:c>
    </x:row>
    <x:row r="48">
      <x:c r="A48" s="33" t="n">
        <x:v>2401</x:v>
      </x:c>
      <x:c r="B48" s="32" t="str">
        <x:v>NICKEL_200</x:v>
      </x:c>
      <x:c r="C48" s="32" t="str">
        <x:v>Nickel 200</x:v>
      </x:c>
      <x:c r="D48" s="32" t="str">
        <x:v>Nonferrous metal</x:v>
      </x:c>
      <x:c r="E48" s="32" t="str">
        <x:v>Nickel alloy</x:v>
      </x:c>
      <x:c r="F48" s="32" t="str">
        <x:v>UNS N02200</x:v>
      </x:c>
      <x:c r="G48" s="32" t="str">
        <x:v>Annealed</x:v>
      </x:c>
      <x:c r="H48" s="32" t="str">
        <x:v>Isotropic</x:v>
      </x:c>
      <x:c r="I48" s="34" t="n">
        <x:v>8890</x:v>
      </x:c>
      <x:c r="J48" s="35" t="n">
        <x:v>207</x:v>
      </x:c>
      <x:c r="K48" s="35" t="n">
        <x:v>0.31</x:v>
      </x:c>
      <x:c r="L48" s="40"/>
      <x:c r="M48" s="40"/>
      <x:c r="N48" s="39" t="n">
        <x:f>IF(L48&lt;&gt;"",L48,IF(H48&lt;&gt;"Isotropic","",IF(OR(J48="",K48=""),"",J48/(2*(1+K48)))))</x:f>
        <x:v>79.00763358778626</x:v>
      </x:c>
      <x:c r="O48" s="39" t="n">
        <x:f>IF(M48&lt;&gt;"",M48,IF(H48&lt;&gt;"Isotropic","",IF(OR(J48="",K48="",K48&gt;=0.5),"",J48/(3*(1-2*K48)))))</x:f>
        <x:v>181.57894736842104</x:v>
      </x:c>
      <x:c r="P48" s="35" t="n">
        <x:v>100</x:v>
      </x:c>
      <x:c r="Q48" s="35" t="n">
        <x:v>380</x:v>
      </x:c>
      <x:c r="R48" s="35"/>
      <x:c r="S48" s="35"/>
      <x:c r="T48" s="36" t="n">
        <x:v>0.45</x:v>
      </x:c>
      <x:c r="U48" s="35" t="n">
        <x:v>150</x:v>
      </x:c>
      <x:c r="V48" s="35" t="n">
        <x:v>90.9</x:v>
      </x:c>
      <x:c r="W48" s="35" t="n">
        <x:v>456</x:v>
      </x:c>
      <x:c r="X48" s="35" t="n">
        <x:v>13.3</x:v>
      </x:c>
      <x:c r="Y48" s="37" t="n">
        <x:v>9.6e-8</x:v>
      </x:c>
      <x:c r="Z48" s="38" t="n">
        <x:v>1455</x:v>
      </x:c>
      <x:c r="AA48" s="38" t="n">
        <x:v>600</x:v>
      </x:c>
      <x:c r="AB48" s="38" t="n">
        <x:v>100</x:v>
      </x:c>
      <x:c r="AC48" s="32" t="n">
        <x:v>4</x:v>
      </x:c>
      <x:c r="AD48" s="32" t="str">
        <x:v>Representative</x:v>
      </x:c>
      <x:c r="AE48" s="8" t="str">
        <x:v>Commercially pure nickel.</x:v>
      </x:c>
      <x:c r="AF48" s="8" t="str">
        <x:f>IFERROR(VLOOKUP(AC48,'Sources'!$A$2:$E$12,5,FALSE),"")</x:f>
        <x:v>https://www.specialmetals.com/documents/</x:v>
      </x:c>
      <x:c r="AG48" s="32" t="b">
        <x:f>COUNTIF($A$2:$A$127,A48)&gt;1</x:f>
        <x:v>0</x:v>
      </x:c>
    </x:row>
    <x:row r="49">
      <x:c r="A49" s="33" t="n">
        <x:v>2402</x:v>
      </x:c>
      <x:c r="B49" s="32" t="str">
        <x:v>MONEL_400</x:v>
      </x:c>
      <x:c r="C49" s="32" t="str">
        <x:v>MONEL alloy 400</x:v>
      </x:c>
      <x:c r="D49" s="32" t="str">
        <x:v>Nonferrous metal</x:v>
      </x:c>
      <x:c r="E49" s="32" t="str">
        <x:v>Nickel-copper alloy</x:v>
      </x:c>
      <x:c r="F49" s="32" t="str">
        <x:v>UNS N04400</x:v>
      </x:c>
      <x:c r="G49" s="32" t="str">
        <x:v>Annealed</x:v>
      </x:c>
      <x:c r="H49" s="32" t="str">
        <x:v>Isotropic</x:v>
      </x:c>
      <x:c r="I49" s="34" t="n">
        <x:v>8800</x:v>
      </x:c>
      <x:c r="J49" s="35" t="n">
        <x:v>179</x:v>
      </x:c>
      <x:c r="K49" s="35" t="n">
        <x:v>0.32</x:v>
      </x:c>
      <x:c r="L49" s="40"/>
      <x:c r="M49" s="40"/>
      <x:c r="N49" s="39" t="n">
        <x:f>IF(L49&lt;&gt;"",L49,IF(H49&lt;&gt;"Isotropic","",IF(OR(J49="",K49=""),"",J49/(2*(1+K49)))))</x:f>
        <x:v>67.8030303030303</x:v>
      </x:c>
      <x:c r="O49" s="39" t="n">
        <x:f>IF(M49&lt;&gt;"",M49,IF(H49&lt;&gt;"Isotropic","",IF(OR(J49="",K49="",K49&gt;=0.5),"",J49/(3*(1-2*K49)))))</x:f>
        <x:v>165.74074074074073</x:v>
      </x:c>
      <x:c r="P49" s="35" t="n">
        <x:v>240</x:v>
      </x:c>
      <x:c r="Q49" s="35" t="n">
        <x:v>550</x:v>
      </x:c>
      <x:c r="R49" s="35"/>
      <x:c r="S49" s="35"/>
      <x:c r="T49" s="36" t="n">
        <x:v>0.35</x:v>
      </x:c>
      <x:c r="U49" s="35" t="n">
        <x:v>150</x:v>
      </x:c>
      <x:c r="V49" s="35" t="n">
        <x:v>21.8</x:v>
      </x:c>
      <x:c r="W49" s="35" t="n">
        <x:v>427</x:v>
      </x:c>
      <x:c r="X49" s="35" t="n">
        <x:v>13.9</x:v>
      </x:c>
      <x:c r="Y49" s="37" t="n">
        <x:v>5.1e-7</x:v>
      </x:c>
      <x:c r="Z49" s="38" t="n">
        <x:v>1345</x:v>
      </x:c>
      <x:c r="AA49" s="38" t="n">
        <x:v>480</x:v>
      </x:c>
      <x:c r="AB49" s="38" t="n">
        <x:v>135</x:v>
      </x:c>
      <x:c r="AC49" s="32" t="n">
        <x:v>4</x:v>
      </x:c>
      <x:c r="AD49" s="32" t="str">
        <x:v>Representative</x:v>
      </x:c>
      <x:c r="AE49" s="8" t="str">
        <x:v>Annealed typical values.</x:v>
      </x:c>
      <x:c r="AF49" s="8" t="str">
        <x:f>IFERROR(VLOOKUP(AC49,'Sources'!$A$2:$E$12,5,FALSE),"")</x:f>
        <x:v>https://www.specialmetals.com/documents/</x:v>
      </x:c>
      <x:c r="AG49" s="32" t="b">
        <x:f>COUNTIF($A$2:$A$127,A49)&gt;1</x:f>
        <x:v>0</x:v>
      </x:c>
    </x:row>
    <x:row r="50">
      <x:c r="A50" s="33" t="n">
        <x:v>2403</x:v>
      </x:c>
      <x:c r="B50" s="32" t="str">
        <x:v>INCONEL_625</x:v>
      </x:c>
      <x:c r="C50" s="32" t="str">
        <x:v>INCONEL alloy 625</x:v>
      </x:c>
      <x:c r="D50" s="32" t="str">
        <x:v>Nonferrous metal</x:v>
      </x:c>
      <x:c r="E50" s="32" t="str">
        <x:v>Nickel superalloy</x:v>
      </x:c>
      <x:c r="F50" s="32" t="str">
        <x:v>UNS N06625</x:v>
      </x:c>
      <x:c r="G50" s="32" t="str">
        <x:v>Solution annealed</x:v>
      </x:c>
      <x:c r="H50" s="32" t="str">
        <x:v>Isotropic</x:v>
      </x:c>
      <x:c r="I50" s="34" t="n">
        <x:v>8440</x:v>
      </x:c>
      <x:c r="J50" s="35" t="n">
        <x:v>208</x:v>
      </x:c>
      <x:c r="K50" s="35" t="n">
        <x:v>0.3</x:v>
      </x:c>
      <x:c r="L50" s="40"/>
      <x:c r="M50" s="40"/>
      <x:c r="N50" s="39" t="n">
        <x:f>IF(L50&lt;&gt;"",L50,IF(H50&lt;&gt;"Isotropic","",IF(OR(J50="",K50=""),"",J50/(2*(1+K50)))))</x:f>
        <x:v>80</x:v>
      </x:c>
      <x:c r="O50" s="39" t="n">
        <x:f>IF(M50&lt;&gt;"",M50,IF(H50&lt;&gt;"Isotropic","",IF(OR(J50="",K50="",K50&gt;=0.5),"",J50/(3*(1-2*K50)))))</x:f>
        <x:v>173.33333333333331</x:v>
      </x:c>
      <x:c r="P50" s="35" t="n">
        <x:v>460</x:v>
      </x:c>
      <x:c r="Q50" s="35" t="n">
        <x:v>930</x:v>
      </x:c>
      <x:c r="R50" s="35"/>
      <x:c r="S50" s="35"/>
      <x:c r="T50" s="36" t="n">
        <x:v>0.5</x:v>
      </x:c>
      <x:c r="U50" s="35" t="n">
        <x:v>120</x:v>
      </x:c>
      <x:c r="V50" s="35" t="n">
        <x:v>9.8</x:v>
      </x:c>
      <x:c r="W50" s="35" t="n">
        <x:v>410</x:v>
      </x:c>
      <x:c r="X50" s="35" t="n">
        <x:v>12.8</x:v>
      </x:c>
      <x:c r="Y50" s="37" t="n">
        <x:v>0.00000129</x:v>
      </x:c>
      <x:c r="Z50" s="38" t="n">
        <x:v>1335</x:v>
      </x:c>
      <x:c r="AA50" s="38" t="n">
        <x:v>980</x:v>
      </x:c>
      <x:c r="AB50" s="38" t="n">
        <x:v>260</x:v>
      </x:c>
      <x:c r="AC50" s="32" t="n">
        <x:v>4</x:v>
      </x:c>
      <x:c r="AD50" s="32" t="str">
        <x:v>Representative</x:v>
      </x:c>
      <x:c r="AE50" s="8" t="str">
        <x:v>High-temperature strength depends on exposure and product condition.</x:v>
      </x:c>
      <x:c r="AF50" s="8" t="str">
        <x:f>IFERROR(VLOOKUP(AC50,'Sources'!$A$2:$E$12,5,FALSE),"")</x:f>
        <x:v>https://www.specialmetals.com/documents/</x:v>
      </x:c>
      <x:c r="AG50" s="32" t="b">
        <x:f>COUNTIF($A$2:$A$127,A50)&gt;1</x:f>
        <x:v>0</x:v>
      </x:c>
    </x:row>
    <x:row r="51">
      <x:c r="A51" s="33" t="n">
        <x:v>2404</x:v>
      </x:c>
      <x:c r="B51" s="32" t="str">
        <x:v>INCONEL_718_AGED</x:v>
      </x:c>
      <x:c r="C51" s="32" t="str">
        <x:v>INCONEL alloy 718</x:v>
      </x:c>
      <x:c r="D51" s="32" t="str">
        <x:v>Nonferrous metal</x:v>
      </x:c>
      <x:c r="E51" s="32" t="str">
        <x:v>Nickel superalloy</x:v>
      </x:c>
      <x:c r="F51" s="32" t="str">
        <x:v>UNS N07718</x:v>
      </x:c>
      <x:c r="G51" s="32" t="str">
        <x:v>Solution treated and aged</x:v>
      </x:c>
      <x:c r="H51" s="32" t="str">
        <x:v>Isotropic</x:v>
      </x:c>
      <x:c r="I51" s="34" t="n">
        <x:v>8190</x:v>
      </x:c>
      <x:c r="J51" s="35" t="n">
        <x:v>200</x:v>
      </x:c>
      <x:c r="K51" s="35" t="n">
        <x:v>0.29</x:v>
      </x:c>
      <x:c r="L51" s="40"/>
      <x:c r="M51" s="40"/>
      <x:c r="N51" s="39" t="n">
        <x:f>IF(L51&lt;&gt;"",L51,IF(H51&lt;&gt;"Isotropic","",IF(OR(J51="",K51=""),"",J51/(2*(1+K51)))))</x:f>
        <x:v>77.51937984496124</x:v>
      </x:c>
      <x:c r="O51" s="39" t="n">
        <x:f>IF(M51&lt;&gt;"",M51,IF(H51&lt;&gt;"Isotropic","",IF(OR(J51="",K51="",K51&gt;=0.5),"",J51/(3*(1-2*K51)))))</x:f>
        <x:v>158.7301587301587</x:v>
      </x:c>
      <x:c r="P51" s="35" t="n">
        <x:v>1035</x:v>
      </x:c>
      <x:c r="Q51" s="35" t="n">
        <x:v>1240</x:v>
      </x:c>
      <x:c r="R51" s="35"/>
      <x:c r="S51" s="35"/>
      <x:c r="T51" s="36" t="n">
        <x:v>0.12</x:v>
      </x:c>
      <x:c r="U51" s="35" t="n">
        <x:v>85</x:v>
      </x:c>
      <x:c r="V51" s="35" t="n">
        <x:v>11.4</x:v>
      </x:c>
      <x:c r="W51" s="35" t="n">
        <x:v>435</x:v>
      </x:c>
      <x:c r="X51" s="35" t="n">
        <x:v>13</x:v>
      </x:c>
      <x:c r="Y51" s="37" t="n">
        <x:v>0.00000125</x:v>
      </x:c>
      <x:c r="Z51" s="38" t="n">
        <x:v>1300</x:v>
      </x:c>
      <x:c r="AA51" s="38" t="n">
        <x:v>650</x:v>
      </x:c>
      <x:c r="AB51" s="38" t="n">
        <x:v>400</x:v>
      </x:c>
      <x:c r="AC51" s="32" t="n">
        <x:v>4</x:v>
      </x:c>
      <x:c r="AD51" s="32" t="str">
        <x:v>Representative</x:v>
      </x:c>
      <x:c r="AE51" s="8" t="str">
        <x:v>Aged condition; verify heat treatment and temperature-dependent allowables.</x:v>
      </x:c>
      <x:c r="AF51" s="8" t="str">
        <x:f>IFERROR(VLOOKUP(AC51,'Sources'!$A$2:$E$12,5,FALSE),"")</x:f>
        <x:v>https://www.specialmetals.com/documents/</x:v>
      </x:c>
      <x:c r="AG51" s="32" t="b">
        <x:f>COUNTIF($A$2:$A$127,A51)&gt;1</x:f>
        <x:v>0</x:v>
      </x:c>
    </x:row>
    <x:row r="52">
      <x:c r="A52" s="33" t="n">
        <x:v>2405</x:v>
      </x:c>
      <x:c r="B52" s="32" t="str">
        <x:v>HASTELLOY_C276</x:v>
      </x:c>
      <x:c r="C52" s="32" t="str">
        <x:v>HASTELLOY C-276</x:v>
      </x:c>
      <x:c r="D52" s="32" t="str">
        <x:v>Nonferrous metal</x:v>
      </x:c>
      <x:c r="E52" s="32" t="str">
        <x:v>Nickel superalloy</x:v>
      </x:c>
      <x:c r="F52" s="32" t="str">
        <x:v>UNS N10276</x:v>
      </x:c>
      <x:c r="G52" s="32" t="str">
        <x:v>Solution annealed</x:v>
      </x:c>
      <x:c r="H52" s="32" t="str">
        <x:v>Isotropic</x:v>
      </x:c>
      <x:c r="I52" s="34" t="n">
        <x:v>8890</x:v>
      </x:c>
      <x:c r="J52" s="35" t="n">
        <x:v>205</x:v>
      </x:c>
      <x:c r="K52" s="35" t="n">
        <x:v>0.31</x:v>
      </x:c>
      <x:c r="L52" s="40"/>
      <x:c r="M52" s="40"/>
      <x:c r="N52" s="39" t="n">
        <x:f>IF(L52&lt;&gt;"",L52,IF(H52&lt;&gt;"Isotropic","",IF(OR(J52="",K52=""),"",J52/(2*(1+K52)))))</x:f>
        <x:v>78.2442748091603</x:v>
      </x:c>
      <x:c r="O52" s="39" t="n">
        <x:f>IF(M52&lt;&gt;"",M52,IF(H52&lt;&gt;"Isotropic","",IF(OR(J52="",K52="",K52&gt;=0.5),"",J52/(3*(1-2*K52)))))</x:f>
        <x:v>179.82456140350874</x:v>
      </x:c>
      <x:c r="P52" s="35" t="n">
        <x:v>355</x:v>
      </x:c>
      <x:c r="Q52" s="35" t="n">
        <x:v>790</x:v>
      </x:c>
      <x:c r="R52" s="35"/>
      <x:c r="S52" s="35"/>
      <x:c r="T52" s="36" t="n">
        <x:v>0.4</x:v>
      </x:c>
      <x:c r="U52" s="35" t="n">
        <x:v>120</x:v>
      </x:c>
      <x:c r="V52" s="35" t="n">
        <x:v>10.2</x:v>
      </x:c>
      <x:c r="W52" s="35" t="n">
        <x:v>427</x:v>
      </x:c>
      <x:c r="X52" s="35" t="n">
        <x:v>11.2</x:v>
      </x:c>
      <x:c r="Y52" s="37" t="n">
        <x:v>0.0000013</x:v>
      </x:c>
      <x:c r="Z52" s="38" t="n">
        <x:v>1325</x:v>
      </x:c>
      <x:c r="AA52" s="38" t="n">
        <x:v>540</x:v>
      </x:c>
      <x:c r="AB52" s="38" t="n">
        <x:v>230</x:v>
      </x:c>
      <x:c r="AC52" s="32" t="n">
        <x:v>4</x:v>
      </x:c>
      <x:c r="AD52" s="32" t="str">
        <x:v>Representative</x:v>
      </x:c>
      <x:c r="AE52" s="8" t="str">
        <x:v>Corrosion-resistant alloy; use producer data for environment-specific selection.</x:v>
      </x:c>
      <x:c r="AF52" s="8" t="str">
        <x:f>IFERROR(VLOOKUP(AC52,'Sources'!$A$2:$E$12,5,FALSE),"")</x:f>
        <x:v>https://www.specialmetals.com/documents/</x:v>
      </x:c>
      <x:c r="AG52" s="32" t="b">
        <x:f>COUNTIF($A$2:$A$127,A52)&gt;1</x:f>
        <x:v>0</x:v>
      </x:c>
    </x:row>
    <x:row r="53">
      <x:c r="A53" s="33" t="n">
        <x:v>2501</x:v>
      </x:c>
      <x:c r="B53" s="32" t="str">
        <x:v>ZINC_ZAMAK_3</x:v>
      </x:c>
      <x:c r="C53" s="32" t="str">
        <x:v>Zamak 3 zinc die-casting alloy</x:v>
      </x:c>
      <x:c r="D53" s="32" t="str">
        <x:v>Nonferrous metal</x:v>
      </x:c>
      <x:c r="E53" s="32" t="str">
        <x:v>Zinc alloy</x:v>
      </x:c>
      <x:c r="F53" s="32" t="str">
        <x:v>Zamak 3</x:v>
      </x:c>
      <x:c r="G53" s="32" t="str">
        <x:v>Die cast</x:v>
      </x:c>
      <x:c r="H53" s="32" t="str">
        <x:v>Isotropic</x:v>
      </x:c>
      <x:c r="I53" s="34" t="n">
        <x:v>6600</x:v>
      </x:c>
      <x:c r="J53" s="35" t="n">
        <x:v>86</x:v>
      </x:c>
      <x:c r="K53" s="35" t="n">
        <x:v>0.27</x:v>
      </x:c>
      <x:c r="L53" s="40"/>
      <x:c r="M53" s="40"/>
      <x:c r="N53" s="39" t="n">
        <x:f>IF(L53&lt;&gt;"",L53,IF(H53&lt;&gt;"Isotropic","",IF(OR(J53="",K53=""),"",J53/(2*(1+K53)))))</x:f>
        <x:v>33.85826771653543</x:v>
      </x:c>
      <x:c r="O53" s="39" t="n">
        <x:f>IF(M53&lt;&gt;"",M53,IF(H53&lt;&gt;"Isotropic","",IF(OR(J53="",K53="",K53&gt;=0.5),"",J53/(3*(1-2*K53)))))</x:f>
        <x:v>62.31884057971015</x:v>
      </x:c>
      <x:c r="P53" s="35" t="n">
        <x:v>210</x:v>
      </x:c>
      <x:c r="Q53" s="35" t="n">
        <x:v>283</x:v>
      </x:c>
      <x:c r="R53" s="35"/>
      <x:c r="S53" s="35"/>
      <x:c r="T53" s="36" t="n">
        <x:v>0.1</x:v>
      </x:c>
      <x:c r="U53" s="35" t="n">
        <x:v>18</x:v>
      </x:c>
      <x:c r="V53" s="35" t="n">
        <x:v>113</x:v>
      </x:c>
      <x:c r="W53" s="35" t="n">
        <x:v>420</x:v>
      </x:c>
      <x:c r="X53" s="35" t="n">
        <x:v>27.4</x:v>
      </x:c>
      <x:c r="Y53" s="37" t="n">
        <x:v>6.4e-8</x:v>
      </x:c>
      <x:c r="Z53" s="38" t="n">
        <x:v>385</x:v>
      </x:c>
      <x:c r="AA53" s="38" t="n">
        <x:v>95</x:v>
      </x:c>
      <x:c r="AB53" s="38" t="n">
        <x:v>82</x:v>
      </x:c>
      <x:c r="AC53" s="32" t="n">
        <x:v>1</x:v>
      </x:c>
      <x:c r="AD53" s="32" t="str">
        <x:v>Approximate</x:v>
      </x:c>
      <x:c r="AE53" s="8" t="str">
        <x:v>Creep and temperature sensitivity are important for zinc castings.</x:v>
      </x:c>
      <x:c r="AF53" s="8" t="str">
        <x:f>IFERROR(VLOOKUP(AC53,'Sources'!$A$2:$E$12,5,FALSE),"")</x:f>
        <x:v>https://www.matweb.com/search/MaterialGroupSearch.aspx</x:v>
      </x:c>
      <x:c r="AG53" s="32" t="b">
        <x:f>COUNTIF($A$2:$A$127,A53)&gt;1</x:f>
        <x:v>0</x:v>
      </x:c>
    </x:row>
    <x:row r="54">
      <x:c r="A54" s="33" t="n">
        <x:v>2502</x:v>
      </x:c>
      <x:c r="B54" s="32" t="str">
        <x:v>LEAD_PURE</x:v>
      </x:c>
      <x:c r="C54" s="32" t="str">
        <x:v>Pure lead</x:v>
      </x:c>
      <x:c r="D54" s="32" t="str">
        <x:v>Nonferrous metal</x:v>
      </x:c>
      <x:c r="E54" s="32" t="str">
        <x:v>Lead</x:v>
      </x:c>
      <x:c r="F54" s="32" t="str">
        <x:v>Pb, commercially pure</x:v>
      </x:c>
      <x:c r="G54" s="32" t="str">
        <x:v>Annealed</x:v>
      </x:c>
      <x:c r="H54" s="32" t="str">
        <x:v>Isotropic</x:v>
      </x:c>
      <x:c r="I54" s="34" t="n">
        <x:v>11340</x:v>
      </x:c>
      <x:c r="J54" s="35" t="n">
        <x:v>16</x:v>
      </x:c>
      <x:c r="K54" s="35" t="n">
        <x:v>0.44</x:v>
      </x:c>
      <x:c r="L54" s="40"/>
      <x:c r="M54" s="40"/>
      <x:c r="N54" s="39" t="n">
        <x:f>IF(L54&lt;&gt;"",L54,IF(H54&lt;&gt;"Isotropic","",IF(OR(J54="",K54=""),"",J54/(2*(1+K54)))))</x:f>
        <x:v>5.555555555555555</x:v>
      </x:c>
      <x:c r="O54" s="39" t="n">
        <x:f>IF(M54&lt;&gt;"",M54,IF(H54&lt;&gt;"Isotropic","",IF(OR(J54="",K54="",K54&gt;=0.5),"",J54/(3*(1-2*K54)))))</x:f>
        <x:v>44.44444444444444</x:v>
      </x:c>
      <x:c r="P54" s="35" t="n">
        <x:v>12</x:v>
      </x:c>
      <x:c r="Q54" s="35" t="n">
        <x:v>18</x:v>
      </x:c>
      <x:c r="R54" s="35"/>
      <x:c r="S54" s="35"/>
      <x:c r="T54" s="36" t="n">
        <x:v>0.5</x:v>
      </x:c>
      <x:c r="U54" s="35" t="n">
        <x:v>8</x:v>
      </x:c>
      <x:c r="V54" s="35" t="n">
        <x:v>35</x:v>
      </x:c>
      <x:c r="W54" s="35" t="n">
        <x:v>128</x:v>
      </x:c>
      <x:c r="X54" s="35" t="n">
        <x:v>28.9</x:v>
      </x:c>
      <x:c r="Y54" s="37" t="n">
        <x:v>2.08e-7</x:v>
      </x:c>
      <x:c r="Z54" s="38" t="n">
        <x:v>327</x:v>
      </x:c>
      <x:c r="AA54" s="38" t="n">
        <x:v>100</x:v>
      </x:c>
      <x:c r="AB54" s="38" t="n">
        <x:v>5</x:v>
      </x:c>
      <x:c r="AC54" s="32" t="n">
        <x:v>1</x:v>
      </x:c>
      <x:c r="AD54" s="32" t="str">
        <x:v>Approximate</x:v>
      </x:c>
      <x:c r="AE54" s="8" t="str">
        <x:v>Very low strength with substantial creep at room temperature.</x:v>
      </x:c>
      <x:c r="AF54" s="8" t="str">
        <x:f>IFERROR(VLOOKUP(AC54,'Sources'!$A$2:$E$12,5,FALSE),"")</x:f>
        <x:v>https://www.matweb.com/search/MaterialGroupSearch.aspx</x:v>
      </x:c>
      <x:c r="AG54" s="32" t="b">
        <x:f>COUNTIF($A$2:$A$127,A54)&gt;1</x:f>
        <x:v>0</x:v>
      </x:c>
    </x:row>
    <x:row r="55">
      <x:c r="A55" s="33" t="n">
        <x:v>2503</x:v>
      </x:c>
      <x:c r="B55" s="32" t="str">
        <x:v>TIN_PURE</x:v>
      </x:c>
      <x:c r="C55" s="32" t="str">
        <x:v>Pure tin</x:v>
      </x:c>
      <x:c r="D55" s="32" t="str">
        <x:v>Nonferrous metal</x:v>
      </x:c>
      <x:c r="E55" s="32" t="str">
        <x:v>Tin</x:v>
      </x:c>
      <x:c r="F55" s="32" t="str">
        <x:v>Sn, commercially pure</x:v>
      </x:c>
      <x:c r="G55" s="32" t="str">
        <x:v>Annealed</x:v>
      </x:c>
      <x:c r="H55" s="32" t="str">
        <x:v>Isotropic</x:v>
      </x:c>
      <x:c r="I55" s="34" t="n">
        <x:v>7310</x:v>
      </x:c>
      <x:c r="J55" s="35" t="n">
        <x:v>50</x:v>
      </x:c>
      <x:c r="K55" s="35" t="n">
        <x:v>0.36</x:v>
      </x:c>
      <x:c r="L55" s="40"/>
      <x:c r="M55" s="40"/>
      <x:c r="N55" s="39" t="n">
        <x:f>IF(L55&lt;&gt;"",L55,IF(H55&lt;&gt;"Isotropic","",IF(OR(J55="",K55=""),"",J55/(2*(1+K55)))))</x:f>
        <x:v>18.38235294117647</x:v>
      </x:c>
      <x:c r="O55" s="39" t="n">
        <x:f>IF(M55&lt;&gt;"",M55,IF(H55&lt;&gt;"Isotropic","",IF(OR(J55="",K55="",K55&gt;=0.5),"",J55/(3*(1-2*K55)))))</x:f>
        <x:v>59.52380952380952</x:v>
      </x:c>
      <x:c r="P55" s="35" t="n">
        <x:v>11</x:v>
      </x:c>
      <x:c r="Q55" s="35" t="n">
        <x:v>20</x:v>
      </x:c>
      <x:c r="R55" s="35"/>
      <x:c r="S55" s="35"/>
      <x:c r="T55" s="36" t="n">
        <x:v>0.4</x:v>
      </x:c>
      <x:c r="U55" s="35" t="n">
        <x:v>15</x:v>
      </x:c>
      <x:c r="V55" s="35" t="n">
        <x:v>67</x:v>
      </x:c>
      <x:c r="W55" s="35" t="n">
        <x:v>230</x:v>
      </x:c>
      <x:c r="X55" s="35" t="n">
        <x:v>22</x:v>
      </x:c>
      <x:c r="Y55" s="37" t="n">
        <x:v>1.15e-7</x:v>
      </x:c>
      <x:c r="Z55" s="38" t="n">
        <x:v>232</x:v>
      </x:c>
      <x:c r="AA55" s="38" t="n">
        <x:v>100</x:v>
      </x:c>
      <x:c r="AB55" s="38" t="n">
        <x:v>9</x:v>
      </x:c>
      <x:c r="AC55" s="32" t="n">
        <x:v>1</x:v>
      </x:c>
      <x:c r="AD55" s="32" t="str">
        <x:v>Approximate</x:v>
      </x:c>
      <x:c r="AE55" s="8" t="str">
        <x:v>Allotropy and creep can be important.</x:v>
      </x:c>
      <x:c r="AF55" s="8" t="str">
        <x:f>IFERROR(VLOOKUP(AC55,'Sources'!$A$2:$E$12,5,FALSE),"")</x:f>
        <x:v>https://www.matweb.com/search/MaterialGroupSearch.aspx</x:v>
      </x:c>
      <x:c r="AG55" s="32" t="b">
        <x:f>COUNTIF($A$2:$A$127,A55)&gt;1</x:f>
        <x:v>0</x:v>
      </x:c>
    </x:row>
    <x:row r="56">
      <x:c r="A56" s="33" t="n">
        <x:v>3001</x:v>
      </x:c>
      <x:c r="B56" s="32" t="str">
        <x:v>POLYMER_ABS</x:v>
      </x:c>
      <x:c r="C56" s="32" t="str">
        <x:v>ABS, general purpose</x:v>
      </x:c>
      <x:c r="D56" s="32" t="str">
        <x:v>Polymer</x:v>
      </x:c>
      <x:c r="E56" s="32" t="str">
        <x:v>Thermoplastic</x:v>
      </x:c>
      <x:c r="F56" s="32" t="str">
        <x:v>ABS</x:v>
      </x:c>
      <x:c r="G56" s="32" t="str">
        <x:v>Injection molded, dry</x:v>
      </x:c>
      <x:c r="H56" s="32" t="str">
        <x:v>Isotropic</x:v>
      </x:c>
      <x:c r="I56" s="34" t="n">
        <x:v>1040</x:v>
      </x:c>
      <x:c r="J56" s="35" t="n">
        <x:v>2.1</x:v>
      </x:c>
      <x:c r="K56" s="35" t="n">
        <x:v>0.35</x:v>
      </x:c>
      <x:c r="L56" s="40"/>
      <x:c r="M56" s="40"/>
      <x:c r="N56" s="39" t="n">
        <x:f>IF(L56&lt;&gt;"",L56,IF(H56&lt;&gt;"Isotropic","",IF(OR(J56="",K56=""),"",J56/(2*(1+K56)))))</x:f>
        <x:v>0.7777777777777778</x:v>
      </x:c>
      <x:c r="O56" s="39" t="n">
        <x:f>IF(M56&lt;&gt;"",M56,IF(H56&lt;&gt;"Isotropic","",IF(OR(J56="",K56="",K56&gt;=0.5),"",J56/(3*(1-2*K56)))))</x:f>
        <x:v>2.333333333333333</x:v>
      </x:c>
      <x:c r="P56" s="35" t="n">
        <x:v>42</x:v>
      </x:c>
      <x:c r="Q56" s="35" t="n">
        <x:v>45</x:v>
      </x:c>
      <x:c r="R56" s="35" t="n">
        <x:v>65</x:v>
      </x:c>
      <x:c r="S56" s="35" t="n">
        <x:v>70</x:v>
      </x:c>
      <x:c r="T56" s="36" t="n">
        <x:v>0.2</x:v>
      </x:c>
      <x:c r="U56" s="35" t="n">
        <x:v>3</x:v>
      </x:c>
      <x:c r="V56" s="35" t="n">
        <x:v>0.18</x:v>
      </x:c>
      <x:c r="W56" s="35" t="n">
        <x:v>1300</x:v>
      </x:c>
      <x:c r="X56" s="35" t="n">
        <x:v>90</x:v>
      </x:c>
      <x:c r="Y56" s="37" t="n">
        <x:v>100000000000000</x:v>
      </x:c>
      <x:c r="Z56" s="38" t="n">
        <x:v>105</x:v>
      </x:c>
      <x:c r="AA56" s="38" t="n">
        <x:v>80</x:v>
      </x:c>
      <x:c r="AB56" s="38"/>
      <x:c r="AC56" s="32" t="n">
        <x:v>5</x:v>
      </x:c>
      <x:c r="AD56" s="32" t="str">
        <x:v>Approximate</x:v>
      </x:c>
      <x:c r="AE56" s="8" t="str">
        <x:v>Generic unfilled grade; value ranges across suppliers and processing.</x:v>
      </x:c>
      <x:c r="AF56" s="8" t="str">
        <x:f>IFERROR(VLOOKUP(AC56,'Sources'!$A$2:$E$12,5,FALSE),"")</x:f>
        <x:v>https://www.campusplastics.com/</x:v>
      </x:c>
      <x:c r="AG56" s="32" t="b">
        <x:f>COUNTIF($A$2:$A$127,A56)&gt;1</x:f>
        <x:v>0</x:v>
      </x:c>
    </x:row>
    <x:row r="57">
      <x:c r="A57" s="33" t="n">
        <x:v>3002</x:v>
      </x:c>
      <x:c r="B57" s="32" t="str">
        <x:v>POLYMER_PLA</x:v>
      </x:c>
      <x:c r="C57" s="32" t="str">
        <x:v>PLA, general purpose</x:v>
      </x:c>
      <x:c r="D57" s="32" t="str">
        <x:v>Polymer</x:v>
      </x:c>
      <x:c r="E57" s="32" t="str">
        <x:v>Thermoplastic</x:v>
      </x:c>
      <x:c r="F57" s="32" t="str">
        <x:v>PLA</x:v>
      </x:c>
      <x:c r="G57" s="32" t="str">
        <x:v>Injection molded/printed bulk screening</x:v>
      </x:c>
      <x:c r="H57" s="32" t="str">
        <x:v>Isotropic</x:v>
      </x:c>
      <x:c r="I57" s="34" t="n">
        <x:v>1240</x:v>
      </x:c>
      <x:c r="J57" s="35" t="n">
        <x:v>3.5</x:v>
      </x:c>
      <x:c r="K57" s="35" t="n">
        <x:v>0.36</x:v>
      </x:c>
      <x:c r="L57" s="40"/>
      <x:c r="M57" s="40"/>
      <x:c r="N57" s="39" t="n">
        <x:f>IF(L57&lt;&gt;"",L57,IF(H57&lt;&gt;"Isotropic","",IF(OR(J57="",K57=""),"",J57/(2*(1+K57)))))</x:f>
        <x:v>1.286764705882353</x:v>
      </x:c>
      <x:c r="O57" s="39" t="n">
        <x:f>IF(M57&lt;&gt;"",M57,IF(H57&lt;&gt;"Isotropic","",IF(OR(J57="",K57="",K57&gt;=0.5),"",J57/(3*(1-2*K57)))))</x:f>
        <x:v>4.166666666666666</x:v>
      </x:c>
      <x:c r="P57" s="35" t="n">
        <x:v>60</x:v>
      </x:c>
      <x:c r="Q57" s="35" t="n">
        <x:v>60</x:v>
      </x:c>
      <x:c r="R57" s="35" t="n">
        <x:v>80</x:v>
      </x:c>
      <x:c r="S57" s="35" t="n">
        <x:v>95</x:v>
      </x:c>
      <x:c r="T57" s="36" t="n">
        <x:v>0.06</x:v>
      </x:c>
      <x:c r="U57" s="35" t="n">
        <x:v>2.5</x:v>
      </x:c>
      <x:c r="V57" s="35" t="n">
        <x:v>0.13</x:v>
      </x:c>
      <x:c r="W57" s="35" t="n">
        <x:v>1800</x:v>
      </x:c>
      <x:c r="X57" s="35" t="n">
        <x:v>68</x:v>
      </x:c>
      <x:c r="Y57" s="37" t="n">
        <x:v>100000000000000</x:v>
      </x:c>
      <x:c r="Z57" s="38" t="n">
        <x:v>160</x:v>
      </x:c>
      <x:c r="AA57" s="38" t="n">
        <x:v>50</x:v>
      </x:c>
      <x:c r="AB57" s="38"/>
      <x:c r="AC57" s="32" t="n">
        <x:v>5</x:v>
      </x:c>
      <x:c r="AD57" s="32" t="str">
        <x:v>Approximate</x:v>
      </x:c>
      <x:c r="AE57" s="8" t="str">
        <x:v>Printing orientation and crystallinity can dominate properties.</x:v>
      </x:c>
      <x:c r="AF57" s="8" t="str">
        <x:f>IFERROR(VLOOKUP(AC57,'Sources'!$A$2:$E$12,5,FALSE),"")</x:f>
        <x:v>https://www.campusplastics.com/</x:v>
      </x:c>
      <x:c r="AG57" s="32" t="b">
        <x:f>COUNTIF($A$2:$A$127,A57)&gt;1</x:f>
        <x:v>0</x:v>
      </x:c>
    </x:row>
    <x:row r="58">
      <x:c r="A58" s="33" t="n">
        <x:v>3003</x:v>
      </x:c>
      <x:c r="B58" s="32" t="str">
        <x:v>POLYMER_HIPS</x:v>
      </x:c>
      <x:c r="C58" s="32" t="str">
        <x:v>High-impact polystyrene</x:v>
      </x:c>
      <x:c r="D58" s="32" t="str">
        <x:v>Polymer</x:v>
      </x:c>
      <x:c r="E58" s="32" t="str">
        <x:v>Thermoplastic</x:v>
      </x:c>
      <x:c r="F58" s="32" t="str">
        <x:v>HIPS</x:v>
      </x:c>
      <x:c r="G58" s="32" t="str">
        <x:v>Injection molded</x:v>
      </x:c>
      <x:c r="H58" s="32" t="str">
        <x:v>Isotropic</x:v>
      </x:c>
      <x:c r="I58" s="34" t="n">
        <x:v>1040</x:v>
      </x:c>
      <x:c r="J58" s="35" t="n">
        <x:v>2</x:v>
      </x:c>
      <x:c r="K58" s="35" t="n">
        <x:v>0.34</x:v>
      </x:c>
      <x:c r="L58" s="40"/>
      <x:c r="M58" s="40"/>
      <x:c r="N58" s="39" t="n">
        <x:f>IF(L58&lt;&gt;"",L58,IF(H58&lt;&gt;"Isotropic","",IF(OR(J58="",K58=""),"",J58/(2*(1+K58)))))</x:f>
        <x:v>0.7462686567164178</x:v>
      </x:c>
      <x:c r="O58" s="39" t="n">
        <x:f>IF(M58&lt;&gt;"",M58,IF(H58&lt;&gt;"Isotropic","",IF(OR(J58="",K58="",K58&gt;=0.5),"",J58/(3*(1-2*K58)))))</x:f>
        <x:v>2.0833333333333335</x:v>
      </x:c>
      <x:c r="P58" s="35" t="n">
        <x:v>25</x:v>
      </x:c>
      <x:c r="Q58" s="35" t="n">
        <x:v>32</x:v>
      </x:c>
      <x:c r="R58" s="35" t="n">
        <x:v>55</x:v>
      </x:c>
      <x:c r="S58" s="35" t="n">
        <x:v>45</x:v>
      </x:c>
      <x:c r="T58" s="36" t="n">
        <x:v>0.4</x:v>
      </x:c>
      <x:c r="U58" s="35" t="n">
        <x:v>2.5</x:v>
      </x:c>
      <x:c r="V58" s="35" t="n">
        <x:v>0.17</x:v>
      </x:c>
      <x:c r="W58" s="35" t="n">
        <x:v>1300</x:v>
      </x:c>
      <x:c r="X58" s="35" t="n">
        <x:v>80</x:v>
      </x:c>
      <x:c r="Y58" s="37" t="n">
        <x:v>100000000000000</x:v>
      </x:c>
      <x:c r="Z58" s="38" t="n">
        <x:v>95</x:v>
      </x:c>
      <x:c r="AA58" s="38" t="n">
        <x:v>75</x:v>
      </x:c>
      <x:c r="AB58" s="38"/>
      <x:c r="AC58" s="32" t="n">
        <x:v>5</x:v>
      </x:c>
      <x:c r="AD58" s="32" t="str">
        <x:v>Approximate</x:v>
      </x:c>
      <x:c r="AE58" s="8" t="str">
        <x:v>Generic unfilled grade.</x:v>
      </x:c>
      <x:c r="AF58" s="8" t="str">
        <x:f>IFERROR(VLOOKUP(AC58,'Sources'!$A$2:$E$12,5,FALSE),"")</x:f>
        <x:v>https://www.campusplastics.com/</x:v>
      </x:c>
      <x:c r="AG58" s="32" t="b">
        <x:f>COUNTIF($A$2:$A$127,A58)&gt;1</x:f>
        <x:v>0</x:v>
      </x:c>
    </x:row>
    <x:row r="59">
      <x:c r="A59" s="33" t="n">
        <x:v>3004</x:v>
      </x:c>
      <x:c r="B59" s="32" t="str">
        <x:v>POLYMER_HDPE</x:v>
      </x:c>
      <x:c r="C59" s="32" t="str">
        <x:v>High-density polyethylene</x:v>
      </x:c>
      <x:c r="D59" s="32" t="str">
        <x:v>Polymer</x:v>
      </x:c>
      <x:c r="E59" s="32" t="str">
        <x:v>Thermoplastic</x:v>
      </x:c>
      <x:c r="F59" s="32" t="str">
        <x:v>HDPE</x:v>
      </x:c>
      <x:c r="G59" s="32" t="str">
        <x:v>Molded, unfilled</x:v>
      </x:c>
      <x:c r="H59" s="32" t="str">
        <x:v>Isotropic</x:v>
      </x:c>
      <x:c r="I59" s="34" t="n">
        <x:v>950</x:v>
      </x:c>
      <x:c r="J59" s="35" t="n">
        <x:v>1</x:v>
      </x:c>
      <x:c r="K59" s="35" t="n">
        <x:v>0.46</x:v>
      </x:c>
      <x:c r="L59" s="40"/>
      <x:c r="M59" s="40"/>
      <x:c r="N59" s="39" t="n">
        <x:f>IF(L59&lt;&gt;"",L59,IF(H59&lt;&gt;"Isotropic","",IF(OR(J59="",K59=""),"",J59/(2*(1+K59)))))</x:f>
        <x:v>0.3424657534246575</x:v>
      </x:c>
      <x:c r="O59" s="39" t="n">
        <x:f>IF(M59&lt;&gt;"",M59,IF(H59&lt;&gt;"Isotropic","",IF(OR(J59="",K59="",K59&gt;=0.5),"",J59/(3*(1-2*K59)))))</x:f>
        <x:v>4.166666666666669</x:v>
      </x:c>
      <x:c r="P59" s="35" t="n">
        <x:v>26</x:v>
      </x:c>
      <x:c r="Q59" s="35" t="n">
        <x:v>32</x:v>
      </x:c>
      <x:c r="R59" s="35" t="n">
        <x:v>22</x:v>
      </x:c>
      <x:c r="S59" s="35" t="n">
        <x:v>30</x:v>
      </x:c>
      <x:c r="T59" s="36" t="n">
        <x:v>6</x:v>
      </x:c>
      <x:c r="U59" s="35" t="n">
        <x:v>3</x:v>
      </x:c>
      <x:c r="V59" s="35" t="n">
        <x:v>0.5</x:v>
      </x:c>
      <x:c r="W59" s="35" t="n">
        <x:v>1900</x:v>
      </x:c>
      <x:c r="X59" s="35" t="n">
        <x:v>120</x:v>
      </x:c>
      <x:c r="Y59" s="37" t="n">
        <x:v>10000000000000000</x:v>
      </x:c>
      <x:c r="Z59" s="38" t="n">
        <x:v>130</x:v>
      </x:c>
      <x:c r="AA59" s="38" t="n">
        <x:v>80</x:v>
      </x:c>
      <x:c r="AB59" s="38"/>
      <x:c r="AC59" s="32" t="n">
        <x:v>5</x:v>
      </x:c>
      <x:c r="AD59" s="32" t="str">
        <x:v>Approximate</x:v>
      </x:c>
      <x:c r="AE59" s="8" t="str">
        <x:v>Viscoelastic; modulus and strength depend strongly on time and temperature.</x:v>
      </x:c>
      <x:c r="AF59" s="8" t="str">
        <x:f>IFERROR(VLOOKUP(AC59,'Sources'!$A$2:$E$12,5,FALSE),"")</x:f>
        <x:v>https://www.campusplastics.com/</x:v>
      </x:c>
      <x:c r="AG59" s="32" t="b">
        <x:f>COUNTIF($A$2:$A$127,A59)&gt;1</x:f>
        <x:v>0</x:v>
      </x:c>
    </x:row>
    <x:row r="60">
      <x:c r="A60" s="33" t="n">
        <x:v>3005</x:v>
      </x:c>
      <x:c r="B60" s="32" t="str">
        <x:v>POLYMER_LDPE</x:v>
      </x:c>
      <x:c r="C60" s="32" t="str">
        <x:v>Low-density polyethylene</x:v>
      </x:c>
      <x:c r="D60" s="32" t="str">
        <x:v>Polymer</x:v>
      </x:c>
      <x:c r="E60" s="32" t="str">
        <x:v>Thermoplastic</x:v>
      </x:c>
      <x:c r="F60" s="32" t="str">
        <x:v>LDPE</x:v>
      </x:c>
      <x:c r="G60" s="32" t="str">
        <x:v>Molded, unfilled</x:v>
      </x:c>
      <x:c r="H60" s="32" t="str">
        <x:v>Isotropic</x:v>
      </x:c>
      <x:c r="I60" s="34" t="n">
        <x:v>920</x:v>
      </x:c>
      <x:c r="J60" s="35" t="n">
        <x:v>0.25</x:v>
      </x:c>
      <x:c r="K60" s="35" t="n">
        <x:v>0.46</x:v>
      </x:c>
      <x:c r="L60" s="40"/>
      <x:c r="M60" s="40"/>
      <x:c r="N60" s="39" t="n">
        <x:f>IF(L60&lt;&gt;"",L60,IF(H60&lt;&gt;"Isotropic","",IF(OR(J60="",K60=""),"",J60/(2*(1+K60)))))</x:f>
        <x:v>0.08561643835616438</x:v>
      </x:c>
      <x:c r="O60" s="39" t="n">
        <x:f>IF(M60&lt;&gt;"",M60,IF(H60&lt;&gt;"Isotropic","",IF(OR(J60="",K60="",K60&gt;=0.5),"",J60/(3*(1-2*K60)))))</x:f>
        <x:v>1.0416666666666672</x:v>
      </x:c>
      <x:c r="P60" s="35" t="n">
        <x:v>10</x:v>
      </x:c>
      <x:c r="Q60" s="35" t="n">
        <x:v>15</x:v>
      </x:c>
      <x:c r="R60" s="35" t="n">
        <x:v>12</x:v>
      </x:c>
      <x:c r="S60" s="35" t="n">
        <x:v>10</x:v>
      </x:c>
      <x:c r="T60" s="36" t="n">
        <x:v>5</x:v>
      </x:c>
      <x:c r="U60" s="35" t="n">
        <x:v>2</x:v>
      </x:c>
      <x:c r="V60" s="35" t="n">
        <x:v>0.33</x:v>
      </x:c>
      <x:c r="W60" s="35" t="n">
        <x:v>2300</x:v>
      </x:c>
      <x:c r="X60" s="35" t="n">
        <x:v>180</x:v>
      </x:c>
      <x:c r="Y60" s="37" t="n">
        <x:v>10000000000000000</x:v>
      </x:c>
      <x:c r="Z60" s="38" t="n">
        <x:v>110</x:v>
      </x:c>
      <x:c r="AA60" s="38" t="n">
        <x:v>65</x:v>
      </x:c>
      <x:c r="AB60" s="38"/>
      <x:c r="AC60" s="32" t="n">
        <x:v>5</x:v>
      </x:c>
      <x:c r="AD60" s="32" t="str">
        <x:v>Approximate</x:v>
      </x:c>
      <x:c r="AE60" s="8" t="str">
        <x:v>Viscoelastic generic grade.</x:v>
      </x:c>
      <x:c r="AF60" s="8" t="str">
        <x:f>IFERROR(VLOOKUP(AC60,'Sources'!$A$2:$E$12,5,FALSE),"")</x:f>
        <x:v>https://www.campusplastics.com/</x:v>
      </x:c>
      <x:c r="AG60" s="32" t="b">
        <x:f>COUNTIF($A$2:$A$127,A60)&gt;1</x:f>
        <x:v>0</x:v>
      </x:c>
    </x:row>
    <x:row r="61">
      <x:c r="A61" s="33" t="n">
        <x:v>3006</x:v>
      </x:c>
      <x:c r="B61" s="32" t="str">
        <x:v>POLYMER_UHMWPE</x:v>
      </x:c>
      <x:c r="C61" s="32" t="str">
        <x:v>Ultra-high-molecular-weight polyethylene</x:v>
      </x:c>
      <x:c r="D61" s="32" t="str">
        <x:v>Polymer</x:v>
      </x:c>
      <x:c r="E61" s="32" t="str">
        <x:v>Thermoplastic</x:v>
      </x:c>
      <x:c r="F61" s="32" t="str">
        <x:v>UHMWPE</x:v>
      </x:c>
      <x:c r="G61" s="32" t="str">
        <x:v>Compression molded</x:v>
      </x:c>
      <x:c r="H61" s="32" t="str">
        <x:v>Isotropic</x:v>
      </x:c>
      <x:c r="I61" s="34" t="n">
        <x:v>940</x:v>
      </x:c>
      <x:c r="J61" s="35" t="n">
        <x:v>0.8</x:v>
      </x:c>
      <x:c r="K61" s="35" t="n">
        <x:v>0.46</x:v>
      </x:c>
      <x:c r="L61" s="40"/>
      <x:c r="M61" s="40"/>
      <x:c r="N61" s="39" t="n">
        <x:f>IF(L61&lt;&gt;"",L61,IF(H61&lt;&gt;"Isotropic","",IF(OR(J61="",K61=""),"",J61/(2*(1+K61)))))</x:f>
        <x:v>0.27397260273972607</x:v>
      </x:c>
      <x:c r="O61" s="39" t="n">
        <x:f>IF(M61&lt;&gt;"",M61,IF(H61&lt;&gt;"Isotropic","",IF(OR(J61="",K61="",K61&gt;=0.5),"",J61/(3*(1-2*K61)))))</x:f>
        <x:v>3.3333333333333353</x:v>
      </x:c>
      <x:c r="P61" s="35" t="n">
        <x:v>21</x:v>
      </x:c>
      <x:c r="Q61" s="35" t="n">
        <x:v>40</x:v>
      </x:c>
      <x:c r="R61" s="35" t="n">
        <x:v>20</x:v>
      </x:c>
      <x:c r="S61" s="35" t="n">
        <x:v>25</x:v>
      </x:c>
      <x:c r="T61" s="36" t="n">
        <x:v>3</x:v>
      </x:c>
      <x:c r="U61" s="35" t="n">
        <x:v>4</x:v>
      </x:c>
      <x:c r="V61" s="35" t="n">
        <x:v>0.42</x:v>
      </x:c>
      <x:c r="W61" s="35" t="n">
        <x:v>1900</x:v>
      </x:c>
      <x:c r="X61" s="35" t="n">
        <x:v>150</x:v>
      </x:c>
      <x:c r="Y61" s="37" t="n">
        <x:v>10000000000000000</x:v>
      </x:c>
      <x:c r="Z61" s="38" t="n">
        <x:v>135</x:v>
      </x:c>
      <x:c r="AA61" s="38" t="n">
        <x:v>80</x:v>
      </x:c>
      <x:c r="AB61" s="38"/>
      <x:c r="AC61" s="32" t="n">
        <x:v>5</x:v>
      </x:c>
      <x:c r="AD61" s="32" t="str">
        <x:v>Approximate</x:v>
      </x:c>
      <x:c r="AE61" s="8" t="str">
        <x:v>Wear-grade properties vary with molecular weight and processing.</x:v>
      </x:c>
      <x:c r="AF61" s="8" t="str">
        <x:f>IFERROR(VLOOKUP(AC61,'Sources'!$A$2:$E$12,5,FALSE),"")</x:f>
        <x:v>https://www.campusplastics.com/</x:v>
      </x:c>
      <x:c r="AG61" s="32" t="b">
        <x:f>COUNTIF($A$2:$A$127,A61)&gt;1</x:f>
        <x:v>0</x:v>
      </x:c>
    </x:row>
    <x:row r="62">
      <x:c r="A62" s="33" t="n">
        <x:v>3007</x:v>
      </x:c>
      <x:c r="B62" s="32" t="str">
        <x:v>POLYMER_PP_HOMOPOLYMER</x:v>
      </x:c>
      <x:c r="C62" s="32" t="str">
        <x:v>Polypropylene homopolymer</x:v>
      </x:c>
      <x:c r="D62" s="32" t="str">
        <x:v>Polymer</x:v>
      </x:c>
      <x:c r="E62" s="32" t="str">
        <x:v>Thermoplastic</x:v>
      </x:c>
      <x:c r="F62" s="32" t="str">
        <x:v>PP-H</x:v>
      </x:c>
      <x:c r="G62" s="32" t="str">
        <x:v>Injection molded, unfilled</x:v>
      </x:c>
      <x:c r="H62" s="32" t="str">
        <x:v>Isotropic</x:v>
      </x:c>
      <x:c r="I62" s="34" t="n">
        <x:v>905</x:v>
      </x:c>
      <x:c r="J62" s="35" t="n">
        <x:v>1.5</x:v>
      </x:c>
      <x:c r="K62" s="35" t="n">
        <x:v>0.42</x:v>
      </x:c>
      <x:c r="L62" s="40"/>
      <x:c r="M62" s="40"/>
      <x:c r="N62" s="39" t="n">
        <x:f>IF(L62&lt;&gt;"",L62,IF(H62&lt;&gt;"Isotropic","",IF(OR(J62="",K62=""),"",J62/(2*(1+K62)))))</x:f>
        <x:v>0.5281690140845071</x:v>
      </x:c>
      <x:c r="O62" s="39" t="n">
        <x:f>IF(M62&lt;&gt;"",M62,IF(H62&lt;&gt;"Isotropic","",IF(OR(J62="",K62="",K62&gt;=0.5),"",J62/(3*(1-2*K62)))))</x:f>
        <x:v>3.1249999999999996</x:v>
      </x:c>
      <x:c r="P62" s="35" t="n">
        <x:v>35</x:v>
      </x:c>
      <x:c r="Q62" s="35" t="n">
        <x:v>38</x:v>
      </x:c>
      <x:c r="R62" s="35" t="n">
        <x:v>50</x:v>
      </x:c>
      <x:c r="S62" s="35" t="n">
        <x:v>50</x:v>
      </x:c>
      <x:c r="T62" s="36" t="n">
        <x:v>2</x:v>
      </x:c>
      <x:c r="U62" s="35" t="n">
        <x:v>3</x:v>
      </x:c>
      <x:c r="V62" s="35" t="n">
        <x:v>0.22</x:v>
      </x:c>
      <x:c r="W62" s="35" t="n">
        <x:v>1900</x:v>
      </x:c>
      <x:c r="X62" s="35" t="n">
        <x:v>100</x:v>
      </x:c>
      <x:c r="Y62" s="37" t="n">
        <x:v>1000000000000000</x:v>
      </x:c>
      <x:c r="Z62" s="38" t="n">
        <x:v>165</x:v>
      </x:c>
      <x:c r="AA62" s="38" t="n">
        <x:v>100</x:v>
      </x:c>
      <x:c r="AB62" s="38"/>
      <x:c r="AC62" s="32" t="n">
        <x:v>5</x:v>
      </x:c>
      <x:c r="AD62" s="32" t="str">
        <x:v>Approximate</x:v>
      </x:c>
      <x:c r="AE62" s="8" t="str">
        <x:v>Generic unfilled grade; creep is significant.</x:v>
      </x:c>
      <x:c r="AF62" s="8" t="str">
        <x:f>IFERROR(VLOOKUP(AC62,'Sources'!$A$2:$E$12,5,FALSE),"")</x:f>
        <x:v>https://www.campusplastics.com/</x:v>
      </x:c>
      <x:c r="AG62" s="32" t="b">
        <x:f>COUNTIF($A$2:$A$127,A62)&gt;1</x:f>
        <x:v>0</x:v>
      </x:c>
    </x:row>
    <x:row r="63">
      <x:c r="A63" s="33" t="n">
        <x:v>3008</x:v>
      </x:c>
      <x:c r="B63" s="32" t="str">
        <x:v>POLYMER_PVC_RIGID</x:v>
      </x:c>
      <x:c r="C63" s="32" t="str">
        <x:v>Rigid PVC</x:v>
      </x:c>
      <x:c r="D63" s="32" t="str">
        <x:v>Polymer</x:v>
      </x:c>
      <x:c r="E63" s="32" t="str">
        <x:v>Thermoplastic</x:v>
      </x:c>
      <x:c r="F63" s="32" t="str">
        <x:v>uPVC</x:v>
      </x:c>
      <x:c r="G63" s="32" t="str">
        <x:v>Extruded/molded, unplasticized</x:v>
      </x:c>
      <x:c r="H63" s="32" t="str">
        <x:v>Isotropic</x:v>
      </x:c>
      <x:c r="I63" s="34" t="n">
        <x:v>1400</x:v>
      </x:c>
      <x:c r="J63" s="35" t="n">
        <x:v>3</x:v>
      </x:c>
      <x:c r="K63" s="35" t="n">
        <x:v>0.38</x:v>
      </x:c>
      <x:c r="L63" s="40"/>
      <x:c r="M63" s="40"/>
      <x:c r="N63" s="39" t="n">
        <x:f>IF(L63&lt;&gt;"",L63,IF(H63&lt;&gt;"Isotropic","",IF(OR(J63="",K63=""),"",J63/(2*(1+K63)))))</x:f>
        <x:v>1.0869565217391306</x:v>
      </x:c>
      <x:c r="O63" s="39" t="n">
        <x:f>IF(M63&lt;&gt;"",M63,IF(H63&lt;&gt;"Isotropic","",IF(OR(J63="",K63="",K63&gt;=0.5),"",J63/(3*(1-2*K63)))))</x:f>
        <x:v>4.166666666666667</x:v>
      </x:c>
      <x:c r="P63" s="35" t="n">
        <x:v>50</x:v>
      </x:c>
      <x:c r="Q63" s="35" t="n">
        <x:v>55</x:v>
      </x:c>
      <x:c r="R63" s="35" t="n">
        <x:v>70</x:v>
      </x:c>
      <x:c r="S63" s="35" t="n">
        <x:v>80</x:v>
      </x:c>
      <x:c r="T63" s="36" t="n">
        <x:v>0.4</x:v>
      </x:c>
      <x:c r="U63" s="35" t="n">
        <x:v>2.5</x:v>
      </x:c>
      <x:c r="V63" s="35" t="n">
        <x:v>0.19</x:v>
      </x:c>
      <x:c r="W63" s="35" t="n">
        <x:v>900</x:v>
      </x:c>
      <x:c r="X63" s="35" t="n">
        <x:v>55</x:v>
      </x:c>
      <x:c r="Y63" s="37" t="n">
        <x:v>10000000000000</x:v>
      </x:c>
      <x:c r="Z63" s="38" t="n">
        <x:v>82</x:v>
      </x:c>
      <x:c r="AA63" s="38" t="n">
        <x:v>60</x:v>
      </x:c>
      <x:c r="AB63" s="38"/>
      <x:c r="AC63" s="32" t="n">
        <x:v>5</x:v>
      </x:c>
      <x:c r="AD63" s="32" t="str">
        <x:v>Approximate</x:v>
      </x:c>
      <x:c r="AE63" s="8" t="str">
        <x:v>Primary transition listed is Vicat/softening-type screening value.</x:v>
      </x:c>
      <x:c r="AF63" s="8" t="str">
        <x:f>IFERROR(VLOOKUP(AC63,'Sources'!$A$2:$E$12,5,FALSE),"")</x:f>
        <x:v>https://www.campusplastics.com/</x:v>
      </x:c>
      <x:c r="AG63" s="32" t="b">
        <x:f>COUNTIF($A$2:$A$127,A63)&gt;1</x:f>
        <x:v>0</x:v>
      </x:c>
    </x:row>
    <x:row r="64">
      <x:c r="A64" s="33" t="n">
        <x:v>3009</x:v>
      </x:c>
      <x:c r="B64" s="32" t="str">
        <x:v>POLYMER_CPVC</x:v>
      </x:c>
      <x:c r="C64" s="32" t="str">
        <x:v>Chlorinated PVC</x:v>
      </x:c>
      <x:c r="D64" s="32" t="str">
        <x:v>Polymer</x:v>
      </x:c>
      <x:c r="E64" s="32" t="str">
        <x:v>Thermoplastic</x:v>
      </x:c>
      <x:c r="F64" s="32" t="str">
        <x:v>CPVC</x:v>
      </x:c>
      <x:c r="G64" s="32" t="str">
        <x:v>Extruded/molded</x:v>
      </x:c>
      <x:c r="H64" s="32" t="str">
        <x:v>Isotropic</x:v>
      </x:c>
      <x:c r="I64" s="34" t="n">
        <x:v>1550</x:v>
      </x:c>
      <x:c r="J64" s="35" t="n">
        <x:v>2.8</x:v>
      </x:c>
      <x:c r="K64" s="35" t="n">
        <x:v>0.38</x:v>
      </x:c>
      <x:c r="L64" s="40"/>
      <x:c r="M64" s="40"/>
      <x:c r="N64" s="39" t="n">
        <x:f>IF(L64&lt;&gt;"",L64,IF(H64&lt;&gt;"Isotropic","",IF(OR(J64="",K64=""),"",J64/(2*(1+K64)))))</x:f>
        <x:v>1.0144927536231885</x:v>
      </x:c>
      <x:c r="O64" s="39" t="n">
        <x:f>IF(M64&lt;&gt;"",M64,IF(H64&lt;&gt;"Isotropic","",IF(OR(J64="",K64="",K64&gt;=0.5),"",J64/(3*(1-2*K64)))))</x:f>
        <x:v>3.888888888888889</x:v>
      </x:c>
      <x:c r="P64" s="35" t="n">
        <x:v>55</x:v>
      </x:c>
      <x:c r="Q64" s="35" t="n">
        <x:v>60</x:v>
      </x:c>
      <x:c r="R64" s="35" t="n">
        <x:v>80</x:v>
      </x:c>
      <x:c r="S64" s="35" t="n">
        <x:v>90</x:v>
      </x:c>
      <x:c r="T64" s="36" t="n">
        <x:v>0.3</x:v>
      </x:c>
      <x:c r="U64" s="35" t="n">
        <x:v>2.5</x:v>
      </x:c>
      <x:c r="V64" s="35" t="n">
        <x:v>0.14</x:v>
      </x:c>
      <x:c r="W64" s="35" t="n">
        <x:v>1000</x:v>
      </x:c>
      <x:c r="X64" s="35" t="n">
        <x:v>65</x:v>
      </x:c>
      <x:c r="Y64" s="37" t="n">
        <x:v>10000000000000</x:v>
      </x:c>
      <x:c r="Z64" s="38" t="n">
        <x:v>110</x:v>
      </x:c>
      <x:c r="AA64" s="38" t="n">
        <x:v>95</x:v>
      </x:c>
      <x:c r="AB64" s="38"/>
      <x:c r="AC64" s="32" t="n">
        <x:v>5</x:v>
      </x:c>
      <x:c r="AD64" s="32" t="str">
        <x:v>Approximate</x:v>
      </x:c>
      <x:c r="AE64" s="8" t="str">
        <x:v>Pressure-rating temperature limits require product standards.</x:v>
      </x:c>
      <x:c r="AF64" s="8" t="str">
        <x:f>IFERROR(VLOOKUP(AC64,'Sources'!$A$2:$E$12,5,FALSE),"")</x:f>
        <x:v>https://www.campusplastics.com/</x:v>
      </x:c>
      <x:c r="AG64" s="32" t="b">
        <x:f>COUNTIF($A$2:$A$127,A64)&gt;1</x:f>
        <x:v>0</x:v>
      </x:c>
    </x:row>
    <x:row r="65">
      <x:c r="A65" s="33" t="n">
        <x:v>3010</x:v>
      </x:c>
      <x:c r="B65" s="32" t="str">
        <x:v>POLYMER_PET</x:v>
      </x:c>
      <x:c r="C65" s="32" t="str">
        <x:v>Polyethylene terephthalate</x:v>
      </x:c>
      <x:c r="D65" s="32" t="str">
        <x:v>Polymer</x:v>
      </x:c>
      <x:c r="E65" s="32" t="str">
        <x:v>Thermoplastic</x:v>
      </x:c>
      <x:c r="F65" s="32" t="str">
        <x:v>PET</x:v>
      </x:c>
      <x:c r="G65" s="32" t="str">
        <x:v>Molded, semicrystalline</x:v>
      </x:c>
      <x:c r="H65" s="32" t="str">
        <x:v>Isotropic</x:v>
      </x:c>
      <x:c r="I65" s="34" t="n">
        <x:v>1380</x:v>
      </x:c>
      <x:c r="J65" s="35" t="n">
        <x:v>2.8</x:v>
      </x:c>
      <x:c r="K65" s="35" t="n">
        <x:v>0.38</x:v>
      </x:c>
      <x:c r="L65" s="40"/>
      <x:c r="M65" s="40"/>
      <x:c r="N65" s="39" t="n">
        <x:f>IF(L65&lt;&gt;"",L65,IF(H65&lt;&gt;"Isotropic","",IF(OR(J65="",K65=""),"",J65/(2*(1+K65)))))</x:f>
        <x:v>1.0144927536231885</x:v>
      </x:c>
      <x:c r="O65" s="39" t="n">
        <x:f>IF(M65&lt;&gt;"",M65,IF(H65&lt;&gt;"Isotropic","",IF(OR(J65="",K65="",K65&gt;=0.5),"",J65/(3*(1-2*K65)))))</x:f>
        <x:v>3.888888888888889</x:v>
      </x:c>
      <x:c r="P65" s="35" t="n">
        <x:v>55</x:v>
      </x:c>
      <x:c r="Q65" s="35" t="n">
        <x:v>65</x:v>
      </x:c>
      <x:c r="R65" s="35" t="n">
        <x:v>80</x:v>
      </x:c>
      <x:c r="S65" s="35" t="n">
        <x:v>90</x:v>
      </x:c>
      <x:c r="T65" s="36" t="n">
        <x:v>0.7</x:v>
      </x:c>
      <x:c r="U65" s="35" t="n">
        <x:v>4</x:v>
      </x:c>
      <x:c r="V65" s="35" t="n">
        <x:v>0.24</x:v>
      </x:c>
      <x:c r="W65" s="35" t="n">
        <x:v>1200</x:v>
      </x:c>
      <x:c r="X65" s="35" t="n">
        <x:v>65</x:v>
      </x:c>
      <x:c r="Y65" s="37" t="n">
        <x:v>100000000000000</x:v>
      </x:c>
      <x:c r="Z65" s="38" t="n">
        <x:v>250</x:v>
      </x:c>
      <x:c r="AA65" s="38" t="n">
        <x:v>120</x:v>
      </x:c>
      <x:c r="AB65" s="38"/>
      <x:c r="AC65" s="32" t="n">
        <x:v>5</x:v>
      </x:c>
      <x:c r="AD65" s="32" t="str">
        <x:v>Approximate</x:v>
      </x:c>
      <x:c r="AE65" s="8" t="str">
        <x:v>Crystallinity and orientation materially affect properties.</x:v>
      </x:c>
      <x:c r="AF65" s="8" t="str">
        <x:f>IFERROR(VLOOKUP(AC65,'Sources'!$A$2:$E$12,5,FALSE),"")</x:f>
        <x:v>https://www.campusplastics.com/</x:v>
      </x:c>
      <x:c r="AG65" s="32" t="b">
        <x:f>COUNTIF($A$2:$A$127,A65)&gt;1</x:f>
        <x:v>0</x:v>
      </x:c>
    </x:row>
    <x:row r="66">
      <x:c r="A66" s="33" t="n">
        <x:v>3011</x:v>
      </x:c>
      <x:c r="B66" s="32" t="str">
        <x:v>POLYMER_PETG</x:v>
      </x:c>
      <x:c r="C66" s="32" t="str">
        <x:v>PETG copolyester</x:v>
      </x:c>
      <x:c r="D66" s="32" t="str">
        <x:v>Polymer</x:v>
      </x:c>
      <x:c r="E66" s="32" t="str">
        <x:v>Thermoplastic</x:v>
      </x:c>
      <x:c r="F66" s="32" t="str">
        <x:v>PETG</x:v>
      </x:c>
      <x:c r="G66" s="32" t="str">
        <x:v>Amorphous molded/printed screening</x:v>
      </x:c>
      <x:c r="H66" s="32" t="str">
        <x:v>Isotropic</x:v>
      </x:c>
      <x:c r="I66" s="34" t="n">
        <x:v>1270</x:v>
      </x:c>
      <x:c r="J66" s="35" t="n">
        <x:v>2.1</x:v>
      </x:c>
      <x:c r="K66" s="35" t="n">
        <x:v>0.38</x:v>
      </x:c>
      <x:c r="L66" s="40"/>
      <x:c r="M66" s="40"/>
      <x:c r="N66" s="39" t="n">
        <x:f>IF(L66&lt;&gt;"",L66,IF(H66&lt;&gt;"Isotropic","",IF(OR(J66="",K66=""),"",J66/(2*(1+K66)))))</x:f>
        <x:v>0.7608695652173914</x:v>
      </x:c>
      <x:c r="O66" s="39" t="n">
        <x:f>IF(M66&lt;&gt;"",M66,IF(H66&lt;&gt;"Isotropic","",IF(OR(J66="",K66="",K66&gt;=0.5),"",J66/(3*(1-2*K66)))))</x:f>
        <x:v>2.916666666666667</x:v>
      </x:c>
      <x:c r="P66" s="35" t="n">
        <x:v>50</x:v>
      </x:c>
      <x:c r="Q66" s="35" t="n">
        <x:v>53</x:v>
      </x:c>
      <x:c r="R66" s="35" t="n">
        <x:v>70</x:v>
      </x:c>
      <x:c r="S66" s="35" t="n">
        <x:v>70</x:v>
      </x:c>
      <x:c r="T66" s="36" t="n">
        <x:v>0.25</x:v>
      </x:c>
      <x:c r="U66" s="35" t="n">
        <x:v>3.5</x:v>
      </x:c>
      <x:c r="V66" s="35" t="n">
        <x:v>0.2</x:v>
      </x:c>
      <x:c r="W66" s="35" t="n">
        <x:v>1200</x:v>
      </x:c>
      <x:c r="X66" s="35" t="n">
        <x:v>68</x:v>
      </x:c>
      <x:c r="Y66" s="37" t="n">
        <x:v>100000000000000</x:v>
      </x:c>
      <x:c r="Z66" s="38" t="n">
        <x:v>80</x:v>
      </x:c>
      <x:c r="AA66" s="38" t="n">
        <x:v>70</x:v>
      </x:c>
      <x:c r="AB66" s="38"/>
      <x:c r="AC66" s="32" t="n">
        <x:v>5</x:v>
      </x:c>
      <x:c r="AD66" s="32" t="str">
        <x:v>Approximate</x:v>
      </x:c>
      <x:c r="AE66" s="8" t="str">
        <x:v>Primary transition is glass transition; print orientation can dominate.</x:v>
      </x:c>
      <x:c r="AF66" s="8" t="str">
        <x:f>IFERROR(VLOOKUP(AC66,'Sources'!$A$2:$E$12,5,FALSE),"")</x:f>
        <x:v>https://www.campusplastics.com/</x:v>
      </x:c>
      <x:c r="AG66" s="32" t="b">
        <x:f>COUNTIF($A$2:$A$127,A66)&gt;1</x:f>
        <x:v>0</x:v>
      </x:c>
    </x:row>
    <x:row r="67">
      <x:c r="A67" s="33" t="n">
        <x:v>3012</x:v>
      </x:c>
      <x:c r="B67" s="32" t="str">
        <x:v>POLYMER_PA6_DRY</x:v>
      </x:c>
      <x:c r="C67" s="32" t="str">
        <x:v>Nylon 6, dry</x:v>
      </x:c>
      <x:c r="D67" s="32" t="str">
        <x:v>Polymer</x:v>
      </x:c>
      <x:c r="E67" s="32" t="str">
        <x:v>Thermoplastic</x:v>
      </x:c>
      <x:c r="F67" s="32" t="str">
        <x:v>PA6</x:v>
      </x:c>
      <x:c r="G67" s="32" t="str">
        <x:v>Injection molded, dry as molded</x:v>
      </x:c>
      <x:c r="H67" s="32" t="str">
        <x:v>Isotropic</x:v>
      </x:c>
      <x:c r="I67" s="34" t="n">
        <x:v>1130</x:v>
      </x:c>
      <x:c r="J67" s="35" t="n">
        <x:v>2.8</x:v>
      </x:c>
      <x:c r="K67" s="35" t="n">
        <x:v>0.39</x:v>
      </x:c>
      <x:c r="L67" s="40"/>
      <x:c r="M67" s="40"/>
      <x:c r="N67" s="39" t="n">
        <x:f>IF(L67&lt;&gt;"",L67,IF(H67&lt;&gt;"Isotropic","",IF(OR(J67="",K67=""),"",J67/(2*(1+K67)))))</x:f>
        <x:v>1.0071942446043165</x:v>
      </x:c>
      <x:c r="O67" s="39" t="n">
        <x:f>IF(M67&lt;&gt;"",M67,IF(H67&lt;&gt;"Isotropic","",IF(OR(J67="",K67="",K67&gt;=0.5),"",J67/(3*(1-2*K67)))))</x:f>
        <x:v>4.242424242424243</x:v>
      </x:c>
      <x:c r="P67" s="35" t="n">
        <x:v>75</x:v>
      </x:c>
      <x:c r="Q67" s="35" t="n">
        <x:v>80</x:v>
      </x:c>
      <x:c r="R67" s="35" t="n">
        <x:v>90</x:v>
      </x:c>
      <x:c r="S67" s="35" t="n">
        <x:v>105</x:v>
      </x:c>
      <x:c r="T67" s="36" t="n">
        <x:v>0.5</x:v>
      </x:c>
      <x:c r="U67" s="35" t="n">
        <x:v>4</x:v>
      </x:c>
      <x:c r="V67" s="35" t="n">
        <x:v>0.25</x:v>
      </x:c>
      <x:c r="W67" s="35" t="n">
        <x:v>1700</x:v>
      </x:c>
      <x:c r="X67" s="35" t="n">
        <x:v>85</x:v>
      </x:c>
      <x:c r="Y67" s="37" t="n">
        <x:v>1000000000000</x:v>
      </x:c>
      <x:c r="Z67" s="38" t="n">
        <x:v>220</x:v>
      </x:c>
      <x:c r="AA67" s="38" t="n">
        <x:v>105</x:v>
      </x:c>
      <x:c r="AB67" s="38"/>
      <x:c r="AC67" s="32" t="n">
        <x:v>5</x:v>
      </x:c>
      <x:c r="AD67" s="32" t="str">
        <x:v>Approximate</x:v>
      </x:c>
      <x:c r="AE67" s="8" t="str">
        <x:v>Moisture conditioning substantially reduces modulus and increases ductility.</x:v>
      </x:c>
      <x:c r="AF67" s="8" t="str">
        <x:f>IFERROR(VLOOKUP(AC67,'Sources'!$A$2:$E$12,5,FALSE),"")</x:f>
        <x:v>https://www.campusplastics.com/</x:v>
      </x:c>
      <x:c r="AG67" s="32" t="b">
        <x:f>COUNTIF($A$2:$A$127,A67)&gt;1</x:f>
        <x:v>0</x:v>
      </x:c>
    </x:row>
    <x:row r="68">
      <x:c r="A68" s="33" t="n">
        <x:v>3013</x:v>
      </x:c>
      <x:c r="B68" s="32" t="str">
        <x:v>POLYMER_PA66_DRY</x:v>
      </x:c>
      <x:c r="C68" s="32" t="str">
        <x:v>Nylon 66, dry</x:v>
      </x:c>
      <x:c r="D68" s="32" t="str">
        <x:v>Polymer</x:v>
      </x:c>
      <x:c r="E68" s="32" t="str">
        <x:v>Thermoplastic</x:v>
      </x:c>
      <x:c r="F68" s="32" t="str">
        <x:v>PA66</x:v>
      </x:c>
      <x:c r="G68" s="32" t="str">
        <x:v>Injection molded, dry as molded</x:v>
      </x:c>
      <x:c r="H68" s="32" t="str">
        <x:v>Isotropic</x:v>
      </x:c>
      <x:c r="I68" s="34" t="n">
        <x:v>1140</x:v>
      </x:c>
      <x:c r="J68" s="35" t="n">
        <x:v>3</x:v>
      </x:c>
      <x:c r="K68" s="35" t="n">
        <x:v>0.39</x:v>
      </x:c>
      <x:c r="L68" s="40"/>
      <x:c r="M68" s="40"/>
      <x:c r="N68" s="39" t="n">
        <x:f>IF(L68&lt;&gt;"",L68,IF(H68&lt;&gt;"Isotropic","",IF(OR(J68="",K68=""),"",J68/(2*(1+K68)))))</x:f>
        <x:v>1.079136690647482</x:v>
      </x:c>
      <x:c r="O68" s="39" t="n">
        <x:f>IF(M68&lt;&gt;"",M68,IF(H68&lt;&gt;"Isotropic","",IF(OR(J68="",K68="",K68&gt;=0.5),"",J68/(3*(1-2*K68)))))</x:f>
        <x:v>4.545454545454546</x:v>
      </x:c>
      <x:c r="P68" s="35" t="n">
        <x:v>85</x:v>
      </x:c>
      <x:c r="Q68" s="35" t="n">
        <x:v>90</x:v>
      </x:c>
      <x:c r="R68" s="35" t="n">
        <x:v>100</x:v>
      </x:c>
      <x:c r="S68" s="35" t="n">
        <x:v>115</x:v>
      </x:c>
      <x:c r="T68" s="36" t="n">
        <x:v>0.35</x:v>
      </x:c>
      <x:c r="U68" s="35" t="n">
        <x:v>4.5</x:v>
      </x:c>
      <x:c r="V68" s="35" t="n">
        <x:v>0.25</x:v>
      </x:c>
      <x:c r="W68" s="35" t="n">
        <x:v>1670</x:v>
      </x:c>
      <x:c r="X68" s="35" t="n">
        <x:v>80</x:v>
      </x:c>
      <x:c r="Y68" s="37" t="n">
        <x:v>1000000000000</x:v>
      </x:c>
      <x:c r="Z68" s="38" t="n">
        <x:v>260</x:v>
      </x:c>
      <x:c r="AA68" s="38" t="n">
        <x:v>120</x:v>
      </x:c>
      <x:c r="AB68" s="38"/>
      <x:c r="AC68" s="32" t="n">
        <x:v>5</x:v>
      </x:c>
      <x:c r="AD68" s="32" t="str">
        <x:v>Approximate</x:v>
      </x:c>
      <x:c r="AE68" s="8" t="str">
        <x:v>Moisture conditioning substantially changes properties.</x:v>
      </x:c>
      <x:c r="AF68" s="8" t="str">
        <x:f>IFERROR(VLOOKUP(AC68,'Sources'!$A$2:$E$12,5,FALSE),"")</x:f>
        <x:v>https://www.campusplastics.com/</x:v>
      </x:c>
      <x:c r="AG68" s="32" t="b">
        <x:f>COUNTIF($A$2:$A$127,A68)&gt;1</x:f>
        <x:v>0</x:v>
      </x:c>
    </x:row>
    <x:row r="69">
      <x:c r="A69" s="33" t="n">
        <x:v>3014</x:v>
      </x:c>
      <x:c r="B69" s="32" t="str">
        <x:v>POLYMER_POM</x:v>
      </x:c>
      <x:c r="C69" s="32" t="str">
        <x:v>Acetal homopolymer (POM)</x:v>
      </x:c>
      <x:c r="D69" s="32" t="str">
        <x:v>Polymer</x:v>
      </x:c>
      <x:c r="E69" s="32" t="str">
        <x:v>Thermoplastic</x:v>
      </x:c>
      <x:c r="F69" s="32" t="str">
        <x:v>POM-H</x:v>
      </x:c>
      <x:c r="G69" s="32" t="str">
        <x:v>Injection molded, unfilled</x:v>
      </x:c>
      <x:c r="H69" s="32" t="str">
        <x:v>Isotropic</x:v>
      </x:c>
      <x:c r="I69" s="34" t="n">
        <x:v>1420</x:v>
      </x:c>
      <x:c r="J69" s="35" t="n">
        <x:v>3.1</x:v>
      </x:c>
      <x:c r="K69" s="35" t="n">
        <x:v>0.35</x:v>
      </x:c>
      <x:c r="L69" s="40"/>
      <x:c r="M69" s="40"/>
      <x:c r="N69" s="39" t="n">
        <x:f>IF(L69&lt;&gt;"",L69,IF(H69&lt;&gt;"Isotropic","",IF(OR(J69="",K69=""),"",J69/(2*(1+K69)))))</x:f>
        <x:v>1.1481481481481481</x:v>
      </x:c>
      <x:c r="O69" s="39" t="n">
        <x:f>IF(M69&lt;&gt;"",M69,IF(H69&lt;&gt;"Isotropic","",IF(OR(J69="",K69="",K69&gt;=0.5),"",J69/(3*(1-2*K69)))))</x:f>
        <x:v>3.444444444444444</x:v>
      </x:c>
      <x:c r="P69" s="35" t="n">
        <x:v>69</x:v>
      </x:c>
      <x:c r="Q69" s="35" t="n">
        <x:v>75</x:v>
      </x:c>
      <x:c r="R69" s="35" t="n">
        <x:v>110</x:v>
      </x:c>
      <x:c r="S69" s="35" t="n">
        <x:v>95</x:v>
      </x:c>
      <x:c r="T69" s="36" t="n">
        <x:v>0.3</x:v>
      </x:c>
      <x:c r="U69" s="35" t="n">
        <x:v>5</x:v>
      </x:c>
      <x:c r="V69" s="35" t="n">
        <x:v>0.31</x:v>
      </x:c>
      <x:c r="W69" s="35" t="n">
        <x:v>1470</x:v>
      </x:c>
      <x:c r="X69" s="35" t="n">
        <x:v>100</x:v>
      </x:c>
      <x:c r="Y69" s="37" t="n">
        <x:v>10000000000000</x:v>
      </x:c>
      <x:c r="Z69" s="38" t="n">
        <x:v>175</x:v>
      </x:c>
      <x:c r="AA69" s="38" t="n">
        <x:v>105</x:v>
      </x:c>
      <x:c r="AB69" s="38"/>
      <x:c r="AC69" s="32" t="n">
        <x:v>5</x:v>
      </x:c>
      <x:c r="AD69" s="32" t="str">
        <x:v>Approximate</x:v>
      </x:c>
      <x:c r="AE69" s="8" t="str">
        <x:v>Generic unfilled acetal.</x:v>
      </x:c>
      <x:c r="AF69" s="8" t="str">
        <x:f>IFERROR(VLOOKUP(AC69,'Sources'!$A$2:$E$12,5,FALSE),"")</x:f>
        <x:v>https://www.campusplastics.com/</x:v>
      </x:c>
      <x:c r="AG69" s="32" t="b">
        <x:f>COUNTIF($A$2:$A$127,A69)&gt;1</x:f>
        <x:v>0</x:v>
      </x:c>
    </x:row>
    <x:row r="70">
      <x:c r="A70" s="33" t="n">
        <x:v>3015</x:v>
      </x:c>
      <x:c r="B70" s="32" t="str">
        <x:v>POLYMER_PC</x:v>
      </x:c>
      <x:c r="C70" s="32" t="str">
        <x:v>Polycarbonate</x:v>
      </x:c>
      <x:c r="D70" s="32" t="str">
        <x:v>Polymer</x:v>
      </x:c>
      <x:c r="E70" s="32" t="str">
        <x:v>Thermoplastic</x:v>
      </x:c>
      <x:c r="F70" s="32" t="str">
        <x:v>PC</x:v>
      </x:c>
      <x:c r="G70" s="32" t="str">
        <x:v>Injection molded, unfilled</x:v>
      </x:c>
      <x:c r="H70" s="32" t="str">
        <x:v>Isotropic</x:v>
      </x:c>
      <x:c r="I70" s="34" t="n">
        <x:v>1200</x:v>
      </x:c>
      <x:c r="J70" s="35" t="n">
        <x:v>2.3</x:v>
      </x:c>
      <x:c r="K70" s="35" t="n">
        <x:v>0.37</x:v>
      </x:c>
      <x:c r="L70" s="40"/>
      <x:c r="M70" s="40"/>
      <x:c r="N70" s="39" t="n">
        <x:f>IF(L70&lt;&gt;"",L70,IF(H70&lt;&gt;"Isotropic","",IF(OR(J70="",K70=""),"",J70/(2*(1+K70)))))</x:f>
        <x:v>0.8394160583941604</x:v>
      </x:c>
      <x:c r="O70" s="39" t="n">
        <x:f>IF(M70&lt;&gt;"",M70,IF(H70&lt;&gt;"Isotropic","",IF(OR(J70="",K70="",K70&gt;=0.5),"",J70/(3*(1-2*K70)))))</x:f>
        <x:v>2.9487179487179485</x:v>
      </x:c>
      <x:c r="P70" s="35" t="n">
        <x:v>62</x:v>
      </x:c>
      <x:c r="Q70" s="35" t="n">
        <x:v>65</x:v>
      </x:c>
      <x:c r="R70" s="35" t="n">
        <x:v>80</x:v>
      </x:c>
      <x:c r="S70" s="35" t="n">
        <x:v>90</x:v>
      </x:c>
      <x:c r="T70" s="36" t="n">
        <x:v>1</x:v>
      </x:c>
      <x:c r="U70" s="35" t="n">
        <x:v>4</x:v>
      </x:c>
      <x:c r="V70" s="35" t="n">
        <x:v>0.2</x:v>
      </x:c>
      <x:c r="W70" s="35" t="n">
        <x:v>1200</x:v>
      </x:c>
      <x:c r="X70" s="35" t="n">
        <x:v>65</x:v>
      </x:c>
      <x:c r="Y70" s="37" t="n">
        <x:v>100000000000000</x:v>
      </x:c>
      <x:c r="Z70" s="38" t="n">
        <x:v>147</x:v>
      </x:c>
      <x:c r="AA70" s="38" t="n">
        <x:v>120</x:v>
      </x:c>
      <x:c r="AB70" s="38"/>
      <x:c r="AC70" s="32" t="n">
        <x:v>5</x:v>
      </x:c>
      <x:c r="AD70" s="32" t="str">
        <x:v>Approximate</x:v>
      </x:c>
      <x:c r="AE70" s="8" t="str">
        <x:v>Primary transition is glass transition; solvent stress cracking is application-specific.</x:v>
      </x:c>
      <x:c r="AF70" s="8" t="str">
        <x:f>IFERROR(VLOOKUP(AC70,'Sources'!$A$2:$E$12,5,FALSE),"")</x:f>
        <x:v>https://www.campusplastics.com/</x:v>
      </x:c>
      <x:c r="AG70" s="32" t="b">
        <x:f>COUNTIF($A$2:$A$127,A70)&gt;1</x:f>
        <x:v>0</x:v>
      </x:c>
    </x:row>
    <x:row r="71">
      <x:c r="A71" s="33" t="n">
        <x:v>3016</x:v>
      </x:c>
      <x:c r="B71" s="32" t="str">
        <x:v>POLYMER_PMMA</x:v>
      </x:c>
      <x:c r="C71" s="32" t="str">
        <x:v>PMMA acrylic</x:v>
      </x:c>
      <x:c r="D71" s="32" t="str">
        <x:v>Polymer</x:v>
      </x:c>
      <x:c r="E71" s="32" t="str">
        <x:v>Thermoplastic</x:v>
      </x:c>
      <x:c r="F71" s="32" t="str">
        <x:v>PMMA</x:v>
      </x:c>
      <x:c r="G71" s="32" t="str">
        <x:v>Cast/molded, unfilled</x:v>
      </x:c>
      <x:c r="H71" s="32" t="str">
        <x:v>Isotropic</x:v>
      </x:c>
      <x:c r="I71" s="34" t="n">
        <x:v>1180</x:v>
      </x:c>
      <x:c r="J71" s="35" t="n">
        <x:v>3.2</x:v>
      </x:c>
      <x:c r="K71" s="35" t="n">
        <x:v>0.35</x:v>
      </x:c>
      <x:c r="L71" s="40"/>
      <x:c r="M71" s="40"/>
      <x:c r="N71" s="39" t="n">
        <x:f>IF(L71&lt;&gt;"",L71,IF(H71&lt;&gt;"Isotropic","",IF(OR(J71="",K71=""),"",J71/(2*(1+K71)))))</x:f>
        <x:v>1.1851851851851851</x:v>
      </x:c>
      <x:c r="O71" s="39" t="n">
        <x:f>IF(M71&lt;&gt;"",M71,IF(H71&lt;&gt;"Isotropic","",IF(OR(J71="",K71="",K71&gt;=0.5),"",J71/(3*(1-2*K71)))))</x:f>
        <x:v>3.5555555555555554</x:v>
      </x:c>
      <x:c r="P71" s="35" t="n">
        <x:v>65</x:v>
      </x:c>
      <x:c r="Q71" s="35" t="n">
        <x:v>70</x:v>
      </x:c>
      <x:c r="R71" s="35" t="n">
        <x:v>100</x:v>
      </x:c>
      <x:c r="S71" s="35" t="n">
        <x:v>110</x:v>
      </x:c>
      <x:c r="T71" s="36" t="n">
        <x:v>0.05</x:v>
      </x:c>
      <x:c r="U71" s="35" t="n">
        <x:v>1.5</x:v>
      </x:c>
      <x:c r="V71" s="35" t="n">
        <x:v>0.19</x:v>
      </x:c>
      <x:c r="W71" s="35" t="n">
        <x:v>1470</x:v>
      </x:c>
      <x:c r="X71" s="35" t="n">
        <x:v>70</x:v>
      </x:c>
      <x:c r="Y71" s="37" t="n">
        <x:v>100000000000000</x:v>
      </x:c>
      <x:c r="Z71" s="38" t="n">
        <x:v>105</x:v>
      </x:c>
      <x:c r="AA71" s="38" t="n">
        <x:v>80</x:v>
      </x:c>
      <x:c r="AB71" s="38"/>
      <x:c r="AC71" s="32" t="n">
        <x:v>5</x:v>
      </x:c>
      <x:c r="AD71" s="32" t="str">
        <x:v>Approximate</x:v>
      </x:c>
      <x:c r="AE71" s="8" t="str">
        <x:v>Brittle transparent polymer; notch sensitivity is important.</x:v>
      </x:c>
      <x:c r="AF71" s="8" t="str">
        <x:f>IFERROR(VLOOKUP(AC71,'Sources'!$A$2:$E$12,5,FALSE),"")</x:f>
        <x:v>https://www.campusplastics.com/</x:v>
      </x:c>
      <x:c r="AG71" s="32" t="b">
        <x:f>COUNTIF($A$2:$A$127,A71)&gt;1</x:f>
        <x:v>0</x:v>
      </x:c>
    </x:row>
    <x:row r="72">
      <x:c r="A72" s="33" t="n">
        <x:v>3017</x:v>
      </x:c>
      <x:c r="B72" s="32" t="str">
        <x:v>POLYMER_PTFE</x:v>
      </x:c>
      <x:c r="C72" s="32" t="str">
        <x:v>PTFE</x:v>
      </x:c>
      <x:c r="D72" s="32" t="str">
        <x:v>Polymer</x:v>
      </x:c>
      <x:c r="E72" s="32" t="str">
        <x:v>Fluoropolymer</x:v>
      </x:c>
      <x:c r="F72" s="32" t="str">
        <x:v>PTFE</x:v>
      </x:c>
      <x:c r="G72" s="32" t="str">
        <x:v>Molded, unfilled</x:v>
      </x:c>
      <x:c r="H72" s="32" t="str">
        <x:v>Isotropic</x:v>
      </x:c>
      <x:c r="I72" s="34" t="n">
        <x:v>2200</x:v>
      </x:c>
      <x:c r="J72" s="35" t="n">
        <x:v>0.5</x:v>
      </x:c>
      <x:c r="K72" s="35" t="n">
        <x:v>0.46</x:v>
      </x:c>
      <x:c r="L72" s="40"/>
      <x:c r="M72" s="40"/>
      <x:c r="N72" s="39" t="n">
        <x:f>IF(L72&lt;&gt;"",L72,IF(H72&lt;&gt;"Isotropic","",IF(OR(J72="",K72=""),"",J72/(2*(1+K72)))))</x:f>
        <x:v>0.17123287671232876</x:v>
      </x:c>
      <x:c r="O72" s="39" t="n">
        <x:f>IF(M72&lt;&gt;"",M72,IF(H72&lt;&gt;"Isotropic","",IF(OR(J72="",K72="",K72&gt;=0.5),"",J72/(3*(1-2*K72)))))</x:f>
        <x:v>2.0833333333333344</x:v>
      </x:c>
      <x:c r="P72" s="35" t="n">
        <x:v>23</x:v>
      </x:c>
      <x:c r="Q72" s="35" t="n">
        <x:v>30</x:v>
      </x:c>
      <x:c r="R72" s="35" t="n">
        <x:v>12</x:v>
      </x:c>
      <x:c r="S72" s="35" t="n">
        <x:v>18</x:v>
      </x:c>
      <x:c r="T72" s="36" t="n">
        <x:v>3</x:v>
      </x:c>
      <x:c r="U72" s="35" t="n">
        <x:v>2.5</x:v>
      </x:c>
      <x:c r="V72" s="35" t="n">
        <x:v>0.25</x:v>
      </x:c>
      <x:c r="W72" s="35" t="n">
        <x:v>1000</x:v>
      </x:c>
      <x:c r="X72" s="35" t="n">
        <x:v>120</x:v>
      </x:c>
      <x:c r="Y72" s="37" t="n">
        <x:v>1000000000000000000</x:v>
      </x:c>
      <x:c r="Z72" s="38" t="n">
        <x:v>327</x:v>
      </x:c>
      <x:c r="AA72" s="38" t="n">
        <x:v>260</x:v>
      </x:c>
      <x:c r="AB72" s="38"/>
      <x:c r="AC72" s="32" t="n">
        <x:v>5</x:v>
      </x:c>
      <x:c r="AD72" s="32" t="str">
        <x:v>Approximate</x:v>
      </x:c>
      <x:c r="AE72" s="8" t="str">
        <x:v>High creep; modulus depends strongly on rate and temperature.</x:v>
      </x:c>
      <x:c r="AF72" s="8" t="str">
        <x:f>IFERROR(VLOOKUP(AC72,'Sources'!$A$2:$E$12,5,FALSE),"")</x:f>
        <x:v>https://www.campusplastics.com/</x:v>
      </x:c>
      <x:c r="AG72" s="32" t="b">
        <x:f>COUNTIF($A$2:$A$127,A72)&gt;1</x:f>
        <x:v>0</x:v>
      </x:c>
    </x:row>
    <x:row r="73">
      <x:c r="A73" s="33" t="n">
        <x:v>3018</x:v>
      </x:c>
      <x:c r="B73" s="32" t="str">
        <x:v>POLYMER_PEEK</x:v>
      </x:c>
      <x:c r="C73" s="32" t="str">
        <x:v>PEEK, unfilled</x:v>
      </x:c>
      <x:c r="D73" s="32" t="str">
        <x:v>Polymer</x:v>
      </x:c>
      <x:c r="E73" s="32" t="str">
        <x:v>High-performance thermoplastic</x:v>
      </x:c>
      <x:c r="F73" s="32" t="str">
        <x:v>PEEK</x:v>
      </x:c>
      <x:c r="G73" s="32" t="str">
        <x:v>Injection molded, unfilled</x:v>
      </x:c>
      <x:c r="H73" s="32" t="str">
        <x:v>Isotropic</x:v>
      </x:c>
      <x:c r="I73" s="34" t="n">
        <x:v>1320</x:v>
      </x:c>
      <x:c r="J73" s="35" t="n">
        <x:v>3.6</x:v>
      </x:c>
      <x:c r="K73" s="35" t="n">
        <x:v>0.38</x:v>
      </x:c>
      <x:c r="L73" s="40"/>
      <x:c r="M73" s="40"/>
      <x:c r="N73" s="39" t="n">
        <x:f>IF(L73&lt;&gt;"",L73,IF(H73&lt;&gt;"Isotropic","",IF(OR(J73="",K73=""),"",J73/(2*(1+K73)))))</x:f>
        <x:v>1.3043478260869568</x:v>
      </x:c>
      <x:c r="O73" s="39" t="n">
        <x:f>IF(M73&lt;&gt;"",M73,IF(H73&lt;&gt;"Isotropic","",IF(OR(J73="",K73="",K73&gt;=0.5),"",J73/(3*(1-2*K73)))))</x:f>
        <x:v>5</x:v>
      </x:c>
      <x:c r="P73" s="35" t="n">
        <x:v>100</x:v>
      </x:c>
      <x:c r="Q73" s="35" t="n">
        <x:v>100</x:v>
      </x:c>
      <x:c r="R73" s="35" t="n">
        <x:v>125</x:v>
      </x:c>
      <x:c r="S73" s="35" t="n">
        <x:v>165</x:v>
      </x:c>
      <x:c r="T73" s="36" t="n">
        <x:v>0.2</x:v>
      </x:c>
      <x:c r="U73" s="35" t="n">
        <x:v>5</x:v>
      </x:c>
      <x:c r="V73" s="35" t="n">
        <x:v>0.25</x:v>
      </x:c>
      <x:c r="W73" s="35" t="n">
        <x:v>1300</x:v>
      </x:c>
      <x:c r="X73" s="35" t="n">
        <x:v>47</x:v>
      </x:c>
      <x:c r="Y73" s="37" t="n">
        <x:v>1000000000000000</x:v>
      </x:c>
      <x:c r="Z73" s="38" t="n">
        <x:v>343</x:v>
      </x:c>
      <x:c r="AA73" s="38" t="n">
        <x:v>250</x:v>
      </x:c>
      <x:c r="AB73" s="38"/>
      <x:c r="AC73" s="32" t="n">
        <x:v>5</x:v>
      </x:c>
      <x:c r="AD73" s="32" t="str">
        <x:v>Approximate</x:v>
      </x:c>
      <x:c r="AE73" s="8" t="str">
        <x:v>Generic unfilled grade; crystallinity affects values.</x:v>
      </x:c>
      <x:c r="AF73" s="8" t="str">
        <x:f>IFERROR(VLOOKUP(AC73,'Sources'!$A$2:$E$12,5,FALSE),"")</x:f>
        <x:v>https://www.campusplastics.com/</x:v>
      </x:c>
      <x:c r="AG73" s="32" t="b">
        <x:f>COUNTIF($A$2:$A$127,A73)&gt;1</x:f>
        <x:v>0</x:v>
      </x:c>
    </x:row>
    <x:row r="74">
      <x:c r="A74" s="33" t="n">
        <x:v>3019</x:v>
      </x:c>
      <x:c r="B74" s="32" t="str">
        <x:v>POLYMER_PEI</x:v>
      </x:c>
      <x:c r="C74" s="32" t="str">
        <x:v>Polyetherimide</x:v>
      </x:c>
      <x:c r="D74" s="32" t="str">
        <x:v>Polymer</x:v>
      </x:c>
      <x:c r="E74" s="32" t="str">
        <x:v>High-performance thermoplastic</x:v>
      </x:c>
      <x:c r="F74" s="32" t="str">
        <x:v>PEI</x:v>
      </x:c>
      <x:c r="G74" s="32" t="str">
        <x:v>Injection molded, unfilled</x:v>
      </x:c>
      <x:c r="H74" s="32" t="str">
        <x:v>Isotropic</x:v>
      </x:c>
      <x:c r="I74" s="34" t="n">
        <x:v>1270</x:v>
      </x:c>
      <x:c r="J74" s="35" t="n">
        <x:v>3.2</x:v>
      </x:c>
      <x:c r="K74" s="35" t="n">
        <x:v>0.36</x:v>
      </x:c>
      <x:c r="L74" s="40"/>
      <x:c r="M74" s="40"/>
      <x:c r="N74" s="39" t="n">
        <x:f>IF(L74&lt;&gt;"",L74,IF(H74&lt;&gt;"Isotropic","",IF(OR(J74="",K74=""),"",J74/(2*(1+K74)))))</x:f>
        <x:v>1.1764705882352944</x:v>
      </x:c>
      <x:c r="O74" s="39" t="n">
        <x:f>IF(M74&lt;&gt;"",M74,IF(H74&lt;&gt;"Isotropic","",IF(OR(J74="",K74="",K74&gt;=0.5),"",J74/(3*(1-2*K74)))))</x:f>
        <x:v>3.8095238095238093</x:v>
      </x:c>
      <x:c r="P74" s="35" t="n">
        <x:v>105</x:v>
      </x:c>
      <x:c r="Q74" s="35" t="n">
        <x:v>105</x:v>
      </x:c>
      <x:c r="R74" s="35" t="n">
        <x:v>140</x:v>
      </x:c>
      <x:c r="S74" s="35" t="n">
        <x:v>150</x:v>
      </x:c>
      <x:c r="T74" s="36" t="n">
        <x:v>0.6</x:v>
      </x:c>
      <x:c r="U74" s="35" t="n">
        <x:v>4</x:v>
      </x:c>
      <x:c r="V74" s="35" t="n">
        <x:v>0.22</x:v>
      </x:c>
      <x:c r="W74" s="35" t="n">
        <x:v>1250</x:v>
      </x:c>
      <x:c r="X74" s="35" t="n">
        <x:v>56</x:v>
      </x:c>
      <x:c r="Y74" s="37" t="n">
        <x:v>1000000000000000</x:v>
      </x:c>
      <x:c r="Z74" s="38" t="n">
        <x:v>217</x:v>
      </x:c>
      <x:c r="AA74" s="38" t="n">
        <x:v>170</x:v>
      </x:c>
      <x:c r="AB74" s="38"/>
      <x:c r="AC74" s="32" t="n">
        <x:v>5</x:v>
      </x:c>
      <x:c r="AD74" s="32" t="str">
        <x:v>Approximate</x:v>
      </x:c>
      <x:c r="AE74" s="8" t="str">
        <x:v>Primary transition is glass transition.</x:v>
      </x:c>
      <x:c r="AF74" s="8" t="str">
        <x:f>IFERROR(VLOOKUP(AC74,'Sources'!$A$2:$E$12,5,FALSE),"")</x:f>
        <x:v>https://www.campusplastics.com/</x:v>
      </x:c>
      <x:c r="AG74" s="32" t="b">
        <x:f>COUNTIF($A$2:$A$127,A74)&gt;1</x:f>
        <x:v>0</x:v>
      </x:c>
    </x:row>
    <x:row r="75">
      <x:c r="A75" s="33" t="n">
        <x:v>3020</x:v>
      </x:c>
      <x:c r="B75" s="32" t="str">
        <x:v>POLYMER_PPS</x:v>
      </x:c>
      <x:c r="C75" s="32" t="str">
        <x:v>Polyphenylene sulfide</x:v>
      </x:c>
      <x:c r="D75" s="32" t="str">
        <x:v>Polymer</x:v>
      </x:c>
      <x:c r="E75" s="32" t="str">
        <x:v>High-performance thermoplastic</x:v>
      </x:c>
      <x:c r="F75" s="32" t="str">
        <x:v>PPS</x:v>
      </x:c>
      <x:c r="G75" s="32" t="str">
        <x:v>Injection molded, unfilled</x:v>
      </x:c>
      <x:c r="H75" s="32" t="str">
        <x:v>Isotropic</x:v>
      </x:c>
      <x:c r="I75" s="34" t="n">
        <x:v>1350</x:v>
      </x:c>
      <x:c r="J75" s="35" t="n">
        <x:v>3.5</x:v>
      </x:c>
      <x:c r="K75" s="35" t="n">
        <x:v>0.36</x:v>
      </x:c>
      <x:c r="L75" s="40"/>
      <x:c r="M75" s="40"/>
      <x:c r="N75" s="39" t="n">
        <x:f>IF(L75&lt;&gt;"",L75,IF(H75&lt;&gt;"Isotropic","",IF(OR(J75="",K75=""),"",J75/(2*(1+K75)))))</x:f>
        <x:v>1.286764705882353</x:v>
      </x:c>
      <x:c r="O75" s="39" t="n">
        <x:f>IF(M75&lt;&gt;"",M75,IF(H75&lt;&gt;"Isotropic","",IF(OR(J75="",K75="",K75&gt;=0.5),"",J75/(3*(1-2*K75)))))</x:f>
        <x:v>4.166666666666666</x:v>
      </x:c>
      <x:c r="P75" s="35" t="n">
        <x:v>75</x:v>
      </x:c>
      <x:c r="Q75" s="35" t="n">
        <x:v>80</x:v>
      </x:c>
      <x:c r="R75" s="35" t="n">
        <x:v>120</x:v>
      </x:c>
      <x:c r="S75" s="35" t="n">
        <x:v>120</x:v>
      </x:c>
      <x:c r="T75" s="36" t="n">
        <x:v>0.04</x:v>
      </x:c>
      <x:c r="U75" s="35" t="n">
        <x:v>3</x:v>
      </x:c>
      <x:c r="V75" s="35" t="n">
        <x:v>0.3</x:v>
      </x:c>
      <x:c r="W75" s="35" t="n">
        <x:v>1100</x:v>
      </x:c>
      <x:c r="X75" s="35" t="n">
        <x:v>55</x:v>
      </x:c>
      <x:c r="Y75" s="37" t="n">
        <x:v>100000000000000</x:v>
      </x:c>
      <x:c r="Z75" s="38" t="n">
        <x:v>285</x:v>
      </x:c>
      <x:c r="AA75" s="38" t="n">
        <x:v>200</x:v>
      </x:c>
      <x:c r="AB75" s="38"/>
      <x:c r="AC75" s="32" t="n">
        <x:v>5</x:v>
      </x:c>
      <x:c r="AD75" s="32" t="str">
        <x:v>Approximate</x:v>
      </x:c>
      <x:c r="AE75" s="8" t="str">
        <x:v>Brittle unfilled grade; filled compounds differ substantially.</x:v>
      </x:c>
      <x:c r="AF75" s="8" t="str">
        <x:f>IFERROR(VLOOKUP(AC75,'Sources'!$A$2:$E$12,5,FALSE),"")</x:f>
        <x:v>https://www.campusplastics.com/</x:v>
      </x:c>
      <x:c r="AG75" s="32" t="b">
        <x:f>COUNTIF($A$2:$A$127,A75)&gt;1</x:f>
        <x:v>0</x:v>
      </x:c>
    </x:row>
    <x:row r="76">
      <x:c r="A76" s="33" t="n">
        <x:v>3021</x:v>
      </x:c>
      <x:c r="B76" s="32" t="str">
        <x:v>POLYMER_PSU</x:v>
      </x:c>
      <x:c r="C76" s="32" t="str">
        <x:v>Polysulfone</x:v>
      </x:c>
      <x:c r="D76" s="32" t="str">
        <x:v>Polymer</x:v>
      </x:c>
      <x:c r="E76" s="32" t="str">
        <x:v>High-performance thermoplastic</x:v>
      </x:c>
      <x:c r="F76" s="32" t="str">
        <x:v>PSU</x:v>
      </x:c>
      <x:c r="G76" s="32" t="str">
        <x:v>Injection molded, unfilled</x:v>
      </x:c>
      <x:c r="H76" s="32" t="str">
        <x:v>Isotropic</x:v>
      </x:c>
      <x:c r="I76" s="34" t="n">
        <x:v>1240</x:v>
      </x:c>
      <x:c r="J76" s="35" t="n">
        <x:v>2.5</x:v>
      </x:c>
      <x:c r="K76" s="35" t="n">
        <x:v>0.37</x:v>
      </x:c>
      <x:c r="L76" s="40"/>
      <x:c r="M76" s="40"/>
      <x:c r="N76" s="39" t="n">
        <x:f>IF(L76&lt;&gt;"",L76,IF(H76&lt;&gt;"Isotropic","",IF(OR(J76="",K76=""),"",J76/(2*(1+K76)))))</x:f>
        <x:v>0.9124087591240875</x:v>
      </x:c>
      <x:c r="O76" s="39" t="n">
        <x:f>IF(M76&lt;&gt;"",M76,IF(H76&lt;&gt;"Isotropic","",IF(OR(J76="",K76="",K76&gt;=0.5),"",J76/(3*(1-2*K76)))))</x:f>
        <x:v>3.205128205128205</x:v>
      </x:c>
      <x:c r="P76" s="35" t="n">
        <x:v>70</x:v>
      </x:c>
      <x:c r="Q76" s="35" t="n">
        <x:v>75</x:v>
      </x:c>
      <x:c r="R76" s="35" t="n">
        <x:v>100</x:v>
      </x:c>
      <x:c r="S76" s="35" t="n">
        <x:v>105</x:v>
      </x:c>
      <x:c r="T76" s="36" t="n">
        <x:v>0.5</x:v>
      </x:c>
      <x:c r="U76" s="35" t="n">
        <x:v>3.5</x:v>
      </x:c>
      <x:c r="V76" s="35" t="n">
        <x:v>0.26</x:v>
      </x:c>
      <x:c r="W76" s="35" t="n">
        <x:v>1200</x:v>
      </x:c>
      <x:c r="X76" s="35" t="n">
        <x:v>55</x:v>
      </x:c>
      <x:c r="Y76" s="37" t="n">
        <x:v>100000000000000</x:v>
      </x:c>
      <x:c r="Z76" s="38" t="n">
        <x:v>185</x:v>
      </x:c>
      <x:c r="AA76" s="38" t="n">
        <x:v>150</x:v>
      </x:c>
      <x:c r="AB76" s="38"/>
      <x:c r="AC76" s="32" t="n">
        <x:v>5</x:v>
      </x:c>
      <x:c r="AD76" s="32" t="str">
        <x:v>Approximate</x:v>
      </x:c>
      <x:c r="AE76" s="8" t="str">
        <x:v>Primary transition is glass transition.</x:v>
      </x:c>
      <x:c r="AF76" s="8" t="str">
        <x:f>IFERROR(VLOOKUP(AC76,'Sources'!$A$2:$E$12,5,FALSE),"")</x:f>
        <x:v>https://www.campusplastics.com/</x:v>
      </x:c>
      <x:c r="AG76" s="32" t="b">
        <x:f>COUNTIF($A$2:$A$127,A76)&gt;1</x:f>
        <x:v>0</x:v>
      </x:c>
    </x:row>
    <x:row r="77">
      <x:c r="A77" s="33" t="n">
        <x:v>3022</x:v>
      </x:c>
      <x:c r="B77" s="32" t="str">
        <x:v>POLYMER_EPOXY_CAST</x:v>
      </x:c>
      <x:c r="C77" s="32" t="str">
        <x:v>Cast epoxy resin</x:v>
      </x:c>
      <x:c r="D77" s="32" t="str">
        <x:v>Polymer</x:v>
      </x:c>
      <x:c r="E77" s="32" t="str">
        <x:v>Thermoset</x:v>
      </x:c>
      <x:c r="F77" s="32" t="str">
        <x:v>Unfilled epoxy</x:v>
      </x:c>
      <x:c r="G77" s="32" t="str">
        <x:v>Cured, room-temperature generic</x:v>
      </x:c>
      <x:c r="H77" s="32" t="str">
        <x:v>Isotropic</x:v>
      </x:c>
      <x:c r="I77" s="34" t="n">
        <x:v>1150</x:v>
      </x:c>
      <x:c r="J77" s="35" t="n">
        <x:v>3</x:v>
      </x:c>
      <x:c r="K77" s="35" t="n">
        <x:v>0.35</x:v>
      </x:c>
      <x:c r="L77" s="40"/>
      <x:c r="M77" s="40"/>
      <x:c r="N77" s="39" t="n">
        <x:f>IF(L77&lt;&gt;"",L77,IF(H77&lt;&gt;"Isotropic","",IF(OR(J77="",K77=""),"",J77/(2*(1+K77)))))</x:f>
        <x:v>1.111111111111111</x:v>
      </x:c>
      <x:c r="O77" s="39" t="n">
        <x:f>IF(M77&lt;&gt;"",M77,IF(H77&lt;&gt;"Isotropic","",IF(OR(J77="",K77="",K77&gt;=0.5),"",J77/(3*(1-2*K77)))))</x:f>
        <x:v>3.333333333333333</x:v>
      </x:c>
      <x:c r="P77" s="35" t="n">
        <x:v>55</x:v>
      </x:c>
      <x:c r="Q77" s="35" t="n">
        <x:v>70</x:v>
      </x:c>
      <x:c r="R77" s="35" t="n">
        <x:v>120</x:v>
      </x:c>
      <x:c r="S77" s="35" t="n">
        <x:v>100</x:v>
      </x:c>
      <x:c r="T77" s="36" t="n">
        <x:v>0.04</x:v>
      </x:c>
      <x:c r="U77" s="35" t="n">
        <x:v>1.2</x:v>
      </x:c>
      <x:c r="V77" s="35" t="n">
        <x:v>0.2</x:v>
      </x:c>
      <x:c r="W77" s="35" t="n">
        <x:v>1100</x:v>
      </x:c>
      <x:c r="X77" s="35" t="n">
        <x:v>55</x:v>
      </x:c>
      <x:c r="Y77" s="37" t="n">
        <x:v>100000000000000</x:v>
      </x:c>
      <x:c r="Z77" s="38" t="n">
        <x:v>120</x:v>
      </x:c>
      <x:c r="AA77" s="38" t="n">
        <x:v>100</x:v>
      </x:c>
      <x:c r="AB77" s="38"/>
      <x:c r="AC77" s="32" t="n">
        <x:v>5</x:v>
      </x:c>
      <x:c r="AD77" s="32" t="str">
        <x:v>Approximate</x:v>
      </x:c>
      <x:c r="AE77" s="8" t="str">
        <x:v>Cure chemistry and cycle control properties; transition is representative Tg.</x:v>
      </x:c>
      <x:c r="AF77" s="8" t="str">
        <x:f>IFERROR(VLOOKUP(AC77,'Sources'!$A$2:$E$12,5,FALSE),"")</x:f>
        <x:v>https://www.campusplastics.com/</x:v>
      </x:c>
      <x:c r="AG77" s="32" t="b">
        <x:f>COUNTIF($A$2:$A$127,A77)&gt;1</x:f>
        <x:v>0</x:v>
      </x:c>
    </x:row>
    <x:row r="78">
      <x:c r="A78" s="33" t="n">
        <x:v>3023</x:v>
      </x:c>
      <x:c r="B78" s="32" t="str">
        <x:v>POLYMER_PHENOLIC</x:v>
      </x:c>
      <x:c r="C78" s="32" t="str">
        <x:v>Phenolic resin, unfilled</x:v>
      </x:c>
      <x:c r="D78" s="32" t="str">
        <x:v>Polymer</x:v>
      </x:c>
      <x:c r="E78" s="32" t="str">
        <x:v>Thermoset</x:v>
      </x:c>
      <x:c r="F78" s="32" t="str">
        <x:v>Phenolic</x:v>
      </x:c>
      <x:c r="G78" s="32" t="str">
        <x:v>Molded/cured generic</x:v>
      </x:c>
      <x:c r="H78" s="32" t="str">
        <x:v>Isotropic</x:v>
      </x:c>
      <x:c r="I78" s="34" t="n">
        <x:v>1300</x:v>
      </x:c>
      <x:c r="J78" s="35" t="n">
        <x:v>5</x:v>
      </x:c>
      <x:c r="K78" s="35" t="n">
        <x:v>0.32</x:v>
      </x:c>
      <x:c r="L78" s="40"/>
      <x:c r="M78" s="40"/>
      <x:c r="N78" s="39" t="n">
        <x:f>IF(L78&lt;&gt;"",L78,IF(H78&lt;&gt;"Isotropic","",IF(OR(J78="",K78=""),"",J78/(2*(1+K78)))))</x:f>
        <x:v>1.8939393939393938</x:v>
      </x:c>
      <x:c r="O78" s="39" t="n">
        <x:f>IF(M78&lt;&gt;"",M78,IF(H78&lt;&gt;"Isotropic","",IF(OR(J78="",K78="",K78&gt;=0.5),"",J78/(3*(1-2*K78)))))</x:f>
        <x:v>4.62962962962963</x:v>
      </x:c>
      <x:c r="P78" s="35" t="n">
        <x:v>45</x:v>
      </x:c>
      <x:c r="Q78" s="35" t="n">
        <x:v>55</x:v>
      </x:c>
      <x:c r="R78" s="35" t="n">
        <x:v>150</x:v>
      </x:c>
      <x:c r="S78" s="35" t="n">
        <x:v>90</x:v>
      </x:c>
      <x:c r="T78" s="36" t="n">
        <x:v>0.015</x:v>
      </x:c>
      <x:c r="U78" s="35" t="n">
        <x:v>1</x:v>
      </x:c>
      <x:c r="V78" s="35" t="n">
        <x:v>0.25</x:v>
      </x:c>
      <x:c r="W78" s="35" t="n">
        <x:v>1400</x:v>
      </x:c>
      <x:c r="X78" s="35" t="n">
        <x:v>35</x:v>
      </x:c>
      <x:c r="Y78" s="37" t="n">
        <x:v>1000000000000</x:v>
      </x:c>
      <x:c r="Z78" s="38" t="n">
        <x:v>160</x:v>
      </x:c>
      <x:c r="AA78" s="38" t="n">
        <x:v>150</x:v>
      </x:c>
      <x:c r="AB78" s="38"/>
      <x:c r="AC78" s="32" t="n">
        <x:v>5</x:v>
      </x:c>
      <x:c r="AD78" s="32" t="str">
        <x:v>Approximate</x:v>
      </x:c>
      <x:c r="AE78" s="8" t="str">
        <x:v>Generic unfilled thermoset; molded compounds commonly contain reinforcement/filler.</x:v>
      </x:c>
      <x:c r="AF78" s="8" t="str">
        <x:f>IFERROR(VLOOKUP(AC78,'Sources'!$A$2:$E$12,5,FALSE),"")</x:f>
        <x:v>https://www.campusplastics.com/</x:v>
      </x:c>
      <x:c r="AG78" s="32" t="b">
        <x:f>COUNTIF($A$2:$A$127,A78)&gt;1</x:f>
        <x:v>0</x:v>
      </x:c>
    </x:row>
    <x:row r="79">
      <x:c r="A79" s="33" t="n">
        <x:v>3024</x:v>
      </x:c>
      <x:c r="B79" s="32" t="str">
        <x:v>POLYMER_PBT</x:v>
      </x:c>
      <x:c r="C79" s="32" t="str">
        <x:v>Polybutylene terephthalate</x:v>
      </x:c>
      <x:c r="D79" s="32" t="str">
        <x:v>Polymer</x:v>
      </x:c>
      <x:c r="E79" s="32" t="str">
        <x:v>Thermoplastic</x:v>
      </x:c>
      <x:c r="F79" s="32" t="str">
        <x:v>PBT</x:v>
      </x:c>
      <x:c r="G79" s="32" t="str">
        <x:v>Injection molded, unfilled</x:v>
      </x:c>
      <x:c r="H79" s="32" t="str">
        <x:v>Isotropic</x:v>
      </x:c>
      <x:c r="I79" s="34" t="n">
        <x:v>1310</x:v>
      </x:c>
      <x:c r="J79" s="35" t="n">
        <x:v>2.6</x:v>
      </x:c>
      <x:c r="K79" s="35" t="n">
        <x:v>0.38</x:v>
      </x:c>
      <x:c r="L79" s="40"/>
      <x:c r="M79" s="40"/>
      <x:c r="N79" s="39" t="n">
        <x:f>IF(L79&lt;&gt;"",L79,IF(H79&lt;&gt;"Isotropic","",IF(OR(J79="",K79=""),"",J79/(2*(1+K79)))))</x:f>
        <x:v>0.9420289855072465</x:v>
      </x:c>
      <x:c r="O79" s="39" t="n">
        <x:f>IF(M79&lt;&gt;"",M79,IF(H79&lt;&gt;"Isotropic","",IF(OR(J79="",K79="",K79&gt;=0.5),"",J79/(3*(1-2*K79)))))</x:f>
        <x:v>3.611111111111111</x:v>
      </x:c>
      <x:c r="P79" s="35" t="n">
        <x:v>55</x:v>
      </x:c>
      <x:c r="Q79" s="35" t="n">
        <x:v>60</x:v>
      </x:c>
      <x:c r="R79" s="35" t="n">
        <x:v>85</x:v>
      </x:c>
      <x:c r="S79" s="35" t="n">
        <x:v>85</x:v>
      </x:c>
      <x:c r="T79" s="36" t="n">
        <x:v>0.3</x:v>
      </x:c>
      <x:c r="U79" s="35" t="n">
        <x:v>3</x:v>
      </x:c>
      <x:c r="V79" s="35" t="n">
        <x:v>0.29</x:v>
      </x:c>
      <x:c r="W79" s="35" t="n">
        <x:v>1200</x:v>
      </x:c>
      <x:c r="X79" s="35" t="n">
        <x:v>90</x:v>
      </x:c>
      <x:c r="Y79" s="37" t="n">
        <x:v>100000000000000</x:v>
      </x:c>
      <x:c r="Z79" s="38" t="n">
        <x:v>225</x:v>
      </x:c>
      <x:c r="AA79" s="38" t="n">
        <x:v>120</x:v>
      </x:c>
      <x:c r="AB79" s="38"/>
      <x:c r="AC79" s="32" t="n">
        <x:v>5</x:v>
      </x:c>
      <x:c r="AD79" s="32" t="str">
        <x:v>Approximate</x:v>
      </x:c>
      <x:c r="AE79" s="8" t="str">
        <x:v>Generic unfilled grade.</x:v>
      </x:c>
      <x:c r="AF79" s="8" t="str">
        <x:f>IFERROR(VLOOKUP(AC79,'Sources'!$A$2:$E$12,5,FALSE),"")</x:f>
        <x:v>https://www.campusplastics.com/</x:v>
      </x:c>
      <x:c r="AG79" s="32" t="b">
        <x:f>COUNTIF($A$2:$A$127,A79)&gt;1</x:f>
        <x:v>0</x:v>
      </x:c>
    </x:row>
    <x:row r="80">
      <x:c r="A80" s="33" t="n">
        <x:v>3025</x:v>
      </x:c>
      <x:c r="B80" s="32" t="str">
        <x:v>POLYMER_PVDF</x:v>
      </x:c>
      <x:c r="C80" s="32" t="str">
        <x:v>PVDF</x:v>
      </x:c>
      <x:c r="D80" s="32" t="str">
        <x:v>Polymer</x:v>
      </x:c>
      <x:c r="E80" s="32" t="str">
        <x:v>Fluoropolymer</x:v>
      </x:c>
      <x:c r="F80" s="32" t="str">
        <x:v>PVDF</x:v>
      </x:c>
      <x:c r="G80" s="32" t="str">
        <x:v>Molded, unfilled</x:v>
      </x:c>
      <x:c r="H80" s="32" t="str">
        <x:v>Isotropic</x:v>
      </x:c>
      <x:c r="I80" s="34" t="n">
        <x:v>1780</x:v>
      </x:c>
      <x:c r="J80" s="35" t="n">
        <x:v>2</x:v>
      </x:c>
      <x:c r="K80" s="35" t="n">
        <x:v>0.35</x:v>
      </x:c>
      <x:c r="L80" s="40"/>
      <x:c r="M80" s="40"/>
      <x:c r="N80" s="39" t="n">
        <x:f>IF(L80&lt;&gt;"",L80,IF(H80&lt;&gt;"Isotropic","",IF(OR(J80="",K80=""),"",J80/(2*(1+K80)))))</x:f>
        <x:v>0.7407407407407407</x:v>
      </x:c>
      <x:c r="O80" s="39" t="n">
        <x:f>IF(M80&lt;&gt;"",M80,IF(H80&lt;&gt;"Isotropic","",IF(OR(J80="",K80="",K80&gt;=0.5),"",J80/(3*(1-2*K80)))))</x:f>
        <x:v>2.222222222222222</x:v>
      </x:c>
      <x:c r="P80" s="35" t="n">
        <x:v>45</x:v>
      </x:c>
      <x:c r="Q80" s="35" t="n">
        <x:v>50</x:v>
      </x:c>
      <x:c r="R80" s="35" t="n">
        <x:v>70</x:v>
      </x:c>
      <x:c r="S80" s="35" t="n">
        <x:v>70</x:v>
      </x:c>
      <x:c r="T80" s="36" t="n">
        <x:v>0.4</x:v>
      </x:c>
      <x:c r="U80" s="35" t="n">
        <x:v>3</x:v>
      </x:c>
      <x:c r="V80" s="35" t="n">
        <x:v>0.19</x:v>
      </x:c>
      <x:c r="W80" s="35" t="n">
        <x:v>1200</x:v>
      </x:c>
      <x:c r="X80" s="35" t="n">
        <x:v>130</x:v>
      </x:c>
      <x:c r="Y80" s="37" t="n">
        <x:v>1000000000000</x:v>
      </x:c>
      <x:c r="Z80" s="38" t="n">
        <x:v>170</x:v>
      </x:c>
      <x:c r="AA80" s="38" t="n">
        <x:v>140</x:v>
      </x:c>
      <x:c r="AB80" s="38"/>
      <x:c r="AC80" s="32" t="n">
        <x:v>5</x:v>
      </x:c>
      <x:c r="AD80" s="32" t="str">
        <x:v>Approximate</x:v>
      </x:c>
      <x:c r="AE80" s="8" t="str">
        <x:v>Generic unfilled fluoropolymer.</x:v>
      </x:c>
      <x:c r="AF80" s="8" t="str">
        <x:f>IFERROR(VLOOKUP(AC80,'Sources'!$A$2:$E$12,5,FALSE),"")</x:f>
        <x:v>https://www.campusplastics.com/</x:v>
      </x:c>
      <x:c r="AG80" s="32" t="b">
        <x:f>COUNTIF($A$2:$A$127,A80)&gt;1</x:f>
        <x:v>0</x:v>
      </x:c>
    </x:row>
    <x:row r="81">
      <x:c r="A81" s="33" t="n">
        <x:v>3101</x:v>
      </x:c>
      <x:c r="B81" s="32" t="str">
        <x:v>ELASTOMER_NATURAL_RUBBER</x:v>
      </x:c>
      <x:c r="C81" s="32" t="str">
        <x:v>Natural rubber</x:v>
      </x:c>
      <x:c r="D81" s="32" t="str">
        <x:v>Polymer</x:v>
      </x:c>
      <x:c r="E81" s="32" t="str">
        <x:v>Elastomer</x:v>
      </x:c>
      <x:c r="F81" s="32" t="str">
        <x:v>NR</x:v>
      </x:c>
      <x:c r="G81" s="32" t="str">
        <x:v>Vulcanized, generic</x:v>
      </x:c>
      <x:c r="H81" s="32" t="str">
        <x:v>Nearly incompressible</x:v>
      </x:c>
      <x:c r="I81" s="34" t="n">
        <x:v>930</x:v>
      </x:c>
      <x:c r="J81" s="35" t="n">
        <x:v>0.01</x:v>
      </x:c>
      <x:c r="K81" s="35" t="n">
        <x:v>0.49</x:v>
      </x:c>
      <x:c r="L81" s="40" t="n">
        <x:v>0.0034</x:v>
      </x:c>
      <x:c r="M81" s="40" t="n">
        <x:v>1</x:v>
      </x:c>
      <x:c r="N81" s="39" t="n">
        <x:f>IF(L81&lt;&gt;"",L81,IF(H81&lt;&gt;"Isotropic","",IF(OR(J81="",K81=""),"",J81/(2*(1+K81)))))</x:f>
        <x:v>0.0034</x:v>
      </x:c>
      <x:c r="O81" s="39" t="n">
        <x:f>IF(M81&lt;&gt;"",M81,IF(H81&lt;&gt;"Isotropic","",IF(OR(J81="",K81="",K81&gt;=0.5),"",J81/(3*(1-2*K81)))))</x:f>
        <x:v>1</x:v>
      </x:c>
      <x:c r="P81" s="35"/>
      <x:c r="Q81" s="35" t="n">
        <x:v>25</x:v>
      </x:c>
      <x:c r="R81" s="35"/>
      <x:c r="S81" s="35"/>
      <x:c r="T81" s="36" t="n">
        <x:v>6</x:v>
      </x:c>
      <x:c r="U81" s="35"/>
      <x:c r="V81" s="35" t="n">
        <x:v>0.13</x:v>
      </x:c>
      <x:c r="W81" s="35" t="n">
        <x:v>1900</x:v>
      </x:c>
      <x:c r="X81" s="35" t="n">
        <x:v>200</x:v>
      </x:c>
      <x:c r="Y81" s="37" t="n">
        <x:v>10000000000000</x:v>
      </x:c>
      <x:c r="Z81" s="38" t="n">
        <x:v>180</x:v>
      </x:c>
      <x:c r="AA81" s="38" t="n">
        <x:v>80</x:v>
      </x:c>
      <x:c r="AB81" s="38"/>
      <x:c r="AC81" s="32" t="n">
        <x:v>5</x:v>
      </x:c>
      <x:c r="AD81" s="32" t="str">
        <x:v>Approximate</x:v>
      </x:c>
      <x:c r="AE81" s="8" t="str">
        <x:v>Highly formulation-, strain-, rate- and temperature-dependent.</x:v>
      </x:c>
      <x:c r="AF81" s="8" t="str">
        <x:f>IFERROR(VLOOKUP(AC81,'Sources'!$A$2:$E$12,5,FALSE),"")</x:f>
        <x:v>https://www.campusplastics.com/</x:v>
      </x:c>
      <x:c r="AG81" s="32" t="b">
        <x:f>COUNTIF($A$2:$A$127,A81)&gt;1</x:f>
        <x:v>0</x:v>
      </x:c>
    </x:row>
    <x:row r="82">
      <x:c r="A82" s="33" t="n">
        <x:v>3102</x:v>
      </x:c>
      <x:c r="B82" s="32" t="str">
        <x:v>ELASTOMER_NEOPRENE</x:v>
      </x:c>
      <x:c r="C82" s="32" t="str">
        <x:v>Neoprene rubber</x:v>
      </x:c>
      <x:c r="D82" s="32" t="str">
        <x:v>Polymer</x:v>
      </x:c>
      <x:c r="E82" s="32" t="str">
        <x:v>Elastomer</x:v>
      </x:c>
      <x:c r="F82" s="32" t="str">
        <x:v>CR</x:v>
      </x:c>
      <x:c r="G82" s="32" t="str">
        <x:v>Vulcanized, generic</x:v>
      </x:c>
      <x:c r="H82" s="32" t="str">
        <x:v>Nearly incompressible</x:v>
      </x:c>
      <x:c r="I82" s="34" t="n">
        <x:v>1230</x:v>
      </x:c>
      <x:c r="J82" s="35" t="n">
        <x:v>0.015</x:v>
      </x:c>
      <x:c r="K82" s="35" t="n">
        <x:v>0.49</x:v>
      </x:c>
      <x:c r="L82" s="40" t="n">
        <x:v>0.005</x:v>
      </x:c>
      <x:c r="M82" s="40" t="n">
        <x:v>1.2</x:v>
      </x:c>
      <x:c r="N82" s="39" t="n">
        <x:f>IF(L82&lt;&gt;"",L82,IF(H82&lt;&gt;"Isotropic","",IF(OR(J82="",K82=""),"",J82/(2*(1+K82)))))</x:f>
        <x:v>0.005</x:v>
      </x:c>
      <x:c r="O82" s="39" t="n">
        <x:f>IF(M82&lt;&gt;"",M82,IF(H82&lt;&gt;"Isotropic","",IF(OR(J82="",K82="",K82&gt;=0.5),"",J82/(3*(1-2*K82)))))</x:f>
        <x:v>1.2</x:v>
      </x:c>
      <x:c r="P82" s="35"/>
      <x:c r="Q82" s="35" t="n">
        <x:v>15</x:v>
      </x:c>
      <x:c r="R82" s="35"/>
      <x:c r="S82" s="35"/>
      <x:c r="T82" s="36" t="n">
        <x:v>4</x:v>
      </x:c>
      <x:c r="U82" s="35"/>
      <x:c r="V82" s="35" t="n">
        <x:v>0.19</x:v>
      </x:c>
      <x:c r="W82" s="35" t="n">
        <x:v>1900</x:v>
      </x:c>
      <x:c r="X82" s="35" t="n">
        <x:v>180</x:v>
      </x:c>
      <x:c r="Y82" s="37" t="n">
        <x:v>100000000000</x:v>
      </x:c>
      <x:c r="Z82" s="38" t="n">
        <x:v>200</x:v>
      </x:c>
      <x:c r="AA82" s="38" t="n">
        <x:v>100</x:v>
      </x:c>
      <x:c r="AB82" s="38"/>
      <x:c r="AC82" s="32" t="n">
        <x:v>5</x:v>
      </x:c>
      <x:c r="AD82" s="32" t="str">
        <x:v>Approximate</x:v>
      </x:c>
      <x:c r="AE82" s="8" t="str">
        <x:v>Hardness grade and formulation dominate mechanical values.</x:v>
      </x:c>
      <x:c r="AF82" s="8" t="str">
        <x:f>IFERROR(VLOOKUP(AC82,'Sources'!$A$2:$E$12,5,FALSE),"")</x:f>
        <x:v>https://www.campusplastics.com/</x:v>
      </x:c>
      <x:c r="AG82" s="32" t="b">
        <x:f>COUNTIF($A$2:$A$127,A82)&gt;1</x:f>
        <x:v>0</x:v>
      </x:c>
    </x:row>
    <x:row r="83">
      <x:c r="A83" s="33" t="n">
        <x:v>3103</x:v>
      </x:c>
      <x:c r="B83" s="32" t="str">
        <x:v>ELASTOMER_NBR</x:v>
      </x:c>
      <x:c r="C83" s="32" t="str">
        <x:v>Nitrile rubber</x:v>
      </x:c>
      <x:c r="D83" s="32" t="str">
        <x:v>Polymer</x:v>
      </x:c>
      <x:c r="E83" s="32" t="str">
        <x:v>Elastomer</x:v>
      </x:c>
      <x:c r="F83" s="32" t="str">
        <x:v>NBR</x:v>
      </x:c>
      <x:c r="G83" s="32" t="str">
        <x:v>Vulcanized, generic</x:v>
      </x:c>
      <x:c r="H83" s="32" t="str">
        <x:v>Nearly incompressible</x:v>
      </x:c>
      <x:c r="I83" s="34" t="n">
        <x:v>1050</x:v>
      </x:c>
      <x:c r="J83" s="35" t="n">
        <x:v>0.012</x:v>
      </x:c>
      <x:c r="K83" s="35" t="n">
        <x:v>0.49</x:v>
      </x:c>
      <x:c r="L83" s="40" t="n">
        <x:v>0.004</x:v>
      </x:c>
      <x:c r="M83" s="40" t="n">
        <x:v>1.1</x:v>
      </x:c>
      <x:c r="N83" s="39" t="n">
        <x:f>IF(L83&lt;&gt;"",L83,IF(H83&lt;&gt;"Isotropic","",IF(OR(J83="",K83=""),"",J83/(2*(1+K83)))))</x:f>
        <x:v>0.004</x:v>
      </x:c>
      <x:c r="O83" s="39" t="n">
        <x:f>IF(M83&lt;&gt;"",M83,IF(H83&lt;&gt;"Isotropic","",IF(OR(J83="",K83="",K83&gt;=0.5),"",J83/(3*(1-2*K83)))))</x:f>
        <x:v>1.1</x:v>
      </x:c>
      <x:c r="P83" s="35"/>
      <x:c r="Q83" s="35" t="n">
        <x:v>18</x:v>
      </x:c>
      <x:c r="R83" s="35"/>
      <x:c r="S83" s="35"/>
      <x:c r="T83" s="36" t="n">
        <x:v>3.5</x:v>
      </x:c>
      <x:c r="U83" s="35"/>
      <x:c r="V83" s="35" t="n">
        <x:v>0.24</x:v>
      </x:c>
      <x:c r="W83" s="35" t="n">
        <x:v>1800</x:v>
      </x:c>
      <x:c r="X83" s="35" t="n">
        <x:v>170</x:v>
      </x:c>
      <x:c r="Y83" s="37" t="n">
        <x:v>100000000000</x:v>
      </x:c>
      <x:c r="Z83" s="38" t="n">
        <x:v>180</x:v>
      </x:c>
      <x:c r="AA83" s="38" t="n">
        <x:v>100</x:v>
      </x:c>
      <x:c r="AB83" s="38"/>
      <x:c r="AC83" s="32" t="n">
        <x:v>5</x:v>
      </x:c>
      <x:c r="AD83" s="32" t="str">
        <x:v>Approximate</x:v>
      </x:c>
      <x:c r="AE83" s="8" t="str">
        <x:v>Acrylonitrile content and hardness grade affect properties.</x:v>
      </x:c>
      <x:c r="AF83" s="8" t="str">
        <x:f>IFERROR(VLOOKUP(AC83,'Sources'!$A$2:$E$12,5,FALSE),"")</x:f>
        <x:v>https://www.campusplastics.com/</x:v>
      </x:c>
      <x:c r="AG83" s="32" t="b">
        <x:f>COUNTIF($A$2:$A$127,A83)&gt;1</x:f>
        <x:v>0</x:v>
      </x:c>
    </x:row>
    <x:row r="84">
      <x:c r="A84" s="33" t="n">
        <x:v>3104</x:v>
      </x:c>
      <x:c r="B84" s="32" t="str">
        <x:v>ELASTOMER_EPDM</x:v>
      </x:c>
      <x:c r="C84" s="32" t="str">
        <x:v>EPDM rubber</x:v>
      </x:c>
      <x:c r="D84" s="32" t="str">
        <x:v>Polymer</x:v>
      </x:c>
      <x:c r="E84" s="32" t="str">
        <x:v>Elastomer</x:v>
      </x:c>
      <x:c r="F84" s="32" t="str">
        <x:v>EPDM</x:v>
      </x:c>
      <x:c r="G84" s="32" t="str">
        <x:v>Vulcanized, generic</x:v>
      </x:c>
      <x:c r="H84" s="32" t="str">
        <x:v>Nearly incompressible</x:v>
      </x:c>
      <x:c r="I84" s="34" t="n">
        <x:v>860</x:v>
      </x:c>
      <x:c r="J84" s="35" t="n">
        <x:v>0.01</x:v>
      </x:c>
      <x:c r="K84" s="35" t="n">
        <x:v>0.49</x:v>
      </x:c>
      <x:c r="L84" s="40" t="n">
        <x:v>0.0034</x:v>
      </x:c>
      <x:c r="M84" s="40" t="n">
        <x:v>1</x:v>
      </x:c>
      <x:c r="N84" s="39" t="n">
        <x:f>IF(L84&lt;&gt;"",L84,IF(H84&lt;&gt;"Isotropic","",IF(OR(J84="",K84=""),"",J84/(2*(1+K84)))))</x:f>
        <x:v>0.0034</x:v>
      </x:c>
      <x:c r="O84" s="39" t="n">
        <x:f>IF(M84&lt;&gt;"",M84,IF(H84&lt;&gt;"Isotropic","",IF(OR(J84="",K84="",K84&gt;=0.5),"",J84/(3*(1-2*K84)))))</x:f>
        <x:v>1</x:v>
      </x:c>
      <x:c r="P84" s="35"/>
      <x:c r="Q84" s="35" t="n">
        <x:v>14</x:v>
      </x:c>
      <x:c r="R84" s="35"/>
      <x:c r="S84" s="35"/>
      <x:c r="T84" s="36" t="n">
        <x:v>4</x:v>
      </x:c>
      <x:c r="U84" s="35"/>
      <x:c r="V84" s="35" t="n">
        <x:v>0.25</x:v>
      </x:c>
      <x:c r="W84" s="35" t="n">
        <x:v>1900</x:v>
      </x:c>
      <x:c r="X84" s="35" t="n">
        <x:v>180</x:v>
      </x:c>
      <x:c r="Y84" s="37" t="n">
        <x:v>1000000000000</x:v>
      </x:c>
      <x:c r="Z84" s="38" t="n">
        <x:v>180</x:v>
      </x:c>
      <x:c r="AA84" s="38" t="n">
        <x:v>130</x:v>
      </x:c>
      <x:c r="AB84" s="38"/>
      <x:c r="AC84" s="32" t="n">
        <x:v>5</x:v>
      </x:c>
      <x:c r="AD84" s="32" t="str">
        <x:v>Approximate</x:v>
      </x:c>
      <x:c r="AE84" s="8" t="str">
        <x:v>Formulation and hardness grade dominate mechanical values.</x:v>
      </x:c>
      <x:c r="AF84" s="8" t="str">
        <x:f>IFERROR(VLOOKUP(AC84,'Sources'!$A$2:$E$12,5,FALSE),"")</x:f>
        <x:v>https://www.campusplastics.com/</x:v>
      </x:c>
      <x:c r="AG84" s="32" t="b">
        <x:f>COUNTIF($A$2:$A$127,A84)&gt;1</x:f>
        <x:v>0</x:v>
      </x:c>
    </x:row>
    <x:row r="85">
      <x:c r="A85" s="33" t="n">
        <x:v>3105</x:v>
      </x:c>
      <x:c r="B85" s="32" t="str">
        <x:v>ELASTOMER_SILICONE</x:v>
      </x:c>
      <x:c r="C85" s="32" t="str">
        <x:v>Silicone rubber</x:v>
      </x:c>
      <x:c r="D85" s="32" t="str">
        <x:v>Polymer</x:v>
      </x:c>
      <x:c r="E85" s="32" t="str">
        <x:v>Elastomer</x:v>
      </x:c>
      <x:c r="F85" s="32" t="str">
        <x:v>VMQ</x:v>
      </x:c>
      <x:c r="G85" s="32" t="str">
        <x:v>Vulcanized, generic</x:v>
      </x:c>
      <x:c r="H85" s="32" t="str">
        <x:v>Nearly incompressible</x:v>
      </x:c>
      <x:c r="I85" s="34" t="n">
        <x:v>1150</x:v>
      </x:c>
      <x:c r="J85" s="35" t="n">
        <x:v>0.008</x:v>
      </x:c>
      <x:c r="K85" s="35" t="n">
        <x:v>0.49</x:v>
      </x:c>
      <x:c r="L85" s="40" t="n">
        <x:v>0.0027</x:v>
      </x:c>
      <x:c r="M85" s="40" t="n">
        <x:v>0.8</x:v>
      </x:c>
      <x:c r="N85" s="39" t="n">
        <x:f>IF(L85&lt;&gt;"",L85,IF(H85&lt;&gt;"Isotropic","",IF(OR(J85="",K85=""),"",J85/(2*(1+K85)))))</x:f>
        <x:v>0.0027</x:v>
      </x:c>
      <x:c r="O85" s="39" t="n">
        <x:f>IF(M85&lt;&gt;"",M85,IF(H85&lt;&gt;"Isotropic","",IF(OR(J85="",K85="",K85&gt;=0.5),"",J85/(3*(1-2*K85)))))</x:f>
        <x:v>0.8</x:v>
      </x:c>
      <x:c r="P85" s="35"/>
      <x:c r="Q85" s="35" t="n">
        <x:v>9</x:v>
      </x:c>
      <x:c r="R85" s="35"/>
      <x:c r="S85" s="35"/>
      <x:c r="T85" s="36" t="n">
        <x:v>4</x:v>
      </x:c>
      <x:c r="U85" s="35"/>
      <x:c r="V85" s="35" t="n">
        <x:v>0.2</x:v>
      </x:c>
      <x:c r="W85" s="35" t="n">
        <x:v>1500</x:v>
      </x:c>
      <x:c r="X85" s="35" t="n">
        <x:v>250</x:v>
      </x:c>
      <x:c r="Y85" s="37" t="n">
        <x:v>100000000000000</x:v>
      </x:c>
      <x:c r="Z85" s="38" t="n">
        <x:v>200</x:v>
      </x:c>
      <x:c r="AA85" s="38" t="n">
        <x:v>200</x:v>
      </x:c>
      <x:c r="AB85" s="38"/>
      <x:c r="AC85" s="32" t="n">
        <x:v>5</x:v>
      </x:c>
      <x:c r="AD85" s="32" t="str">
        <x:v>Approximate</x:v>
      </x:c>
      <x:c r="AE85" s="8" t="str">
        <x:v>Wide temperature range; formulation-specific properties required for design.</x:v>
      </x:c>
      <x:c r="AF85" s="8" t="str">
        <x:f>IFERROR(VLOOKUP(AC85,'Sources'!$A$2:$E$12,5,FALSE),"")</x:f>
        <x:v>https://www.campusplastics.com/</x:v>
      </x:c>
      <x:c r="AG85" s="32" t="b">
        <x:f>COUNTIF($A$2:$A$127,A85)&gt;1</x:f>
        <x:v>0</x:v>
      </x:c>
    </x:row>
    <x:row r="86">
      <x:c r="A86" s="33" t="n">
        <x:v>3106</x:v>
      </x:c>
      <x:c r="B86" s="32" t="str">
        <x:v>ELASTOMER_FKM</x:v>
      </x:c>
      <x:c r="C86" s="32" t="str">
        <x:v>Fluoroelastomer</x:v>
      </x:c>
      <x:c r="D86" s="32" t="str">
        <x:v>Polymer</x:v>
      </x:c>
      <x:c r="E86" s="32" t="str">
        <x:v>Elastomer</x:v>
      </x:c>
      <x:c r="F86" s="32" t="str">
        <x:v>FKM</x:v>
      </x:c>
      <x:c r="G86" s="32" t="str">
        <x:v>Vulcanized, generic</x:v>
      </x:c>
      <x:c r="H86" s="32" t="str">
        <x:v>Nearly incompressible</x:v>
      </x:c>
      <x:c r="I86" s="34" t="n">
        <x:v>1850</x:v>
      </x:c>
      <x:c r="J86" s="35" t="n">
        <x:v>0.012</x:v>
      </x:c>
      <x:c r="K86" s="35" t="n">
        <x:v>0.49</x:v>
      </x:c>
      <x:c r="L86" s="40" t="n">
        <x:v>0.004</x:v>
      </x:c>
      <x:c r="M86" s="40" t="n">
        <x:v>1.1</x:v>
      </x:c>
      <x:c r="N86" s="39" t="n">
        <x:f>IF(L86&lt;&gt;"",L86,IF(H86&lt;&gt;"Isotropic","",IF(OR(J86="",K86=""),"",J86/(2*(1+K86)))))</x:f>
        <x:v>0.004</x:v>
      </x:c>
      <x:c r="O86" s="39" t="n">
        <x:f>IF(M86&lt;&gt;"",M86,IF(H86&lt;&gt;"Isotropic","",IF(OR(J86="",K86="",K86&gt;=0.5),"",J86/(3*(1-2*K86)))))</x:f>
        <x:v>1.1</x:v>
      </x:c>
      <x:c r="P86" s="35"/>
      <x:c r="Q86" s="35" t="n">
        <x:v>12</x:v>
      </x:c>
      <x:c r="R86" s="35"/>
      <x:c r="S86" s="35"/>
      <x:c r="T86" s="36" t="n">
        <x:v>2</x:v>
      </x:c>
      <x:c r="U86" s="35"/>
      <x:c r="V86" s="35" t="n">
        <x:v>0.2</x:v>
      </x:c>
      <x:c r="W86" s="35" t="n">
        <x:v>1200</x:v>
      </x:c>
      <x:c r="X86" s="35" t="n">
        <x:v>180</x:v>
      </x:c>
      <x:c r="Y86" s="37" t="n">
        <x:v>1000000000000</x:v>
      </x:c>
      <x:c r="Z86" s="38" t="n">
        <x:v>250</x:v>
      </x:c>
      <x:c r="AA86" s="38" t="n">
        <x:v>220</x:v>
      </x:c>
      <x:c r="AB86" s="38"/>
      <x:c r="AC86" s="32" t="n">
        <x:v>5</x:v>
      </x:c>
      <x:c r="AD86" s="32" t="str">
        <x:v>Approximate</x:v>
      </x:c>
      <x:c r="AE86" s="8" t="str">
        <x:v>Chemical compatibility and compression set are formulation-specific.</x:v>
      </x:c>
      <x:c r="AF86" s="8" t="str">
        <x:f>IFERROR(VLOOKUP(AC86,'Sources'!$A$2:$E$12,5,FALSE),"")</x:f>
        <x:v>https://www.campusplastics.com/</x:v>
      </x:c>
      <x:c r="AG86" s="32" t="b">
        <x:f>COUNTIF($A$2:$A$127,A86)&gt;1</x:f>
        <x:v>0</x:v>
      </x:c>
    </x:row>
    <x:row r="87">
      <x:c r="A87" s="33" t="n">
        <x:v>3107</x:v>
      </x:c>
      <x:c r="B87" s="32" t="str">
        <x:v>ELASTOMER_TPU</x:v>
      </x:c>
      <x:c r="C87" s="32" t="str">
        <x:v>Thermoplastic polyurethane elastomer</x:v>
      </x:c>
      <x:c r="D87" s="32" t="str">
        <x:v>Polymer</x:v>
      </x:c>
      <x:c r="E87" s="32" t="str">
        <x:v>Elastomer</x:v>
      </x:c>
      <x:c r="F87" s="32" t="str">
        <x:v>TPU</x:v>
      </x:c>
      <x:c r="G87" s="32" t="str">
        <x:v>Molded, generic</x:v>
      </x:c>
      <x:c r="H87" s="32" t="str">
        <x:v>Nearly incompressible</x:v>
      </x:c>
      <x:c r="I87" s="34" t="n">
        <x:v>1200</x:v>
      </x:c>
      <x:c r="J87" s="35" t="n">
        <x:v>0.05</x:v>
      </x:c>
      <x:c r="K87" s="35" t="n">
        <x:v>0.48</x:v>
      </x:c>
      <x:c r="L87" s="40" t="n">
        <x:v>0.017</x:v>
      </x:c>
      <x:c r="M87" s="40" t="n">
        <x:v>1</x:v>
      </x:c>
      <x:c r="N87" s="39" t="n">
        <x:f>IF(L87&lt;&gt;"",L87,IF(H87&lt;&gt;"Isotropic","",IF(OR(J87="",K87=""),"",J87/(2*(1+K87)))))</x:f>
        <x:v>0.017</x:v>
      </x:c>
      <x:c r="O87" s="39" t="n">
        <x:f>IF(M87&lt;&gt;"",M87,IF(H87&lt;&gt;"Isotropic","",IF(OR(J87="",K87="",K87&gt;=0.5),"",J87/(3*(1-2*K87)))))</x:f>
        <x:v>1</x:v>
      </x:c>
      <x:c r="P87" s="35" t="n">
        <x:v>12</x:v>
      </x:c>
      <x:c r="Q87" s="35" t="n">
        <x:v>35</x:v>
      </x:c>
      <x:c r="R87" s="35"/>
      <x:c r="S87" s="35"/>
      <x:c r="T87" s="36" t="n">
        <x:v>5</x:v>
      </x:c>
      <x:c r="U87" s="35"/>
      <x:c r="V87" s="35" t="n">
        <x:v>0.2</x:v>
      </x:c>
      <x:c r="W87" s="35" t="n">
        <x:v>1700</x:v>
      </x:c>
      <x:c r="X87" s="35" t="n">
        <x:v>160</x:v>
      </x:c>
      <x:c r="Y87" s="37" t="n">
        <x:v>100000000000</x:v>
      </x:c>
      <x:c r="Z87" s="38" t="n">
        <x:v>180</x:v>
      </x:c>
      <x:c r="AA87" s="38" t="n">
        <x:v>100</x:v>
      </x:c>
      <x:c r="AB87" s="38"/>
      <x:c r="AC87" s="32" t="n">
        <x:v>5</x:v>
      </x:c>
      <x:c r="AD87" s="32" t="str">
        <x:v>Approximate</x:v>
      </x:c>
      <x:c r="AE87" s="8" t="str">
        <x:v>Hardness grade spans a very wide range; values are screening-only.</x:v>
      </x:c>
      <x:c r="AF87" s="8" t="str">
        <x:f>IFERROR(VLOOKUP(AC87,'Sources'!$A$2:$E$12,5,FALSE),"")</x:f>
        <x:v>https://www.campusplastics.com/</x:v>
      </x:c>
      <x:c r="AG87" s="32" t="b">
        <x:f>COUNTIF($A$2:$A$127,A87)&gt;1</x:f>
        <x:v>0</x:v>
      </x:c>
    </x:row>
    <x:row r="88">
      <x:c r="A88" s="33" t="n">
        <x:v>4001</x:v>
      </x:c>
      <x:c r="B88" s="32" t="str">
        <x:v>GLASS_SODA_LIME</x:v>
      </x:c>
      <x:c r="C88" s="32" t="str">
        <x:v>Soda-lime glass</x:v>
      </x:c>
      <x:c r="D88" s="32" t="str">
        <x:v>Ceramic</x:v>
      </x:c>
      <x:c r="E88" s="32" t="str">
        <x:v>Glass</x:v>
      </x:c>
      <x:c r="F88" s="32" t="str">
        <x:v>Soda-lime silicate</x:v>
      </x:c>
      <x:c r="G88" s="32" t="str">
        <x:v>Annealed</x:v>
      </x:c>
      <x:c r="H88" s="32" t="str">
        <x:v>Isotropic</x:v>
      </x:c>
      <x:c r="I88" s="34" t="n">
        <x:v>2500</x:v>
      </x:c>
      <x:c r="J88" s="35" t="n">
        <x:v>70</x:v>
      </x:c>
      <x:c r="K88" s="35" t="n">
        <x:v>0.23</x:v>
      </x:c>
      <x:c r="L88" s="40"/>
      <x:c r="M88" s="40"/>
      <x:c r="N88" s="39" t="n">
        <x:f>IF(L88&lt;&gt;"",L88,IF(H88&lt;&gt;"Isotropic","",IF(OR(J88="",K88=""),"",J88/(2*(1+K88)))))</x:f>
        <x:v>28.45528455284553</x:v>
      </x:c>
      <x:c r="O88" s="39" t="n">
        <x:f>IF(M88&lt;&gt;"",M88,IF(H88&lt;&gt;"Isotropic","",IF(OR(J88="",K88="",K88&gt;=0.5),"",J88/(3*(1-2*K88)))))</x:f>
        <x:v>43.20987654320987</x:v>
      </x:c>
      <x:c r="P88" s="35"/>
      <x:c r="Q88" s="35" t="n">
        <x:v>45</x:v>
      </x:c>
      <x:c r="R88" s="35" t="n">
        <x:v>1000</x:v>
      </x:c>
      <x:c r="S88" s="35" t="n">
        <x:v>70</x:v>
      </x:c>
      <x:c r="T88" s="36" t="n">
        <x:v>0.001</x:v>
      </x:c>
      <x:c r="U88" s="35"/>
      <x:c r="V88" s="35" t="n">
        <x:v>1</x:v>
      </x:c>
      <x:c r="W88" s="35" t="n">
        <x:v>840</x:v>
      </x:c>
      <x:c r="X88" s="35" t="n">
        <x:v>9</x:v>
      </x:c>
      <x:c r="Y88" s="37" t="n">
        <x:v>10000000000</x:v>
      </x:c>
      <x:c r="Z88" s="38" t="n">
        <x:v>720</x:v>
      </x:c>
      <x:c r="AA88" s="38" t="n">
        <x:v>250</x:v>
      </x:c>
      <x:c r="AB88" s="38" t="n">
        <x:v>550</x:v>
      </x:c>
      <x:c r="AC88" s="32" t="n">
        <x:v>6</x:v>
      </x:c>
      <x:c r="AD88" s="32" t="str">
        <x:v>Approximate</x:v>
      </x:c>
      <x:c r="AE88" s="8" t="str">
        <x:v>Strength is flaw- and surface-condition controlled; transition is softening-type value.</x:v>
      </x:c>
      <x:c r="AF88" s="8" t="str">
        <x:f>IFERROR(VLOOKUP(AC88,'Sources'!$A$2:$E$12,5,FALSE),"")</x:f>
        <x:v>https://srdata.nist.gov/CeramicDataPortal/scd</x:v>
      </x:c>
      <x:c r="AG88" s="32" t="b">
        <x:f>COUNTIF($A$2:$A$127,A88)&gt;1</x:f>
        <x:v>0</x:v>
      </x:c>
    </x:row>
    <x:row r="89">
      <x:c r="A89" s="33" t="n">
        <x:v>4002</x:v>
      </x:c>
      <x:c r="B89" s="32" t="str">
        <x:v>GLASS_BOROSILICATE</x:v>
      </x:c>
      <x:c r="C89" s="32" t="str">
        <x:v>Borosilicate glass</x:v>
      </x:c>
      <x:c r="D89" s="32" t="str">
        <x:v>Ceramic</x:v>
      </x:c>
      <x:c r="E89" s="32" t="str">
        <x:v>Glass</x:v>
      </x:c>
      <x:c r="F89" s="32" t="str">
        <x:v>Borosilicate 3.3</x:v>
      </x:c>
      <x:c r="G89" s="32" t="str">
        <x:v>Annealed</x:v>
      </x:c>
      <x:c r="H89" s="32" t="str">
        <x:v>Isotropic</x:v>
      </x:c>
      <x:c r="I89" s="34" t="n">
        <x:v>2230</x:v>
      </x:c>
      <x:c r="J89" s="35" t="n">
        <x:v>64</x:v>
      </x:c>
      <x:c r="K89" s="35" t="n">
        <x:v>0.2</x:v>
      </x:c>
      <x:c r="L89" s="40"/>
      <x:c r="M89" s="40"/>
      <x:c r="N89" s="39" t="n">
        <x:f>IF(L89&lt;&gt;"",L89,IF(H89&lt;&gt;"Isotropic","",IF(OR(J89="",K89=""),"",J89/(2*(1+K89)))))</x:f>
        <x:v>26.666666666666668</x:v>
      </x:c>
      <x:c r="O89" s="39" t="n">
        <x:f>IF(M89&lt;&gt;"",M89,IF(H89&lt;&gt;"Isotropic","",IF(OR(J89="",K89="",K89&gt;=0.5),"",J89/(3*(1-2*K89)))))</x:f>
        <x:v>35.55555555555556</x:v>
      </x:c>
      <x:c r="P89" s="35"/>
      <x:c r="Q89" s="35" t="n">
        <x:v>40</x:v>
      </x:c>
      <x:c r="R89" s="35" t="n">
        <x:v>1000</x:v>
      </x:c>
      <x:c r="S89" s="35" t="n">
        <x:v>70</x:v>
      </x:c>
      <x:c r="T89" s="36" t="n">
        <x:v>0.001</x:v>
      </x:c>
      <x:c r="U89" s="35" t="n">
        <x:v>0.8</x:v>
      </x:c>
      <x:c r="V89" s="35" t="n">
        <x:v>1.2</x:v>
      </x:c>
      <x:c r="W89" s="35" t="n">
        <x:v>830</x:v>
      </x:c>
      <x:c r="X89" s="35" t="n">
        <x:v>3.3</x:v>
      </x:c>
      <x:c r="Y89" s="37" t="n">
        <x:v>1000000000000</x:v>
      </x:c>
      <x:c r="Z89" s="38" t="n">
        <x:v>820</x:v>
      </x:c>
      <x:c r="AA89" s="38" t="n">
        <x:v>450</x:v>
      </x:c>
      <x:c r="AB89" s="38" t="n">
        <x:v>480</x:v>
      </x:c>
      <x:c r="AC89" s="32" t="n">
        <x:v>6</x:v>
      </x:c>
      <x:c r="AD89" s="32" t="str">
        <x:v>Approximate</x:v>
      </x:c>
      <x:c r="AE89" s="8" t="str">
        <x:v>Strength is statistical and surface-condition dependent.</x:v>
      </x:c>
      <x:c r="AF89" s="8" t="str">
        <x:f>IFERROR(VLOOKUP(AC89,'Sources'!$A$2:$E$12,5,FALSE),"")</x:f>
        <x:v>https://srdata.nist.gov/CeramicDataPortal/scd</x:v>
      </x:c>
      <x:c r="AG89" s="32" t="b">
        <x:f>COUNTIF($A$2:$A$127,A89)&gt;1</x:f>
        <x:v>0</x:v>
      </x:c>
    </x:row>
    <x:row r="90">
      <x:c r="A90" s="33" t="n">
        <x:v>4003</x:v>
      </x:c>
      <x:c r="B90" s="32" t="str">
        <x:v>GLASS_FUSED_SILICA</x:v>
      </x:c>
      <x:c r="C90" s="32" t="str">
        <x:v>Fused silica</x:v>
      </x:c>
      <x:c r="D90" s="32" t="str">
        <x:v>Ceramic</x:v>
      </x:c>
      <x:c r="E90" s="32" t="str">
        <x:v>Glass</x:v>
      </x:c>
      <x:c r="F90" s="32" t="str">
        <x:v>SiO2, fused</x:v>
      </x:c>
      <x:c r="G90" s="32" t="str">
        <x:v>Annealed</x:v>
      </x:c>
      <x:c r="H90" s="32" t="str">
        <x:v>Isotropic</x:v>
      </x:c>
      <x:c r="I90" s="34" t="n">
        <x:v>2200</x:v>
      </x:c>
      <x:c r="J90" s="35" t="n">
        <x:v>73</x:v>
      </x:c>
      <x:c r="K90" s="35" t="n">
        <x:v>0.17</x:v>
      </x:c>
      <x:c r="L90" s="40"/>
      <x:c r="M90" s="40"/>
      <x:c r="N90" s="39" t="n">
        <x:f>IF(L90&lt;&gt;"",L90,IF(H90&lt;&gt;"Isotropic","",IF(OR(J90="",K90=""),"",J90/(2*(1+K90)))))</x:f>
        <x:v>31.1965811965812</x:v>
      </x:c>
      <x:c r="O90" s="39" t="n">
        <x:f>IF(M90&lt;&gt;"",M90,IF(H90&lt;&gt;"Isotropic","",IF(OR(J90="",K90="",K90&gt;=0.5),"",J90/(3*(1-2*K90)))))</x:f>
        <x:v>36.86868686868687</x:v>
      </x:c>
      <x:c r="P90" s="35"/>
      <x:c r="Q90" s="35" t="n">
        <x:v>50</x:v>
      </x:c>
      <x:c r="R90" s="35" t="n">
        <x:v>1100</x:v>
      </x:c>
      <x:c r="S90" s="35" t="n">
        <x:v>70</x:v>
      </x:c>
      <x:c r="T90" s="36" t="n">
        <x:v>0.001</x:v>
      </x:c>
      <x:c r="U90" s="35" t="n">
        <x:v>0.75</x:v>
      </x:c>
      <x:c r="V90" s="35" t="n">
        <x:v>1.38</x:v>
      </x:c>
      <x:c r="W90" s="35" t="n">
        <x:v>740</x:v>
      </x:c>
      <x:c r="X90" s="35" t="n">
        <x:v>0.55</x:v>
      </x:c>
      <x:c r="Y90" s="37" t="n">
        <x:v>10000000000000000</x:v>
      </x:c>
      <x:c r="Z90" s="38" t="n">
        <x:v>1665</x:v>
      </x:c>
      <x:c r="AA90" s="38" t="n">
        <x:v>1000</x:v>
      </x:c>
      <x:c r="AB90" s="38" t="n">
        <x:v>600</x:v>
      </x:c>
      <x:c r="AC90" s="32" t="n">
        <x:v>6</x:v>
      </x:c>
      <x:c r="AD90" s="32" t="str">
        <x:v>Representative</x:v>
      </x:c>
      <x:c r="AE90" s="8" t="str">
        <x:v>Very low expansion; tensile strength is flaw controlled.</x:v>
      </x:c>
      <x:c r="AF90" s="8" t="str">
        <x:f>IFERROR(VLOOKUP(AC90,'Sources'!$A$2:$E$12,5,FALSE),"")</x:f>
        <x:v>https://srdata.nist.gov/CeramicDataPortal/scd</x:v>
      </x:c>
      <x:c r="AG90" s="32" t="b">
        <x:f>COUNTIF($A$2:$A$127,A90)&gt;1</x:f>
        <x:v>0</x:v>
      </x:c>
    </x:row>
    <x:row r="91">
      <x:c r="A91" s="33" t="n">
        <x:v>4101</x:v>
      </x:c>
      <x:c r="B91" s="32" t="str">
        <x:v>CERAMIC_ALUMINA_96</x:v>
      </x:c>
      <x:c r="C91" s="32" t="str">
        <x:v>Alumina ceramic 96%</x:v>
      </x:c>
      <x:c r="D91" s="32" t="str">
        <x:v>Ceramic</x:v>
      </x:c>
      <x:c r="E91" s="32" t="str">
        <x:v>Oxide ceramic</x:v>
      </x:c>
      <x:c r="F91" s="32" t="str">
        <x:v>Al2O3 96%</x:v>
      </x:c>
      <x:c r="G91" s="32" t="str">
        <x:v>Dense technical ceramic</x:v>
      </x:c>
      <x:c r="H91" s="32" t="str">
        <x:v>Isotropic</x:v>
      </x:c>
      <x:c r="I91" s="34" t="n">
        <x:v>3700</x:v>
      </x:c>
      <x:c r="J91" s="35" t="n">
        <x:v>300</x:v>
      </x:c>
      <x:c r="K91" s="35" t="n">
        <x:v>0.22</x:v>
      </x:c>
      <x:c r="L91" s="40"/>
      <x:c r="M91" s="40"/>
      <x:c r="N91" s="39" t="n">
        <x:f>IF(L91&lt;&gt;"",L91,IF(H91&lt;&gt;"Isotropic","",IF(OR(J91="",K91=""),"",J91/(2*(1+K91)))))</x:f>
        <x:v>122.95081967213115</x:v>
      </x:c>
      <x:c r="O91" s="39" t="n">
        <x:f>IF(M91&lt;&gt;"",M91,IF(H91&lt;&gt;"Isotropic","",IF(OR(J91="",K91="",K91&gt;=0.5),"",J91/(3*(1-2*K91)))))</x:f>
        <x:v>178.57142857142856</x:v>
      </x:c>
      <x:c r="P91" s="35"/>
      <x:c r="Q91" s="35" t="n">
        <x:v>250</x:v>
      </x:c>
      <x:c r="R91" s="35" t="n">
        <x:v>2000</x:v>
      </x:c>
      <x:c r="S91" s="35" t="n">
        <x:v>300</x:v>
      </x:c>
      <x:c r="T91" s="36" t="n">
        <x:v>0.001</x:v>
      </x:c>
      <x:c r="U91" s="35" t="n">
        <x:v>3.5</x:v>
      </x:c>
      <x:c r="V91" s="35" t="n">
        <x:v>24</x:v>
      </x:c>
      <x:c r="W91" s="35" t="n">
        <x:v>880</x:v>
      </x:c>
      <x:c r="X91" s="35" t="n">
        <x:v>7.5</x:v>
      </x:c>
      <x:c r="Y91" s="37" t="n">
        <x:v>1000000000000</x:v>
      </x:c>
      <x:c r="Z91" s="38" t="n">
        <x:v>2050</x:v>
      </x:c>
      <x:c r="AA91" s="38" t="n">
        <x:v>1500</x:v>
      </x:c>
      <x:c r="AB91" s="38" t="n">
        <x:v>1400</x:v>
      </x:c>
      <x:c r="AC91" s="32" t="n">
        <x:v>6</x:v>
      </x:c>
      <x:c r="AD91" s="32" t="str">
        <x:v>Representative</x:v>
      </x:c>
      <x:c r="AE91" s="8" t="str">
        <x:v>Typical dense alumina; manufacturer/process affect values.</x:v>
      </x:c>
      <x:c r="AF91" s="8" t="str">
        <x:f>IFERROR(VLOOKUP(AC91,'Sources'!$A$2:$E$12,5,FALSE),"")</x:f>
        <x:v>https://srdata.nist.gov/CeramicDataPortal/scd</x:v>
      </x:c>
      <x:c r="AG91" s="32" t="b">
        <x:f>COUNTIF($A$2:$A$127,A91)&gt;1</x:f>
        <x:v>0</x:v>
      </x:c>
    </x:row>
    <x:row r="92">
      <x:c r="A92" s="33" t="n">
        <x:v>4102</x:v>
      </x:c>
      <x:c r="B92" s="32" t="str">
        <x:v>CERAMIC_ALUMINA_995</x:v>
      </x:c>
      <x:c r="C92" s="32" t="str">
        <x:v>Alumina ceramic 99.5%</x:v>
      </x:c>
      <x:c r="D92" s="32" t="str">
        <x:v>Ceramic</x:v>
      </x:c>
      <x:c r="E92" s="32" t="str">
        <x:v>Oxide ceramic</x:v>
      </x:c>
      <x:c r="F92" s="32" t="str">
        <x:v>Al2O3 99.5%</x:v>
      </x:c>
      <x:c r="G92" s="32" t="str">
        <x:v>Dense technical ceramic</x:v>
      </x:c>
      <x:c r="H92" s="32" t="str">
        <x:v>Isotropic</x:v>
      </x:c>
      <x:c r="I92" s="34" t="n">
        <x:v>3900</x:v>
      </x:c>
      <x:c r="J92" s="35" t="n">
        <x:v>370</x:v>
      </x:c>
      <x:c r="K92" s="35" t="n">
        <x:v>0.22</x:v>
      </x:c>
      <x:c r="L92" s="40"/>
      <x:c r="M92" s="40"/>
      <x:c r="N92" s="39" t="n">
        <x:f>IF(L92&lt;&gt;"",L92,IF(H92&lt;&gt;"Isotropic","",IF(OR(J92="",K92=""),"",J92/(2*(1+K92)))))</x:f>
        <x:v>151.63934426229508</x:v>
      </x:c>
      <x:c r="O92" s="39" t="n">
        <x:f>IF(M92&lt;&gt;"",M92,IF(H92&lt;&gt;"Isotropic","",IF(OR(J92="",K92="",K92&gt;=0.5),"",J92/(3*(1-2*K92)))))</x:f>
        <x:v>220.2380952380952</x:v>
      </x:c>
      <x:c r="P92" s="35"/>
      <x:c r="Q92" s="35" t="n">
        <x:v>300</x:v>
      </x:c>
      <x:c r="R92" s="35" t="n">
        <x:v>2500</x:v>
      </x:c>
      <x:c r="S92" s="35" t="n">
        <x:v>380</x:v>
      </x:c>
      <x:c r="T92" s="36" t="n">
        <x:v>0.001</x:v>
      </x:c>
      <x:c r="U92" s="35" t="n">
        <x:v>4</x:v>
      </x:c>
      <x:c r="V92" s="35" t="n">
        <x:v>30</x:v>
      </x:c>
      <x:c r="W92" s="35" t="n">
        <x:v>880</x:v>
      </x:c>
      <x:c r="X92" s="35" t="n">
        <x:v>7.8</x:v>
      </x:c>
      <x:c r="Y92" s="37" t="n">
        <x:v>10000000000000</x:v>
      </x:c>
      <x:c r="Z92" s="38" t="n">
        <x:v>2050</x:v>
      </x:c>
      <x:c r="AA92" s="38" t="n">
        <x:v>1600</x:v>
      </x:c>
      <x:c r="AB92" s="38" t="n">
        <x:v>1700</x:v>
      </x:c>
      <x:c r="AC92" s="32" t="n">
        <x:v>6</x:v>
      </x:c>
      <x:c r="AD92" s="32" t="str">
        <x:v>Representative</x:v>
      </x:c>
      <x:c r="AE92" s="8" t="str">
        <x:v>Typical high-purity dense alumina.</x:v>
      </x:c>
      <x:c r="AF92" s="8" t="str">
        <x:f>IFERROR(VLOOKUP(AC92,'Sources'!$A$2:$E$12,5,FALSE),"")</x:f>
        <x:v>https://srdata.nist.gov/CeramicDataPortal/scd</x:v>
      </x:c>
      <x:c r="AG92" s="32" t="b">
        <x:f>COUNTIF($A$2:$A$127,A92)&gt;1</x:f>
        <x:v>0</x:v>
      </x:c>
    </x:row>
    <x:row r="93">
      <x:c r="A93" s="33" t="n">
        <x:v>4103</x:v>
      </x:c>
      <x:c r="B93" s="32" t="str">
        <x:v>CERAMIC_ZIRCONIA_YTZP</x:v>
      </x:c>
      <x:c r="C93" s="32" t="str">
        <x:v>Y-TZP zirconia</x:v>
      </x:c>
      <x:c r="D93" s="32" t="str">
        <x:v>Ceramic</x:v>
      </x:c>
      <x:c r="E93" s="32" t="str">
        <x:v>Oxide ceramic</x:v>
      </x:c>
      <x:c r="F93" s="32" t="str">
        <x:v>3Y-TZP</x:v>
      </x:c>
      <x:c r="G93" s="32" t="str">
        <x:v>Dense sintered</x:v>
      </x:c>
      <x:c r="H93" s="32" t="str">
        <x:v>Isotropic</x:v>
      </x:c>
      <x:c r="I93" s="34" t="n">
        <x:v>6050</x:v>
      </x:c>
      <x:c r="J93" s="35" t="n">
        <x:v>210</x:v>
      </x:c>
      <x:c r="K93" s="35" t="n">
        <x:v>0.31</x:v>
      </x:c>
      <x:c r="L93" s="40"/>
      <x:c r="M93" s="40"/>
      <x:c r="N93" s="39" t="n">
        <x:f>IF(L93&lt;&gt;"",L93,IF(H93&lt;&gt;"Isotropic","",IF(OR(J93="",K93=""),"",J93/(2*(1+K93)))))</x:f>
        <x:v>80.1526717557252</x:v>
      </x:c>
      <x:c r="O93" s="39" t="n">
        <x:f>IF(M93&lt;&gt;"",M93,IF(H93&lt;&gt;"Isotropic","",IF(OR(J93="",K93="",K93&gt;=0.5),"",J93/(3*(1-2*K93)))))</x:f>
        <x:v>184.21052631578945</x:v>
      </x:c>
      <x:c r="P93" s="35"/>
      <x:c r="Q93" s="35" t="n">
        <x:v>700</x:v>
      </x:c>
      <x:c r="R93" s="35" t="n">
        <x:v>2000</x:v>
      </x:c>
      <x:c r="S93" s="35" t="n">
        <x:v>1000</x:v>
      </x:c>
      <x:c r="T93" s="36" t="n">
        <x:v>0.003</x:v>
      </x:c>
      <x:c r="U93" s="35" t="n">
        <x:v>8</x:v>
      </x:c>
      <x:c r="V93" s="35" t="n">
        <x:v>2.5</x:v>
      </x:c>
      <x:c r="W93" s="35" t="n">
        <x:v>480</x:v>
      </x:c>
      <x:c r="X93" s="35" t="n">
        <x:v>10.5</x:v>
      </x:c>
      <x:c r="Y93" s="37" t="n">
        <x:v>1000000000</x:v>
      </x:c>
      <x:c r="Z93" s="38" t="n">
        <x:v>2700</x:v>
      </x:c>
      <x:c r="AA93" s="38" t="n">
        <x:v>1000</x:v>
      </x:c>
      <x:c r="AB93" s="38" t="n">
        <x:v>1200</x:v>
      </x:c>
      <x:c r="AC93" s="32" t="n">
        <x:v>6</x:v>
      </x:c>
      <x:c r="AD93" s="32" t="str">
        <x:v>Representative</x:v>
      </x:c>
      <x:c r="AE93" s="8" t="str">
        <x:v>Transformation-toughened zirconia; aging and temperature limits are grade-specific.</x:v>
      </x:c>
      <x:c r="AF93" s="8" t="str">
        <x:f>IFERROR(VLOOKUP(AC93,'Sources'!$A$2:$E$12,5,FALSE),"")</x:f>
        <x:v>https://srdata.nist.gov/CeramicDataPortal/scd</x:v>
      </x:c>
      <x:c r="AG93" s="32" t="b">
        <x:f>COUNTIF($A$2:$A$127,A93)&gt;1</x:f>
        <x:v>0</x:v>
      </x:c>
    </x:row>
    <x:row r="94">
      <x:c r="A94" s="33" t="n">
        <x:v>4104</x:v>
      </x:c>
      <x:c r="B94" s="32" t="str">
        <x:v>CERAMIC_SILICON_CARBIDE</x:v>
      </x:c>
      <x:c r="C94" s="32" t="str">
        <x:v>Silicon carbide, sintered</x:v>
      </x:c>
      <x:c r="D94" s="32" t="str">
        <x:v>Ceramic</x:v>
      </x:c>
      <x:c r="E94" s="32" t="str">
        <x:v>Non-oxide ceramic</x:v>
      </x:c>
      <x:c r="F94" s="32" t="str">
        <x:v>SiC</x:v>
      </x:c>
      <x:c r="G94" s="32" t="str">
        <x:v>Pressureless sintered</x:v>
      </x:c>
      <x:c r="H94" s="32" t="str">
        <x:v>Isotropic</x:v>
      </x:c>
      <x:c r="I94" s="34" t="n">
        <x:v>3150</x:v>
      </x:c>
      <x:c r="J94" s="35" t="n">
        <x:v>410</x:v>
      </x:c>
      <x:c r="K94" s="35" t="n">
        <x:v>0.17</x:v>
      </x:c>
      <x:c r="L94" s="40"/>
      <x:c r="M94" s="40"/>
      <x:c r="N94" s="39" t="n">
        <x:f>IF(L94&lt;&gt;"",L94,IF(H94&lt;&gt;"Isotropic","",IF(OR(J94="",K94=""),"",J94/(2*(1+K94)))))</x:f>
        <x:v>175.21367521367523</x:v>
      </x:c>
      <x:c r="O94" s="39" t="n">
        <x:f>IF(M94&lt;&gt;"",M94,IF(H94&lt;&gt;"Isotropic","",IF(OR(J94="",K94="",K94&gt;=0.5),"",J94/(3*(1-2*K94)))))</x:f>
        <x:v>207.0707070707071</x:v>
      </x:c>
      <x:c r="P94" s="35"/>
      <x:c r="Q94" s="35" t="n">
        <x:v>300</x:v>
      </x:c>
      <x:c r="R94" s="35" t="n">
        <x:v>3500</x:v>
      </x:c>
      <x:c r="S94" s="35" t="n">
        <x:v>450</x:v>
      </x:c>
      <x:c r="T94" s="36" t="n">
        <x:v>0.001</x:v>
      </x:c>
      <x:c r="U94" s="35" t="n">
        <x:v>4</x:v>
      </x:c>
      <x:c r="V94" s="35" t="n">
        <x:v>120</x:v>
      </x:c>
      <x:c r="W94" s="35" t="n">
        <x:v>750</x:v>
      </x:c>
      <x:c r="X94" s="35" t="n">
        <x:v>4.3</x:v>
      </x:c>
      <x:c r="Y94" s="37" t="n">
        <x:v>100000</x:v>
      </x:c>
      <x:c r="Z94" s="38" t="n">
        <x:v>2700</x:v>
      </x:c>
      <x:c r="AA94" s="38" t="n">
        <x:v>1600</x:v>
      </x:c>
      <x:c r="AB94" s="38" t="n">
        <x:v>2500</x:v>
      </x:c>
      <x:c r="AC94" s="32" t="n">
        <x:v>6</x:v>
      </x:c>
      <x:c r="AD94" s="32" t="str">
        <x:v>Representative</x:v>
      </x:c>
      <x:c r="AE94" s="8" t="str">
        <x:v>Thermal conductivity varies with grade and purity.</x:v>
      </x:c>
      <x:c r="AF94" s="8" t="str">
        <x:f>IFERROR(VLOOKUP(AC94,'Sources'!$A$2:$E$12,5,FALSE),"")</x:f>
        <x:v>https://srdata.nist.gov/CeramicDataPortal/scd</x:v>
      </x:c>
      <x:c r="AG94" s="32" t="b">
        <x:f>COUNTIF($A$2:$A$127,A94)&gt;1</x:f>
        <x:v>0</x:v>
      </x:c>
    </x:row>
    <x:row r="95">
      <x:c r="A95" s="33" t="n">
        <x:v>4105</x:v>
      </x:c>
      <x:c r="B95" s="32" t="str">
        <x:v>CERAMIC_SILICON_NITRIDE</x:v>
      </x:c>
      <x:c r="C95" s="32" t="str">
        <x:v>Silicon nitride, dense</x:v>
      </x:c>
      <x:c r="D95" s="32" t="str">
        <x:v>Ceramic</x:v>
      </x:c>
      <x:c r="E95" s="32" t="str">
        <x:v>Non-oxide ceramic</x:v>
      </x:c>
      <x:c r="F95" s="32" t="str">
        <x:v>Si3N4</x:v>
      </x:c>
      <x:c r="G95" s="32" t="str">
        <x:v>Dense sintered/HIP typical</x:v>
      </x:c>
      <x:c r="H95" s="32" t="str">
        <x:v>Isotropic</x:v>
      </x:c>
      <x:c r="I95" s="34" t="n">
        <x:v>3200</x:v>
      </x:c>
      <x:c r="J95" s="35" t="n">
        <x:v>300</x:v>
      </x:c>
      <x:c r="K95" s="35" t="n">
        <x:v>0.27</x:v>
      </x:c>
      <x:c r="L95" s="40"/>
      <x:c r="M95" s="40"/>
      <x:c r="N95" s="39" t="n">
        <x:f>IF(L95&lt;&gt;"",L95,IF(H95&lt;&gt;"Isotropic","",IF(OR(J95="",K95=""),"",J95/(2*(1+K95)))))</x:f>
        <x:v>118.11023622047244</x:v>
      </x:c>
      <x:c r="O95" s="39" t="n">
        <x:f>IF(M95&lt;&gt;"",M95,IF(H95&lt;&gt;"Isotropic","",IF(OR(J95="",K95="",K95&gt;=0.5),"",J95/(3*(1-2*K95)))))</x:f>
        <x:v>217.3913043478261</x:v>
      </x:c>
      <x:c r="P95" s="35"/>
      <x:c r="Q95" s="35" t="n">
        <x:v>500</x:v>
      </x:c>
      <x:c r="R95" s="35" t="n">
        <x:v>3000</x:v>
      </x:c>
      <x:c r="S95" s="35" t="n">
        <x:v>800</x:v>
      </x:c>
      <x:c r="T95" s="36" t="n">
        <x:v>0.002</x:v>
      </x:c>
      <x:c r="U95" s="35" t="n">
        <x:v>6.5</x:v>
      </x:c>
      <x:c r="V95" s="35" t="n">
        <x:v>25</x:v>
      </x:c>
      <x:c r="W95" s="35" t="n">
        <x:v>700</x:v>
      </x:c>
      <x:c r="X95" s="35" t="n">
        <x:v>3.2</x:v>
      </x:c>
      <x:c r="Y95" s="37" t="n">
        <x:v>1000000000000</x:v>
      </x:c>
      <x:c r="Z95" s="38" t="n">
        <x:v>1900</x:v>
      </x:c>
      <x:c r="AA95" s="38" t="n">
        <x:v>1200</x:v>
      </x:c>
      <x:c r="AB95" s="38" t="n">
        <x:v>1600</x:v>
      </x:c>
      <x:c r="AC95" s="32" t="n">
        <x:v>6</x:v>
      </x:c>
      <x:c r="AD95" s="32" t="str">
        <x:v>Representative</x:v>
      </x:c>
      <x:c r="AE95" s="8" t="str">
        <x:v>NIST records distinguish RBSN, SSN, HPSN and HIP grades.</x:v>
      </x:c>
      <x:c r="AF95" s="8" t="str">
        <x:f>IFERROR(VLOOKUP(AC95,'Sources'!$A$2:$E$12,5,FALSE),"")</x:f>
        <x:v>https://srdata.nist.gov/CeramicDataPortal/scd</x:v>
      </x:c>
      <x:c r="AG95" s="32" t="b">
        <x:f>COUNTIF($A$2:$A$127,A95)&gt;1</x:f>
        <x:v>0</x:v>
      </x:c>
    </x:row>
    <x:row r="96">
      <x:c r="A96" s="33" t="n">
        <x:v>4106</x:v>
      </x:c>
      <x:c r="B96" s="32" t="str">
        <x:v>CERAMIC_ALUMINUM_NITRIDE</x:v>
      </x:c>
      <x:c r="C96" s="32" t="str">
        <x:v>Aluminum nitride</x:v>
      </x:c>
      <x:c r="D96" s="32" t="str">
        <x:v>Ceramic</x:v>
      </x:c>
      <x:c r="E96" s="32" t="str">
        <x:v>Non-oxide ceramic</x:v>
      </x:c>
      <x:c r="F96" s="32" t="str">
        <x:v>AlN</x:v>
      </x:c>
      <x:c r="G96" s="32" t="str">
        <x:v>Dense sintered</x:v>
      </x:c>
      <x:c r="H96" s="32" t="str">
        <x:v>Isotropic</x:v>
      </x:c>
      <x:c r="I96" s="34" t="n">
        <x:v>3260</x:v>
      </x:c>
      <x:c r="J96" s="35" t="n">
        <x:v>310</x:v>
      </x:c>
      <x:c r="K96" s="35" t="n">
        <x:v>0.24</x:v>
      </x:c>
      <x:c r="L96" s="40"/>
      <x:c r="M96" s="40"/>
      <x:c r="N96" s="39" t="n">
        <x:f>IF(L96&lt;&gt;"",L96,IF(H96&lt;&gt;"Isotropic","",IF(OR(J96="",K96=""),"",J96/(2*(1+K96)))))</x:f>
        <x:v>125</x:v>
      </x:c>
      <x:c r="O96" s="39" t="n">
        <x:f>IF(M96&lt;&gt;"",M96,IF(H96&lt;&gt;"Isotropic","",IF(OR(J96="",K96="",K96&gt;=0.5),"",J96/(3*(1-2*K96)))))</x:f>
        <x:v>198.7179487179487</x:v>
      </x:c>
      <x:c r="P96" s="35"/>
      <x:c r="Q96" s="35" t="n">
        <x:v>300</x:v>
      </x:c>
      <x:c r="R96" s="35" t="n">
        <x:v>2100</x:v>
      </x:c>
      <x:c r="S96" s="35" t="n">
        <x:v>350</x:v>
      </x:c>
      <x:c r="T96" s="36" t="n">
        <x:v>0.001</x:v>
      </x:c>
      <x:c r="U96" s="35" t="n">
        <x:v>3</x:v>
      </x:c>
      <x:c r="V96" s="35" t="n">
        <x:v>170</x:v>
      </x:c>
      <x:c r="W96" s="35" t="n">
        <x:v>740</x:v>
      </x:c>
      <x:c r="X96" s="35" t="n">
        <x:v>4.5</x:v>
      </x:c>
      <x:c r="Y96" s="37" t="n">
        <x:v>1000000000000</x:v>
      </x:c>
      <x:c r="Z96" s="38" t="n">
        <x:v>2200</x:v>
      </x:c>
      <x:c r="AA96" s="38" t="n">
        <x:v>1000</x:v>
      </x:c>
      <x:c r="AB96" s="38" t="n">
        <x:v>1100</x:v>
      </x:c>
      <x:c r="AC96" s="32" t="n">
        <x:v>6</x:v>
      </x:c>
      <x:c r="AD96" s="32" t="str">
        <x:v>Representative</x:v>
      </x:c>
      <x:c r="AE96" s="8" t="str">
        <x:v>Conductivity depends strongly on purity and additives.</x:v>
      </x:c>
      <x:c r="AF96" s="8" t="str">
        <x:f>IFERROR(VLOOKUP(AC96,'Sources'!$A$2:$E$12,5,FALSE),"")</x:f>
        <x:v>https://srdata.nist.gov/CeramicDataPortal/scd</x:v>
      </x:c>
      <x:c r="AG96" s="32" t="b">
        <x:f>COUNTIF($A$2:$A$127,A96)&gt;1</x:f>
        <x:v>0</x:v>
      </x:c>
    </x:row>
    <x:row r="97">
      <x:c r="A97" s="33" t="n">
        <x:v>4107</x:v>
      </x:c>
      <x:c r="B97" s="32" t="str">
        <x:v>CERAMIC_BORON_CARBIDE</x:v>
      </x:c>
      <x:c r="C97" s="32" t="str">
        <x:v>Boron carbide</x:v>
      </x:c>
      <x:c r="D97" s="32" t="str">
        <x:v>Ceramic</x:v>
      </x:c>
      <x:c r="E97" s="32" t="str">
        <x:v>Non-oxide ceramic</x:v>
      </x:c>
      <x:c r="F97" s="32" t="str">
        <x:v>B4C</x:v>
      </x:c>
      <x:c r="G97" s="32" t="str">
        <x:v>Hot pressed</x:v>
      </x:c>
      <x:c r="H97" s="32" t="str">
        <x:v>Isotropic</x:v>
      </x:c>
      <x:c r="I97" s="34" t="n">
        <x:v>2520</x:v>
      </x:c>
      <x:c r="J97" s="35" t="n">
        <x:v>450</x:v>
      </x:c>
      <x:c r="K97" s="35" t="n">
        <x:v>0.17</x:v>
      </x:c>
      <x:c r="L97" s="40"/>
      <x:c r="M97" s="40"/>
      <x:c r="N97" s="39" t="n">
        <x:f>IF(L97&lt;&gt;"",L97,IF(H97&lt;&gt;"Isotropic","",IF(OR(J97="",K97=""),"",J97/(2*(1+K97)))))</x:f>
        <x:v>192.30769230769232</x:v>
      </x:c>
      <x:c r="O97" s="39" t="n">
        <x:f>IF(M97&lt;&gt;"",M97,IF(H97&lt;&gt;"Isotropic","",IF(OR(J97="",K97="",K97&gt;=0.5),"",J97/(3*(1-2*K97)))))</x:f>
        <x:v>227.2727272727273</x:v>
      </x:c>
      <x:c r="P97" s="35"/>
      <x:c r="Q97" s="35" t="n">
        <x:v>300</x:v>
      </x:c>
      <x:c r="R97" s="35" t="n">
        <x:v>3500</x:v>
      </x:c>
      <x:c r="S97" s="35" t="n">
        <x:v>500</x:v>
      </x:c>
      <x:c r="T97" s="36" t="n">
        <x:v>0.001</x:v>
      </x:c>
      <x:c r="U97" s="35" t="n">
        <x:v>3</x:v>
      </x:c>
      <x:c r="V97" s="35" t="n">
        <x:v>30</x:v>
      </x:c>
      <x:c r="W97" s="35" t="n">
        <x:v>950</x:v>
      </x:c>
      <x:c r="X97" s="35" t="n">
        <x:v>4.5</x:v>
      </x:c>
      <x:c r="Y97" s="37" t="n">
        <x:v>10000</x:v>
      </x:c>
      <x:c r="Z97" s="38" t="n">
        <x:v>2450</x:v>
      </x:c>
      <x:c r="AA97" s="38" t="n">
        <x:v>1800</x:v>
      </x:c>
      <x:c r="AB97" s="38" t="n">
        <x:v>3000</x:v>
      </x:c>
      <x:c r="AC97" s="32" t="n">
        <x:v>6</x:v>
      </x:c>
      <x:c r="AD97" s="32" t="str">
        <x:v>Approximate</x:v>
      </x:c>
      <x:c r="AE97" s="8" t="str">
        <x:v>Very hard brittle ceramic; grade and porosity affect values.</x:v>
      </x:c>
      <x:c r="AF97" s="8" t="str">
        <x:f>IFERROR(VLOOKUP(AC97,'Sources'!$A$2:$E$12,5,FALSE),"")</x:f>
        <x:v>https://srdata.nist.gov/CeramicDataPortal/scd</x:v>
      </x:c>
      <x:c r="AG97" s="32" t="b">
        <x:f>COUNTIF($A$2:$A$127,A97)&gt;1</x:f>
        <x:v>0</x:v>
      </x:c>
    </x:row>
    <x:row r="98">
      <x:c r="A98" s="33" t="n">
        <x:v>4108</x:v>
      </x:c>
      <x:c r="B98" s="32" t="str">
        <x:v>CERAMIC_MULLITE</x:v>
      </x:c>
      <x:c r="C98" s="32" t="str">
        <x:v>Mullite ceramic</x:v>
      </x:c>
      <x:c r="D98" s="32" t="str">
        <x:v>Ceramic</x:v>
      </x:c>
      <x:c r="E98" s="32" t="str">
        <x:v>Oxide ceramic</x:v>
      </x:c>
      <x:c r="F98" s="32" t="str">
        <x:v>3Al2O3-2SiO2</x:v>
      </x:c>
      <x:c r="G98" s="32" t="str">
        <x:v>Dense fired</x:v>
      </x:c>
      <x:c r="H98" s="32" t="str">
        <x:v>Isotropic</x:v>
      </x:c>
      <x:c r="I98" s="34" t="n">
        <x:v>2800</x:v>
      </x:c>
      <x:c r="J98" s="35" t="n">
        <x:v>145</x:v>
      </x:c>
      <x:c r="K98" s="35" t="n">
        <x:v>0.25</x:v>
      </x:c>
      <x:c r="L98" s="40"/>
      <x:c r="M98" s="40"/>
      <x:c r="N98" s="39" t="n">
        <x:f>IF(L98&lt;&gt;"",L98,IF(H98&lt;&gt;"Isotropic","",IF(OR(J98="",K98=""),"",J98/(2*(1+K98)))))</x:f>
        <x:v>58</x:v>
      </x:c>
      <x:c r="O98" s="39" t="n">
        <x:f>IF(M98&lt;&gt;"",M98,IF(H98&lt;&gt;"Isotropic","",IF(OR(J98="",K98="",K98&gt;=0.5),"",J98/(3*(1-2*K98)))))</x:f>
        <x:v>96.66666666666667</x:v>
      </x:c>
      <x:c r="P98" s="35"/>
      <x:c r="Q98" s="35" t="n">
        <x:v>100</x:v>
      </x:c>
      <x:c r="R98" s="35" t="n">
        <x:v>550</x:v>
      </x:c>
      <x:c r="S98" s="35" t="n">
        <x:v>170</x:v>
      </x:c>
      <x:c r="T98" s="36" t="n">
        <x:v>0.001</x:v>
      </x:c>
      <x:c r="U98" s="35" t="n">
        <x:v>2</x:v>
      </x:c>
      <x:c r="V98" s="35" t="n">
        <x:v>5</x:v>
      </x:c>
      <x:c r="W98" s="35" t="n">
        <x:v>800</x:v>
      </x:c>
      <x:c r="X98" s="35" t="n">
        <x:v>5.3</x:v>
      </x:c>
      <x:c r="Y98" s="37" t="n">
        <x:v>10000000000</x:v>
      </x:c>
      <x:c r="Z98" s="38" t="n">
        <x:v>1850</x:v>
      </x:c>
      <x:c r="AA98" s="38" t="n">
        <x:v>1400</x:v>
      </x:c>
      <x:c r="AB98" s="38" t="n">
        <x:v>1000</x:v>
      </x:c>
      <x:c r="AC98" s="32" t="n">
        <x:v>6</x:v>
      </x:c>
      <x:c r="AD98" s="32" t="str">
        <x:v>Approximate</x:v>
      </x:c>
      <x:c r="AE98" s="8" t="str">
        <x:v>Porosity strongly affects mechanical and thermal values.</x:v>
      </x:c>
      <x:c r="AF98" s="8" t="str">
        <x:f>IFERROR(VLOOKUP(AC98,'Sources'!$A$2:$E$12,5,FALSE),"")</x:f>
        <x:v>https://srdata.nist.gov/CeramicDataPortal/scd</x:v>
      </x:c>
      <x:c r="AG98" s="32" t="b">
        <x:f>COUNTIF($A$2:$A$127,A98)&gt;1</x:f>
        <x:v>0</x:v>
      </x:c>
    </x:row>
    <x:row r="99">
      <x:c r="A99" s="33" t="n">
        <x:v>4109</x:v>
      </x:c>
      <x:c r="B99" s="32" t="str">
        <x:v>CERAMIC_PORCELAIN_ELECTRICAL</x:v>
      </x:c>
      <x:c r="C99" s="32" t="str">
        <x:v>Electrical porcelain</x:v>
      </x:c>
      <x:c r="D99" s="32" t="str">
        <x:v>Ceramic</x:v>
      </x:c>
      <x:c r="E99" s="32" t="str">
        <x:v>Silicate ceramic</x:v>
      </x:c>
      <x:c r="F99" s="32" t="str">
        <x:v>Electrical porcelain</x:v>
      </x:c>
      <x:c r="G99" s="32" t="str">
        <x:v>Fired, glazed typical</x:v>
      </x:c>
      <x:c r="H99" s="32" t="str">
        <x:v>Isotropic</x:v>
      </x:c>
      <x:c r="I99" s="34" t="n">
        <x:v>2400</x:v>
      </x:c>
      <x:c r="J99" s="35" t="n">
        <x:v>70</x:v>
      </x:c>
      <x:c r="K99" s="35" t="n">
        <x:v>0.22</x:v>
      </x:c>
      <x:c r="L99" s="40"/>
      <x:c r="M99" s="40"/>
      <x:c r="N99" s="39" t="n">
        <x:f>IF(L99&lt;&gt;"",L99,IF(H99&lt;&gt;"Isotropic","",IF(OR(J99="",K99=""),"",J99/(2*(1+K99)))))</x:f>
        <x:v>28.688524590163937</x:v>
      </x:c>
      <x:c r="O99" s="39" t="n">
        <x:f>IF(M99&lt;&gt;"",M99,IF(H99&lt;&gt;"Isotropic","",IF(OR(J99="",K99="",K99&gt;=0.5),"",J99/(3*(1-2*K99)))))</x:f>
        <x:v>41.666666666666664</x:v>
      </x:c>
      <x:c r="P99" s="35"/>
      <x:c r="Q99" s="35" t="n">
        <x:v>50</x:v>
      </x:c>
      <x:c r="R99" s="35" t="n">
        <x:v>500</x:v>
      </x:c>
      <x:c r="S99" s="35" t="n">
        <x:v>90</x:v>
      </x:c>
      <x:c r="T99" s="36" t="n">
        <x:v>0.001</x:v>
      </x:c>
      <x:c r="U99" s="35" t="n">
        <x:v>1.5</x:v>
      </x:c>
      <x:c r="V99" s="35" t="n">
        <x:v>2</x:v>
      </x:c>
      <x:c r="W99" s="35" t="n">
        <x:v>800</x:v>
      </x:c>
      <x:c r="X99" s="35" t="n">
        <x:v>6</x:v>
      </x:c>
      <x:c r="Y99" s="37" t="n">
        <x:v>1000000000000</x:v>
      </x:c>
      <x:c r="Z99" s="38" t="n">
        <x:v>1250</x:v>
      </x:c>
      <x:c r="AA99" s="38" t="n">
        <x:v>800</x:v>
      </x:c>
      <x:c r="AB99" s="38" t="n">
        <x:v>600</x:v>
      </x:c>
      <x:c r="AC99" s="32" t="n">
        <x:v>6</x:v>
      </x:c>
      <x:c r="AD99" s="32" t="str">
        <x:v>Approximate</x:v>
      </x:c>
      <x:c r="AE99" s="8" t="str">
        <x:v>Body formulation and porosity vary by product.</x:v>
      </x:c>
      <x:c r="AF99" s="8" t="str">
        <x:f>IFERROR(VLOOKUP(AC99,'Sources'!$A$2:$E$12,5,FALSE),"")</x:f>
        <x:v>https://srdata.nist.gov/CeramicDataPortal/scd</x:v>
      </x:c>
      <x:c r="AG99" s="32" t="b">
        <x:f>COUNTIF($A$2:$A$127,A99)&gt;1</x:f>
        <x:v>0</x:v>
      </x:c>
    </x:row>
    <x:row r="100">
      <x:c r="A100" s="33" t="n">
        <x:v>4110</x:v>
      </x:c>
      <x:c r="B100" s="32" t="str">
        <x:v>CARBON_GRAPHITE_ISOTROPIC</x:v>
      </x:c>
      <x:c r="C100" s="32" t="str">
        <x:v>Isotropic fine-grain graphite</x:v>
      </x:c>
      <x:c r="D100" s="32" t="str">
        <x:v>Ceramic</x:v>
      </x:c>
      <x:c r="E100" s="32" t="str">
        <x:v>Carbon material</x:v>
      </x:c>
      <x:c r="F100" s="32" t="str">
        <x:v>Synthetic graphite</x:v>
      </x:c>
      <x:c r="G100" s="32" t="str">
        <x:v>Fine-grain isotropic</x:v>
      </x:c>
      <x:c r="H100" s="32" t="str">
        <x:v>Isotropic</x:v>
      </x:c>
      <x:c r="I100" s="34" t="n">
        <x:v>1800</x:v>
      </x:c>
      <x:c r="J100" s="35" t="n">
        <x:v>10</x:v>
      </x:c>
      <x:c r="K100" s="35" t="n">
        <x:v>0.2</x:v>
      </x:c>
      <x:c r="L100" s="40"/>
      <x:c r="M100" s="40"/>
      <x:c r="N100" s="39" t="n">
        <x:f>IF(L100&lt;&gt;"",L100,IF(H100&lt;&gt;"Isotropic","",IF(OR(J100="",K100=""),"",J100/(2*(1+K100)))))</x:f>
        <x:v>4.166666666666667</x:v>
      </x:c>
      <x:c r="O100" s="39" t="n">
        <x:f>IF(M100&lt;&gt;"",M100,IF(H100&lt;&gt;"Isotropic","",IF(OR(J100="",K100="",K100&gt;=0.5),"",J100/(3*(1-2*K100)))))</x:f>
        <x:v>5.555555555555556</x:v>
      </x:c>
      <x:c r="P100" s="35"/>
      <x:c r="Q100" s="35" t="n">
        <x:v>30</x:v>
      </x:c>
      <x:c r="R100" s="35" t="n">
        <x:v>100</x:v>
      </x:c>
      <x:c r="S100" s="35" t="n">
        <x:v>50</x:v>
      </x:c>
      <x:c r="T100" s="36" t="n">
        <x:v>0.003</x:v>
      </x:c>
      <x:c r="U100" s="35" t="n">
        <x:v>1</x:v>
      </x:c>
      <x:c r="V100" s="35" t="n">
        <x:v>120</x:v>
      </x:c>
      <x:c r="W100" s="35" t="n">
        <x:v>710</x:v>
      </x:c>
      <x:c r="X100" s="35" t="n">
        <x:v>4</x:v>
      </x:c>
      <x:c r="Y100" s="37" t="n">
        <x:v>0.000013</x:v>
      </x:c>
      <x:c r="Z100" s="38" t="n">
        <x:v>3650</x:v>
      </x:c>
      <x:c r="AA100" s="38" t="n">
        <x:v>2000</x:v>
      </x:c>
      <x:c r="AB100" s="38" t="n">
        <x:v>25</x:v>
      </x:c>
      <x:c r="AC100" s="32" t="n">
        <x:v>11</x:v>
      </x:c>
      <x:c r="AD100" s="32" t="str">
        <x:v>Approximate</x:v>
      </x:c>
      <x:c r="AE100" s="8" t="str">
        <x:v>Sublimes rather than melts at atmospheric pressure; oxidation limits service in air.</x:v>
      </x:c>
      <x:c r="AF100" s="8" t="str">
        <x:f>IFERROR(VLOOKUP(AC100,'Sources'!$A$2:$E$12,5,FALSE),"")</x:f>
        <x:v>https://tpsx.arc.nasa.gov/</x:v>
      </x:c>
      <x:c r="AG100" s="32" t="b">
        <x:f>COUNTIF($A$2:$A$127,A100)&gt;1</x:f>
        <x:v>0</x:v>
      </x:c>
    </x:row>
    <x:row r="101">
      <x:c r="A101" s="33" t="n">
        <x:v>4111</x:v>
      </x:c>
      <x:c r="B101" s="32" t="str">
        <x:v>CERMET_TUNGSTEN_CARBIDE_6CO</x:v>
      </x:c>
      <x:c r="C101" s="32" t="str">
        <x:v>Tungsten carbide with 6% cobalt</x:v>
      </x:c>
      <x:c r="D101" s="32" t="str">
        <x:v>Ceramic</x:v>
      </x:c>
      <x:c r="E101" s="32" t="str">
        <x:v>Cermet</x:v>
      </x:c>
      <x:c r="F101" s="32" t="str">
        <x:v>WC-6Co</x:v>
      </x:c>
      <x:c r="G101" s="32" t="str">
        <x:v>Sintered</x:v>
      </x:c>
      <x:c r="H101" s="32" t="str">
        <x:v>Isotropic</x:v>
      </x:c>
      <x:c r="I101" s="34" t="n">
        <x:v>14900</x:v>
      </x:c>
      <x:c r="J101" s="35" t="n">
        <x:v>600</x:v>
      </x:c>
      <x:c r="K101" s="35" t="n">
        <x:v>0.22</x:v>
      </x:c>
      <x:c r="L101" s="40"/>
      <x:c r="M101" s="40"/>
      <x:c r="N101" s="39" t="n">
        <x:f>IF(L101&lt;&gt;"",L101,IF(H101&lt;&gt;"Isotropic","",IF(OR(J101="",K101=""),"",J101/(2*(1+K101)))))</x:f>
        <x:v>245.9016393442623</x:v>
      </x:c>
      <x:c r="O101" s="39" t="n">
        <x:f>IF(M101&lt;&gt;"",M101,IF(H101&lt;&gt;"Isotropic","",IF(OR(J101="",K101="",K101&gt;=0.5),"",J101/(3*(1-2*K101)))))</x:f>
        <x:v>357.1428571428571</x:v>
      </x:c>
      <x:c r="P101" s="35"/>
      <x:c r="Q101" s="35" t="n">
        <x:v>800</x:v>
      </x:c>
      <x:c r="R101" s="35" t="n">
        <x:v>5000</x:v>
      </x:c>
      <x:c r="S101" s="35" t="n">
        <x:v>2000</x:v>
      </x:c>
      <x:c r="T101" s="36" t="n">
        <x:v>0.003</x:v>
      </x:c>
      <x:c r="U101" s="35" t="n">
        <x:v>10</x:v>
      </x:c>
      <x:c r="V101" s="35" t="n">
        <x:v>84</x:v>
      </x:c>
      <x:c r="W101" s="35" t="n">
        <x:v>200</x:v>
      </x:c>
      <x:c r="X101" s="35" t="n">
        <x:v>5</x:v>
      </x:c>
      <x:c r="Y101" s="37" t="n">
        <x:v>2e-7</x:v>
      </x:c>
      <x:c r="Z101" s="38" t="n">
        <x:v>2870</x:v>
      </x:c>
      <x:c r="AA101" s="38" t="n">
        <x:v>800</x:v>
      </x:c>
      <x:c r="AB101" s="38" t="n">
        <x:v>1600</x:v>
      </x:c>
      <x:c r="AC101" s="32" t="n">
        <x:v>6</x:v>
      </x:c>
      <x:c r="AD101" s="32" t="str">
        <x:v>Approximate</x:v>
      </x:c>
      <x:c r="AE101" s="8" t="str">
        <x:v>Cobalt fraction and carbide grain size govern toughness and hardness.</x:v>
      </x:c>
      <x:c r="AF101" s="8" t="str">
        <x:f>IFERROR(VLOOKUP(AC101,'Sources'!$A$2:$E$12,5,FALSE),"")</x:f>
        <x:v>https://srdata.nist.gov/CeramicDataPortal/scd</x:v>
      </x:c>
      <x:c r="AG101" s="32" t="b">
        <x:f>COUNTIF($A$2:$A$127,A101)&gt;1</x:f>
        <x:v>0</x:v>
      </x:c>
    </x:row>
    <x:row r="102">
      <x:c r="A102" s="33" t="n">
        <x:v>4112</x:v>
      </x:c>
      <x:c r="B102" s="32" t="str">
        <x:v>CERAMIC_STEATITE</x:v>
      </x:c>
      <x:c r="C102" s="32" t="str">
        <x:v>Steatite ceramic</x:v>
      </x:c>
      <x:c r="D102" s="32" t="str">
        <x:v>Ceramic</x:v>
      </x:c>
      <x:c r="E102" s="32" t="str">
        <x:v>Silicate ceramic</x:v>
      </x:c>
      <x:c r="F102" s="32" t="str">
        <x:v>Magnesium silicate</x:v>
      </x:c>
      <x:c r="G102" s="32" t="str">
        <x:v>Fired technical ceramic</x:v>
      </x:c>
      <x:c r="H102" s="32" t="str">
        <x:v>Isotropic</x:v>
      </x:c>
      <x:c r="I102" s="34" t="n">
        <x:v>2700</x:v>
      </x:c>
      <x:c r="J102" s="35" t="n">
        <x:v>105</x:v>
      </x:c>
      <x:c r="K102" s="35" t="n">
        <x:v>0.22</x:v>
      </x:c>
      <x:c r="L102" s="40"/>
      <x:c r="M102" s="40"/>
      <x:c r="N102" s="39" t="n">
        <x:f>IF(L102&lt;&gt;"",L102,IF(H102&lt;&gt;"Isotropic","",IF(OR(J102="",K102=""),"",J102/(2*(1+K102)))))</x:f>
        <x:v>43.032786885245905</x:v>
      </x:c>
      <x:c r="O102" s="39" t="n">
        <x:f>IF(M102&lt;&gt;"",M102,IF(H102&lt;&gt;"Isotropic","",IF(OR(J102="",K102="",K102&gt;=0.5),"",J102/(3*(1-2*K102)))))</x:f>
        <x:v>62.49999999999999</x:v>
      </x:c>
      <x:c r="P102" s="35"/>
      <x:c r="Q102" s="35" t="n">
        <x:v>120</x:v>
      </x:c>
      <x:c r="R102" s="35" t="n">
        <x:v>900</x:v>
      </x:c>
      <x:c r="S102" s="35" t="n">
        <x:v>180</x:v>
      </x:c>
      <x:c r="T102" s="36" t="n">
        <x:v>0.001</x:v>
      </x:c>
      <x:c r="U102" s="35" t="n">
        <x:v>2</x:v>
      </x:c>
      <x:c r="V102" s="35" t="n">
        <x:v>3</x:v>
      </x:c>
      <x:c r="W102" s="35" t="n">
        <x:v>850</x:v>
      </x:c>
      <x:c r="X102" s="35" t="n">
        <x:v>7.5</x:v>
      </x:c>
      <x:c r="Y102" s="37" t="n">
        <x:v>1000000000000</x:v>
      </x:c>
      <x:c r="Z102" s="38" t="n">
        <x:v>1400</x:v>
      </x:c>
      <x:c r="AA102" s="38" t="n">
        <x:v>1000</x:v>
      </x:c>
      <x:c r="AB102" s="38" t="n">
        <x:v>800</x:v>
      </x:c>
      <x:c r="AC102" s="32" t="n">
        <x:v>6</x:v>
      </x:c>
      <x:c r="AD102" s="32" t="str">
        <x:v>Approximate</x:v>
      </x:c>
      <x:c r="AE102" s="8" t="str">
        <x:v>Electrical ceramic screening values.</x:v>
      </x:c>
      <x:c r="AF102" s="8" t="str">
        <x:f>IFERROR(VLOOKUP(AC102,'Sources'!$A$2:$E$12,5,FALSE),"")</x:f>
        <x:v>https://srdata.nist.gov/CeramicDataPortal/scd</x:v>
      </x:c>
      <x:c r="AG102" s="32" t="b">
        <x:f>COUNTIF($A$2:$A$127,A102)&gt;1</x:f>
        <x:v>0</x:v>
      </x:c>
    </x:row>
    <x:row r="103">
      <x:c r="A103" s="33" t="n">
        <x:v>4113</x:v>
      </x:c>
      <x:c r="B103" s="32" t="str">
        <x:v>CERAMIC_CORDIERITE</x:v>
      </x:c>
      <x:c r="C103" s="32" t="str">
        <x:v>Cordierite ceramic</x:v>
      </x:c>
      <x:c r="D103" s="32" t="str">
        <x:v>Ceramic</x:v>
      </x:c>
      <x:c r="E103" s="32" t="str">
        <x:v>Silicate ceramic</x:v>
      </x:c>
      <x:c r="F103" s="32" t="str">
        <x:v>Cordierite</x:v>
      </x:c>
      <x:c r="G103" s="32" t="str">
        <x:v>Fired technical ceramic</x:v>
      </x:c>
      <x:c r="H103" s="32" t="str">
        <x:v>Isotropic</x:v>
      </x:c>
      <x:c r="I103" s="34" t="n">
        <x:v>2300</x:v>
      </x:c>
      <x:c r="J103" s="35" t="n">
        <x:v>120</x:v>
      </x:c>
      <x:c r="K103" s="35" t="n">
        <x:v>0.25</x:v>
      </x:c>
      <x:c r="L103" s="40"/>
      <x:c r="M103" s="40"/>
      <x:c r="N103" s="39" t="n">
        <x:f>IF(L103&lt;&gt;"",L103,IF(H103&lt;&gt;"Isotropic","",IF(OR(J103="",K103=""),"",J103/(2*(1+K103)))))</x:f>
        <x:v>48</x:v>
      </x:c>
      <x:c r="O103" s="39" t="n">
        <x:f>IF(M103&lt;&gt;"",M103,IF(H103&lt;&gt;"Isotropic","",IF(OR(J103="",K103="",K103&gt;=0.5),"",J103/(3*(1-2*K103)))))</x:f>
        <x:v>80</x:v>
      </x:c>
      <x:c r="P103" s="35"/>
      <x:c r="Q103" s="35" t="n">
        <x:v>80</x:v>
      </x:c>
      <x:c r="R103" s="35" t="n">
        <x:v>500</x:v>
      </x:c>
      <x:c r="S103" s="35" t="n">
        <x:v>120</x:v>
      </x:c>
      <x:c r="T103" s="36" t="n">
        <x:v>0.001</x:v>
      </x:c>
      <x:c r="U103" s="35" t="n">
        <x:v>2</x:v>
      </x:c>
      <x:c r="V103" s="35" t="n">
        <x:v>3</x:v>
      </x:c>
      <x:c r="W103" s="35" t="n">
        <x:v>800</x:v>
      </x:c>
      <x:c r="X103" s="35" t="n">
        <x:v>2</x:v>
      </x:c>
      <x:c r="Y103" s="37" t="n">
        <x:v>10000000000</x:v>
      </x:c>
      <x:c r="Z103" s="38" t="n">
        <x:v>1470</x:v>
      </x:c>
      <x:c r="AA103" s="38" t="n">
        <x:v>1200</x:v>
      </x:c>
      <x:c r="AB103" s="38" t="n">
        <x:v>700</x:v>
      </x:c>
      <x:c r="AC103" s="32" t="n">
        <x:v>6</x:v>
      </x:c>
      <x:c r="AD103" s="32" t="str">
        <x:v>Approximate</x:v>
      </x:c>
      <x:c r="AE103" s="8" t="str">
        <x:v>Low thermal expansion; porosity and formulation vary.</x:v>
      </x:c>
      <x:c r="AF103" s="8" t="str">
        <x:f>IFERROR(VLOOKUP(AC103,'Sources'!$A$2:$E$12,5,FALSE),"")</x:f>
        <x:v>https://srdata.nist.gov/CeramicDataPortal/scd</x:v>
      </x:c>
      <x:c r="AG103" s="32" t="b">
        <x:f>COUNTIF($A$2:$A$127,A103)&gt;1</x:f>
        <x:v>0</x:v>
      </x:c>
    </x:row>
    <x:row r="104">
      <x:c r="A104" s="33" t="n">
        <x:v>5001</x:v>
      </x:c>
      <x:c r="B104" s="32" t="str">
        <x:v>COMPOSITE_CFRP_UD</x:v>
      </x:c>
      <x:c r="C104" s="32" t="str">
        <x:v>Carbon/epoxy unidirectional laminate</x:v>
      </x:c>
      <x:c r="D104" s="32" t="str">
        <x:v>Composite</x:v>
      </x:c>
      <x:c r="E104" s="32" t="str">
        <x:v>Fiber-reinforced polymer</x:v>
      </x:c>
      <x:c r="F104" s="32" t="str">
        <x:v>CFRP UD</x:v>
      </x:c>
      <x:c r="G104" s="32" t="str">
        <x:v>0-degree principal direction</x:v>
      </x:c>
      <x:c r="H104" s="32" t="str">
        <x:v>Orthotropic</x:v>
      </x:c>
      <x:c r="I104" s="34" t="n">
        <x:v>1600</x:v>
      </x:c>
      <x:c r="J104" s="35" t="n">
        <x:v>135</x:v>
      </x:c>
      <x:c r="K104" s="35" t="n">
        <x:v>0.3</x:v>
      </x:c>
      <x:c r="L104" s="40" t="n">
        <x:v>5</x:v>
      </x:c>
      <x:c r="M104" s="40"/>
      <x:c r="N104" s="39" t="n">
        <x:f>IF(L104&lt;&gt;"",L104,IF(H104&lt;&gt;"Isotropic","",IF(OR(J104="",K104=""),"",J104/(2*(1+K104)))))</x:f>
        <x:v>5</x:v>
      </x:c>
      <x:c r="O104" s="39" t="str">
        <x:f>IF(M104&lt;&gt;"",M104,IF(H104&lt;&gt;"Isotropic","",IF(OR(J104="",K104="",K104&gt;=0.5),"",J104/(3*(1-2*K104)))))</x:f>
      </x:c>
      <x:c r="P104" s="35"/>
      <x:c r="Q104" s="35" t="n">
        <x:v>1500</x:v>
      </x:c>
      <x:c r="R104" s="35" t="n">
        <x:v>1000</x:v>
      </x:c>
      <x:c r="S104" s="35" t="n">
        <x:v>1200</x:v>
      </x:c>
      <x:c r="T104" s="36" t="n">
        <x:v>0.012</x:v>
      </x:c>
      <x:c r="U104" s="35"/>
      <x:c r="V104" s="35" t="n">
        <x:v>6</x:v>
      </x:c>
      <x:c r="W104" s="35" t="n">
        <x:v>900</x:v>
      </x:c>
      <x:c r="X104" s="35" t="n">
        <x:v>-0.1</x:v>
      </x:c>
      <x:c r="Y104" s="37" t="n">
        <x:v>0.00001</x:v>
      </x:c>
      <x:c r="Z104" s="38" t="n">
        <x:v>120</x:v>
      </x:c>
      <x:c r="AA104" s="38" t="n">
        <x:v>120</x:v>
      </x:c>
      <x:c r="AB104" s="38"/>
      <x:c r="AC104" s="32" t="n">
        <x:v>9</x:v>
      </x:c>
      <x:c r="AD104" s="32" t="str">
        <x:v>Approximate</x:v>
      </x:c>
      <x:c r="AE104" s="8" t="str">
        <x:v>Longitudinal lamina screening values; transverse and shear allowables require a specific prepreg system.</x:v>
      </x:c>
      <x:c r="AF104" s="8" t="str">
        <x:f>IFERROR(VLOOKUP(AC104,'Sources'!$A$2:$E$12,5,FALSE),"")</x:f>
        <x:v>https://www.hexcel.com/Resources/DataSheets/</x:v>
      </x:c>
      <x:c r="AG104" s="32" t="b">
        <x:f>COUNTIF($A$2:$A$127,A104)&gt;1</x:f>
        <x:v>0</x:v>
      </x:c>
    </x:row>
    <x:row r="105">
      <x:c r="A105" s="33" t="n">
        <x:v>5002</x:v>
      </x:c>
      <x:c r="B105" s="32" t="str">
        <x:v>COMPOSITE_CFRP_QUASI_ISO</x:v>
      </x:c>
      <x:c r="C105" s="32" t="str">
        <x:v>Carbon/epoxy quasi-isotropic laminate</x:v>
      </x:c>
      <x:c r="D105" s="32" t="str">
        <x:v>Composite</x:v>
      </x:c>
      <x:c r="E105" s="32" t="str">
        <x:v>Fiber-reinforced polymer</x:v>
      </x:c>
      <x:c r="F105" s="32" t="str">
        <x:v>CFRP quasi-isotropic</x:v>
      </x:c>
      <x:c r="G105" s="32" t="str">
        <x:v>Balanced symmetric laminate typical</x:v>
      </x:c>
      <x:c r="H105" s="32" t="str">
        <x:v>Orthotropic</x:v>
      </x:c>
      <x:c r="I105" s="34" t="n">
        <x:v>1550</x:v>
      </x:c>
      <x:c r="J105" s="35" t="n">
        <x:v>55</x:v>
      </x:c>
      <x:c r="K105" s="35" t="n">
        <x:v>0.3</x:v>
      </x:c>
      <x:c r="L105" s="40" t="n">
        <x:v>21</x:v>
      </x:c>
      <x:c r="M105" s="40"/>
      <x:c r="N105" s="39" t="n">
        <x:f>IF(L105&lt;&gt;"",L105,IF(H105&lt;&gt;"Isotropic","",IF(OR(J105="",K105=""),"",J105/(2*(1+K105)))))</x:f>
        <x:v>21</x:v>
      </x:c>
      <x:c r="O105" s="39" t="str">
        <x:f>IF(M105&lt;&gt;"",M105,IF(H105&lt;&gt;"Isotropic","",IF(OR(J105="",K105="",K105&gt;=0.5),"",J105/(3*(1-2*K105)))))</x:f>
      </x:c>
      <x:c r="P105" s="35"/>
      <x:c r="Q105" s="35" t="n">
        <x:v>600</x:v>
      </x:c>
      <x:c r="R105" s="35" t="n">
        <x:v>500</x:v>
      </x:c>
      <x:c r="S105" s="35" t="n">
        <x:v>700</x:v>
      </x:c>
      <x:c r="T105" s="36" t="n">
        <x:v>0.01</x:v>
      </x:c>
      <x:c r="U105" s="35"/>
      <x:c r="V105" s="35" t="n">
        <x:v>5</x:v>
      </x:c>
      <x:c r="W105" s="35" t="n">
        <x:v>900</x:v>
      </x:c>
      <x:c r="X105" s="35" t="n">
        <x:v>2</x:v>
      </x:c>
      <x:c r="Y105" s="37" t="n">
        <x:v>0.0001</x:v>
      </x:c>
      <x:c r="Z105" s="38" t="n">
        <x:v>120</x:v>
      </x:c>
      <x:c r="AA105" s="38" t="n">
        <x:v>120</x:v>
      </x:c>
      <x:c r="AB105" s="38"/>
      <x:c r="AC105" s="32" t="n">
        <x:v>9</x:v>
      </x:c>
      <x:c r="AD105" s="32" t="str">
        <x:v>Approximate</x:v>
      </x:c>
      <x:c r="AE105" s="8" t="str">
        <x:v>Laminate properties depend on layup, fiber, resin, cure and test direction.</x:v>
      </x:c>
      <x:c r="AF105" s="8" t="str">
        <x:f>IFERROR(VLOOKUP(AC105,'Sources'!$A$2:$E$12,5,FALSE),"")</x:f>
        <x:v>https://www.hexcel.com/Resources/DataSheets/</x:v>
      </x:c>
      <x:c r="AG105" s="32" t="b">
        <x:f>COUNTIF($A$2:$A$127,A105)&gt;1</x:f>
        <x:v>0</x:v>
      </x:c>
    </x:row>
    <x:row r="106">
      <x:c r="A106" s="33" t="n">
        <x:v>5003</x:v>
      </x:c>
      <x:c r="B106" s="32" t="str">
        <x:v>COMPOSITE_GFRP_UD</x:v>
      </x:c>
      <x:c r="C106" s="32" t="str">
        <x:v>E-glass/epoxy unidirectional laminate</x:v>
      </x:c>
      <x:c r="D106" s="32" t="str">
        <x:v>Composite</x:v>
      </x:c>
      <x:c r="E106" s="32" t="str">
        <x:v>Fiber-reinforced polymer</x:v>
      </x:c>
      <x:c r="F106" s="32" t="str">
        <x:v>GFRP UD</x:v>
      </x:c>
      <x:c r="G106" s="32" t="str">
        <x:v>0-degree principal direction</x:v>
      </x:c>
      <x:c r="H106" s="32" t="str">
        <x:v>Orthotropic</x:v>
      </x:c>
      <x:c r="I106" s="34" t="n">
        <x:v>1950</x:v>
      </x:c>
      <x:c r="J106" s="35" t="n">
        <x:v>40</x:v>
      </x:c>
      <x:c r="K106" s="35" t="n">
        <x:v>0.28</x:v>
      </x:c>
      <x:c r="L106" s="40" t="n">
        <x:v>4</x:v>
      </x:c>
      <x:c r="M106" s="40"/>
      <x:c r="N106" s="39" t="n">
        <x:f>IF(L106&lt;&gt;"",L106,IF(H106&lt;&gt;"Isotropic","",IF(OR(J106="",K106=""),"",J106/(2*(1+K106)))))</x:f>
        <x:v>4</x:v>
      </x:c>
      <x:c r="O106" s="39" t="str">
        <x:f>IF(M106&lt;&gt;"",M106,IF(H106&lt;&gt;"Isotropic","",IF(OR(J106="",K106="",K106&gt;=0.5),"",J106/(3*(1-2*K106)))))</x:f>
      </x:c>
      <x:c r="P106" s="35"/>
      <x:c r="Q106" s="35" t="n">
        <x:v>1000</x:v>
      </x:c>
      <x:c r="R106" s="35" t="n">
        <x:v>600</x:v>
      </x:c>
      <x:c r="S106" s="35" t="n">
        <x:v>900</x:v>
      </x:c>
      <x:c r="T106" s="36" t="n">
        <x:v>0.025</x:v>
      </x:c>
      <x:c r="U106" s="35"/>
      <x:c r="V106" s="35" t="n">
        <x:v>0.35</x:v>
      </x:c>
      <x:c r="W106" s="35" t="n">
        <x:v>1000</x:v>
      </x:c>
      <x:c r="X106" s="35" t="n">
        <x:v>6</x:v>
      </x:c>
      <x:c r="Y106" s="37" t="n">
        <x:v>1000000000000</x:v>
      </x:c>
      <x:c r="Z106" s="38" t="n">
        <x:v>120</x:v>
      </x:c>
      <x:c r="AA106" s="38" t="n">
        <x:v>120</x:v>
      </x:c>
      <x:c r="AB106" s="38"/>
      <x:c r="AC106" s="32" t="n">
        <x:v>9</x:v>
      </x:c>
      <x:c r="AD106" s="32" t="str">
        <x:v>Approximate</x:v>
      </x:c>
      <x:c r="AE106" s="8" t="str">
        <x:v>Longitudinal lamina screening values.</x:v>
      </x:c>
      <x:c r="AF106" s="8" t="str">
        <x:f>IFERROR(VLOOKUP(AC106,'Sources'!$A$2:$E$12,5,FALSE),"")</x:f>
        <x:v>https://www.hexcel.com/Resources/DataSheets/</x:v>
      </x:c>
      <x:c r="AG106" s="32" t="b">
        <x:f>COUNTIF($A$2:$A$127,A106)&gt;1</x:f>
        <x:v>0</x:v>
      </x:c>
    </x:row>
    <x:row r="107">
      <x:c r="A107" s="33" t="n">
        <x:v>5004</x:v>
      </x:c>
      <x:c r="B107" s="32" t="str">
        <x:v>COMPOSITE_GFRP_QUASI_ISO</x:v>
      </x:c>
      <x:c r="C107" s="32" t="str">
        <x:v>E-glass/epoxy quasi-isotropic laminate</x:v>
      </x:c>
      <x:c r="D107" s="32" t="str">
        <x:v>Composite</x:v>
      </x:c>
      <x:c r="E107" s="32" t="str">
        <x:v>Fiber-reinforced polymer</x:v>
      </x:c>
      <x:c r="F107" s="32" t="str">
        <x:v>GFRP quasi-isotropic</x:v>
      </x:c>
      <x:c r="G107" s="32" t="str">
        <x:v>Balanced laminate typical</x:v>
      </x:c>
      <x:c r="H107" s="32" t="str">
        <x:v>Orthotropic</x:v>
      </x:c>
      <x:c r="I107" s="34" t="n">
        <x:v>1900</x:v>
      </x:c>
      <x:c r="J107" s="35" t="n">
        <x:v>22</x:v>
      </x:c>
      <x:c r="K107" s="35" t="n">
        <x:v>0.3</x:v>
      </x:c>
      <x:c r="L107" s="40" t="n">
        <x:v>8.5</x:v>
      </x:c>
      <x:c r="M107" s="40"/>
      <x:c r="N107" s="39" t="n">
        <x:f>IF(L107&lt;&gt;"",L107,IF(H107&lt;&gt;"Isotropic","",IF(OR(J107="",K107=""),"",J107/(2*(1+K107)))))</x:f>
        <x:v>8.5</x:v>
      </x:c>
      <x:c r="O107" s="39" t="str">
        <x:f>IF(M107&lt;&gt;"",M107,IF(H107&lt;&gt;"Isotropic","",IF(OR(J107="",K107="",K107&gt;=0.5),"",J107/(3*(1-2*K107)))))</x:f>
      </x:c>
      <x:c r="P107" s="35"/>
      <x:c r="Q107" s="35" t="n">
        <x:v>350</x:v>
      </x:c>
      <x:c r="R107" s="35" t="n">
        <x:v>300</x:v>
      </x:c>
      <x:c r="S107" s="35" t="n">
        <x:v>450</x:v>
      </x:c>
      <x:c r="T107" s="36" t="n">
        <x:v>0.018</x:v>
      </x:c>
      <x:c r="U107" s="35"/>
      <x:c r="V107" s="35" t="n">
        <x:v>0.35</x:v>
      </x:c>
      <x:c r="W107" s="35" t="n">
        <x:v>1000</x:v>
      </x:c>
      <x:c r="X107" s="35" t="n">
        <x:v>10</x:v>
      </x:c>
      <x:c r="Y107" s="37" t="n">
        <x:v>1000000000000</x:v>
      </x:c>
      <x:c r="Z107" s="38" t="n">
        <x:v>120</x:v>
      </x:c>
      <x:c r="AA107" s="38" t="n">
        <x:v>120</x:v>
      </x:c>
      <x:c r="AB107" s="38"/>
      <x:c r="AC107" s="32" t="n">
        <x:v>9</x:v>
      </x:c>
      <x:c r="AD107" s="32" t="str">
        <x:v>Approximate</x:v>
      </x:c>
      <x:c r="AE107" s="8" t="str">
        <x:v>Laminate properties depend on layup and process.</x:v>
      </x:c>
      <x:c r="AF107" s="8" t="str">
        <x:f>IFERROR(VLOOKUP(AC107,'Sources'!$A$2:$E$12,5,FALSE),"")</x:f>
        <x:v>https://www.hexcel.com/Resources/DataSheets/</x:v>
      </x:c>
      <x:c r="AG107" s="32" t="b">
        <x:f>COUNTIF($A$2:$A$127,A107)&gt;1</x:f>
        <x:v>0</x:v>
      </x:c>
    </x:row>
    <x:row r="108">
      <x:c r="A108" s="33" t="n">
        <x:v>5005</x:v>
      </x:c>
      <x:c r="B108" s="32" t="str">
        <x:v>COMPOSITE_ARAMID_EPOXY_UD</x:v>
      </x:c>
      <x:c r="C108" s="32" t="str">
        <x:v>Aramid/epoxy unidirectional laminate</x:v>
      </x:c>
      <x:c r="D108" s="32" t="str">
        <x:v>Composite</x:v>
      </x:c>
      <x:c r="E108" s="32" t="str">
        <x:v>Fiber-reinforced polymer</x:v>
      </x:c>
      <x:c r="F108" s="32" t="str">
        <x:v>Aramid/epoxy UD</x:v>
      </x:c>
      <x:c r="G108" s="32" t="str">
        <x:v>0-degree principal direction</x:v>
      </x:c>
      <x:c r="H108" s="32" t="str">
        <x:v>Orthotropic</x:v>
      </x:c>
      <x:c r="I108" s="34" t="n">
        <x:v>1380</x:v>
      </x:c>
      <x:c r="J108" s="35" t="n">
        <x:v>76</x:v>
      </x:c>
      <x:c r="K108" s="35" t="n">
        <x:v>0.34</x:v>
      </x:c>
      <x:c r="L108" s="40" t="n">
        <x:v>2.4</x:v>
      </x:c>
      <x:c r="M108" s="40"/>
      <x:c r="N108" s="39" t="n">
        <x:f>IF(L108&lt;&gt;"",L108,IF(H108&lt;&gt;"Isotropic","",IF(OR(J108="",K108=""),"",J108/(2*(1+K108)))))</x:f>
        <x:v>2.4</x:v>
      </x:c>
      <x:c r="O108" s="39" t="str">
        <x:f>IF(M108&lt;&gt;"",M108,IF(H108&lt;&gt;"Isotropic","",IF(OR(J108="",K108="",K108&gt;=0.5),"",J108/(3*(1-2*K108)))))</x:f>
      </x:c>
      <x:c r="P108" s="35"/>
      <x:c r="Q108" s="35" t="n">
        <x:v>1350</x:v>
      </x:c>
      <x:c r="R108" s="35" t="n">
        <x:v>280</x:v>
      </x:c>
      <x:c r="S108" s="35" t="n">
        <x:v>600</x:v>
      </x:c>
      <x:c r="T108" s="36" t="n">
        <x:v>0.018</x:v>
      </x:c>
      <x:c r="U108" s="35"/>
      <x:c r="V108" s="35" t="n">
        <x:v>0.3</x:v>
      </x:c>
      <x:c r="W108" s="35" t="n">
        <x:v>1400</x:v>
      </x:c>
      <x:c r="X108" s="35" t="n">
        <x:v>-2</x:v>
      </x:c>
      <x:c r="Y108" s="37" t="n">
        <x:v>1000000000000</x:v>
      </x:c>
      <x:c r="Z108" s="38" t="n">
        <x:v>120</x:v>
      </x:c>
      <x:c r="AA108" s="38" t="n">
        <x:v>120</x:v>
      </x:c>
      <x:c r="AB108" s="38"/>
      <x:c r="AC108" s="32" t="n">
        <x:v>9</x:v>
      </x:c>
      <x:c r="AD108" s="32" t="str">
        <x:v>Approximate</x:v>
      </x:c>
      <x:c r="AE108" s="8" t="str">
        <x:v>Low transverse compression and difficult machining; system-specific data required.</x:v>
      </x:c>
      <x:c r="AF108" s="8" t="str">
        <x:f>IFERROR(VLOOKUP(AC108,'Sources'!$A$2:$E$12,5,FALSE),"")</x:f>
        <x:v>https://www.hexcel.com/Resources/DataSheets/</x:v>
      </x:c>
      <x:c r="AG108" s="32" t="b">
        <x:f>COUNTIF($A$2:$A$127,A108)&gt;1</x:f>
        <x:v>0</x:v>
      </x:c>
    </x:row>
    <x:row r="109">
      <x:c r="A109" s="33" t="n">
        <x:v>5101</x:v>
      </x:c>
      <x:c r="B109" s="32" t="str">
        <x:v>WOOD_DOUGLAS_FIR</x:v>
      </x:c>
      <x:c r="C109" s="32" t="str">
        <x:v>Douglas-fir</x:v>
      </x:c>
      <x:c r="D109" s="32" t="str">
        <x:v>Wood</x:v>
      </x:c>
      <x:c r="E109" s="32" t="str">
        <x:v>Softwood</x:v>
      </x:c>
      <x:c r="F109" s="32" t="str">
        <x:v>Douglas-fir</x:v>
      </x:c>
      <x:c r="G109" s="32" t="str">
        <x:v>Clear, dry, longitudinal</x:v>
      </x:c>
      <x:c r="H109" s="32" t="str">
        <x:v>Orthotropic</x:v>
      </x:c>
      <x:c r="I109" s="34" t="n">
        <x:v>530</x:v>
      </x:c>
      <x:c r="J109" s="35" t="n">
        <x:v>12</x:v>
      </x:c>
      <x:c r="K109" s="35" t="n">
        <x:v>0.35</x:v>
      </x:c>
      <x:c r="L109" s="40" t="n">
        <x:v>0.75</x:v>
      </x:c>
      <x:c r="M109" s="40"/>
      <x:c r="N109" s="39" t="n">
        <x:f>IF(L109&lt;&gt;"",L109,IF(H109&lt;&gt;"Isotropic","",IF(OR(J109="",K109=""),"",J109/(2*(1+K109)))))</x:f>
        <x:v>0.75</x:v>
      </x:c>
      <x:c r="O109" s="39" t="str">
        <x:f>IF(M109&lt;&gt;"",M109,IF(H109&lt;&gt;"Isotropic","",IF(OR(J109="",K109="",K109&gt;=0.5),"",J109/(3*(1-2*K109)))))</x:f>
      </x:c>
      <x:c r="P109" s="35"/>
      <x:c r="Q109" s="35" t="n">
        <x:v>85</x:v>
      </x:c>
      <x:c r="R109" s="35" t="n">
        <x:v>50</x:v>
      </x:c>
      <x:c r="S109" s="35" t="n">
        <x:v>90</x:v>
      </x:c>
      <x:c r="T109" s="36" t="n">
        <x:v>0.012</x:v>
      </x:c>
      <x:c r="U109" s="35"/>
      <x:c r="V109" s="35" t="n">
        <x:v>0.13</x:v>
      </x:c>
      <x:c r="W109" s="35" t="n">
        <x:v>1700</x:v>
      </x:c>
      <x:c r="X109" s="35" t="n">
        <x:v>3.5</x:v>
      </x:c>
      <x:c r="Y109" s="37" t="n">
        <x:v>1000000000000</x:v>
      </x:c>
      <x:c r="Z109" s="38" t="n">
        <x:v>200</x:v>
      </x:c>
      <x:c r="AA109" s="38" t="n">
        <x:v>100</x:v>
      </x:c>
      <x:c r="AB109" s="38"/>
      <x:c r="AC109" s="32" t="n">
        <x:v>7</x:v>
      </x:c>
      <x:c r="AD109" s="32" t="str">
        <x:v>Approximate</x:v>
      </x:c>
      <x:c r="AE109" s="8" t="str">
        <x:v>Clear-wood longitudinal average; moisture, grade and defects dominate structural design values.</x:v>
      </x:c>
      <x:c r="AF109" s="8" t="str">
        <x:f>IFERROR(VLOOKUP(AC109,'Sources'!$A$2:$E$12,5,FALSE),"")</x:f>
        <x:v>https://research.fs.usda.gov/fpl/wood-handbook</x:v>
      </x:c>
      <x:c r="AG109" s="32" t="b">
        <x:f>COUNTIF($A$2:$A$127,A109)&gt;1</x:f>
        <x:v>0</x:v>
      </x:c>
    </x:row>
    <x:row r="110">
      <x:c r="A110" s="33" t="n">
        <x:v>5102</x:v>
      </x:c>
      <x:c r="B110" s="32" t="str">
        <x:v>WOOD_SPRUCE_PINE_FIR</x:v>
      </x:c>
      <x:c r="C110" s="32" t="str">
        <x:v>Spruce-pine-fir</x:v>
      </x:c>
      <x:c r="D110" s="32" t="str">
        <x:v>Wood</x:v>
      </x:c>
      <x:c r="E110" s="32" t="str">
        <x:v>Softwood</x:v>
      </x:c>
      <x:c r="F110" s="32" t="str">
        <x:v>SPF grouping</x:v>
      </x:c>
      <x:c r="G110" s="32" t="str">
        <x:v>Clear/dry screening, longitudinal</x:v>
      </x:c>
      <x:c r="H110" s="32" t="str">
        <x:v>Orthotropic</x:v>
      </x:c>
      <x:c r="I110" s="34" t="n">
        <x:v>430</x:v>
      </x:c>
      <x:c r="J110" s="35" t="n">
        <x:v>9.5</x:v>
      </x:c>
      <x:c r="K110" s="35" t="n">
        <x:v>0.35</x:v>
      </x:c>
      <x:c r="L110" s="40" t="n">
        <x:v>0.6</x:v>
      </x:c>
      <x:c r="M110" s="40"/>
      <x:c r="N110" s="39" t="n">
        <x:f>IF(L110&lt;&gt;"",L110,IF(H110&lt;&gt;"Isotropic","",IF(OR(J110="",K110=""),"",J110/(2*(1+K110)))))</x:f>
        <x:v>0.6</x:v>
      </x:c>
      <x:c r="O110" s="39" t="str">
        <x:f>IF(M110&lt;&gt;"",M110,IF(H110&lt;&gt;"Isotropic","",IF(OR(J110="",K110="",K110&gt;=0.5),"",J110/(3*(1-2*K110)))))</x:f>
      </x:c>
      <x:c r="P110" s="35"/>
      <x:c r="Q110" s="35" t="n">
        <x:v>65</x:v>
      </x:c>
      <x:c r="R110" s="35" t="n">
        <x:v>38</x:v>
      </x:c>
      <x:c r="S110" s="35" t="n">
        <x:v>70</x:v>
      </x:c>
      <x:c r="T110" s="36" t="n">
        <x:v>0.012</x:v>
      </x:c>
      <x:c r="U110" s="35"/>
      <x:c r="V110" s="35" t="n">
        <x:v>0.11</x:v>
      </x:c>
      <x:c r="W110" s="35" t="n">
        <x:v>1700</x:v>
      </x:c>
      <x:c r="X110" s="35" t="n">
        <x:v>3.5</x:v>
      </x:c>
      <x:c r="Y110" s="37" t="n">
        <x:v>1000000000000</x:v>
      </x:c>
      <x:c r="Z110" s="38" t="n">
        <x:v>200</x:v>
      </x:c>
      <x:c r="AA110" s="38" t="n">
        <x:v>100</x:v>
      </x:c>
      <x:c r="AB110" s="38"/>
      <x:c r="AC110" s="32" t="n">
        <x:v>7</x:v>
      </x:c>
      <x:c r="AD110" s="32" t="str">
        <x:v>Approximate</x:v>
      </x:c>
      <x:c r="AE110" s="8" t="str">
        <x:v>Not a code design value; species mix, grade and moisture matter.</x:v>
      </x:c>
      <x:c r="AF110" s="8" t="str">
        <x:f>IFERROR(VLOOKUP(AC110,'Sources'!$A$2:$E$12,5,FALSE),"")</x:f>
        <x:v>https://research.fs.usda.gov/fpl/wood-handbook</x:v>
      </x:c>
      <x:c r="AG110" s="32" t="b">
        <x:f>COUNTIF($A$2:$A$127,A110)&gt;1</x:f>
        <x:v>0</x:v>
      </x:c>
    </x:row>
    <x:row r="111">
      <x:c r="A111" s="33" t="n">
        <x:v>5103</x:v>
      </x:c>
      <x:c r="B111" s="32" t="str">
        <x:v>WOOD_SOUTHERN_PINE</x:v>
      </x:c>
      <x:c r="C111" s="32" t="str">
        <x:v>Southern pine</x:v>
      </x:c>
      <x:c r="D111" s="32" t="str">
        <x:v>Wood</x:v>
      </x:c>
      <x:c r="E111" s="32" t="str">
        <x:v>Softwood</x:v>
      </x:c>
      <x:c r="F111" s="32" t="str">
        <x:v>Southern pine</x:v>
      </x:c>
      <x:c r="G111" s="32" t="str">
        <x:v>Clear, dry, longitudinal</x:v>
      </x:c>
      <x:c r="H111" s="32" t="str">
        <x:v>Orthotropic</x:v>
      </x:c>
      <x:c r="I111" s="34" t="n">
        <x:v>590</x:v>
      </x:c>
      <x:c r="J111" s="35" t="n">
        <x:v>12.5</x:v>
      </x:c>
      <x:c r="K111" s="35" t="n">
        <x:v>0.35</x:v>
      </x:c>
      <x:c r="L111" s="40" t="n">
        <x:v>0.8</x:v>
      </x:c>
      <x:c r="M111" s="40"/>
      <x:c r="N111" s="39" t="n">
        <x:f>IF(L111&lt;&gt;"",L111,IF(H111&lt;&gt;"Isotropic","",IF(OR(J111="",K111=""),"",J111/(2*(1+K111)))))</x:f>
        <x:v>0.8</x:v>
      </x:c>
      <x:c r="O111" s="39" t="str">
        <x:f>IF(M111&lt;&gt;"",M111,IF(H111&lt;&gt;"Isotropic","",IF(OR(J111="",K111="",K111&gt;=0.5),"",J111/(3*(1-2*K111)))))</x:f>
      </x:c>
      <x:c r="P111" s="35"/>
      <x:c r="Q111" s="35" t="n">
        <x:v>90</x:v>
      </x:c>
      <x:c r="R111" s="35" t="n">
        <x:v>55</x:v>
      </x:c>
      <x:c r="S111" s="35" t="n">
        <x:v>100</x:v>
      </x:c>
      <x:c r="T111" s="36" t="n">
        <x:v>0.012</x:v>
      </x:c>
      <x:c r="U111" s="35"/>
      <x:c r="V111" s="35" t="n">
        <x:v>0.14</x:v>
      </x:c>
      <x:c r="W111" s="35" t="n">
        <x:v>1700</x:v>
      </x:c>
      <x:c r="X111" s="35" t="n">
        <x:v>3.5</x:v>
      </x:c>
      <x:c r="Y111" s="37" t="n">
        <x:v>1000000000000</x:v>
      </x:c>
      <x:c r="Z111" s="38" t="n">
        <x:v>200</x:v>
      </x:c>
      <x:c r="AA111" s="38" t="n">
        <x:v>100</x:v>
      </x:c>
      <x:c r="AB111" s="38"/>
      <x:c r="AC111" s="32" t="n">
        <x:v>7</x:v>
      </x:c>
      <x:c r="AD111" s="32" t="str">
        <x:v>Approximate</x:v>
      </x:c>
      <x:c r="AE111" s="8" t="str">
        <x:v>Clear-wood average; use graded lumber design values for structures.</x:v>
      </x:c>
      <x:c r="AF111" s="8" t="str">
        <x:f>IFERROR(VLOOKUP(AC111,'Sources'!$A$2:$E$12,5,FALSE),"")</x:f>
        <x:v>https://research.fs.usda.gov/fpl/wood-handbook</x:v>
      </x:c>
      <x:c r="AG111" s="32" t="b">
        <x:f>COUNTIF($A$2:$A$127,A111)&gt;1</x:f>
        <x:v>0</x:v>
      </x:c>
    </x:row>
    <x:row r="112">
      <x:c r="A112" s="33" t="n">
        <x:v>5104</x:v>
      </x:c>
      <x:c r="B112" s="32" t="str">
        <x:v>WOOD_WHITE_OAK</x:v>
      </x:c>
      <x:c r="C112" s="32" t="str">
        <x:v>White oak</x:v>
      </x:c>
      <x:c r="D112" s="32" t="str">
        <x:v>Wood</x:v>
      </x:c>
      <x:c r="E112" s="32" t="str">
        <x:v>Hardwood</x:v>
      </x:c>
      <x:c r="F112" s="32" t="str">
        <x:v>White oak</x:v>
      </x:c>
      <x:c r="G112" s="32" t="str">
        <x:v>Clear, dry, longitudinal</x:v>
      </x:c>
      <x:c r="H112" s="32" t="str">
        <x:v>Orthotropic</x:v>
      </x:c>
      <x:c r="I112" s="34" t="n">
        <x:v>750</x:v>
      </x:c>
      <x:c r="J112" s="35" t="n">
        <x:v>12.3</x:v>
      </x:c>
      <x:c r="K112" s="35" t="n">
        <x:v>0.36</x:v>
      </x:c>
      <x:c r="L112" s="40" t="n">
        <x:v>0.85</x:v>
      </x:c>
      <x:c r="M112" s="40"/>
      <x:c r="N112" s="39" t="n">
        <x:f>IF(L112&lt;&gt;"",L112,IF(H112&lt;&gt;"Isotropic","",IF(OR(J112="",K112=""),"",J112/(2*(1+K112)))))</x:f>
        <x:v>0.85</x:v>
      </x:c>
      <x:c r="O112" s="39" t="str">
        <x:f>IF(M112&lt;&gt;"",M112,IF(H112&lt;&gt;"Isotropic","",IF(OR(J112="",K112="",K112&gt;=0.5),"",J112/(3*(1-2*K112)))))</x:f>
      </x:c>
      <x:c r="P112" s="35"/>
      <x:c r="Q112" s="35" t="n">
        <x:v>100</x:v>
      </x:c>
      <x:c r="R112" s="35" t="n">
        <x:v>51</x:v>
      </x:c>
      <x:c r="S112" s="35" t="n">
        <x:v>105</x:v>
      </x:c>
      <x:c r="T112" s="36" t="n">
        <x:v>0.01</x:v>
      </x:c>
      <x:c r="U112" s="35"/>
      <x:c r="V112" s="35" t="n">
        <x:v>0.17</x:v>
      </x:c>
      <x:c r="W112" s="35" t="n">
        <x:v>1700</x:v>
      </x:c>
      <x:c r="X112" s="35" t="n">
        <x:v>4.5</x:v>
      </x:c>
      <x:c r="Y112" s="37" t="n">
        <x:v>100000000000</x:v>
      </x:c>
      <x:c r="Z112" s="38" t="n">
        <x:v>200</x:v>
      </x:c>
      <x:c r="AA112" s="38" t="n">
        <x:v>100</x:v>
      </x:c>
      <x:c r="AB112" s="38"/>
      <x:c r="AC112" s="32" t="n">
        <x:v>7</x:v>
      </x:c>
      <x:c r="AD112" s="32" t="str">
        <x:v>Approximate</x:v>
      </x:c>
      <x:c r="AE112" s="8" t="str">
        <x:v>Clear-wood average; moisture and grain direction are critical.</x:v>
      </x:c>
      <x:c r="AF112" s="8" t="str">
        <x:f>IFERROR(VLOOKUP(AC112,'Sources'!$A$2:$E$12,5,FALSE),"")</x:f>
        <x:v>https://research.fs.usda.gov/fpl/wood-handbook</x:v>
      </x:c>
      <x:c r="AG112" s="32" t="b">
        <x:f>COUNTIF($A$2:$A$127,A112)&gt;1</x:f>
        <x:v>0</x:v>
      </x:c>
    </x:row>
    <x:row r="113">
      <x:c r="A113" s="33" t="n">
        <x:v>5105</x:v>
      </x:c>
      <x:c r="B113" s="32" t="str">
        <x:v>WOOD_HARD_MAPLE</x:v>
      </x:c>
      <x:c r="C113" s="32" t="str">
        <x:v>Hard maple</x:v>
      </x:c>
      <x:c r="D113" s="32" t="str">
        <x:v>Wood</x:v>
      </x:c>
      <x:c r="E113" s="32" t="str">
        <x:v>Hardwood</x:v>
      </x:c>
      <x:c r="F113" s="32" t="str">
        <x:v>Sugar maple</x:v>
      </x:c>
      <x:c r="G113" s="32" t="str">
        <x:v>Clear, dry, longitudinal</x:v>
      </x:c>
      <x:c r="H113" s="32" t="str">
        <x:v>Orthotropic</x:v>
      </x:c>
      <x:c r="I113" s="34" t="n">
        <x:v>705</x:v>
      </x:c>
      <x:c r="J113" s="35" t="n">
        <x:v>12.6</x:v>
      </x:c>
      <x:c r="K113" s="35" t="n">
        <x:v>0.35</x:v>
      </x:c>
      <x:c r="L113" s="40" t="n">
        <x:v>0.9</x:v>
      </x:c>
      <x:c r="M113" s="40"/>
      <x:c r="N113" s="39" t="n">
        <x:f>IF(L113&lt;&gt;"",L113,IF(H113&lt;&gt;"Isotropic","",IF(OR(J113="",K113=""),"",J113/(2*(1+K113)))))</x:f>
        <x:v>0.9</x:v>
      </x:c>
      <x:c r="O113" s="39" t="str">
        <x:f>IF(M113&lt;&gt;"",M113,IF(H113&lt;&gt;"Isotropic","",IF(OR(J113="",K113="",K113&gt;=0.5),"",J113/(3*(1-2*K113)))))</x:f>
      </x:c>
      <x:c r="P113" s="35"/>
      <x:c r="Q113" s="35" t="n">
        <x:v>108</x:v>
      </x:c>
      <x:c r="R113" s="35" t="n">
        <x:v>54</x:v>
      </x:c>
      <x:c r="S113" s="35" t="n">
        <x:v>109</x:v>
      </x:c>
      <x:c r="T113" s="36" t="n">
        <x:v>0.01</x:v>
      </x:c>
      <x:c r="U113" s="35"/>
      <x:c r="V113" s="35" t="n">
        <x:v>0.16</x:v>
      </x:c>
      <x:c r="W113" s="35" t="n">
        <x:v>1700</x:v>
      </x:c>
      <x:c r="X113" s="35" t="n">
        <x:v>4</x:v>
      </x:c>
      <x:c r="Y113" s="37" t="n">
        <x:v>100000000000</x:v>
      </x:c>
      <x:c r="Z113" s="38" t="n">
        <x:v>200</x:v>
      </x:c>
      <x:c r="AA113" s="38" t="n">
        <x:v>100</x:v>
      </x:c>
      <x:c r="AB113" s="38"/>
      <x:c r="AC113" s="32" t="n">
        <x:v>7</x:v>
      </x:c>
      <x:c r="AD113" s="32" t="str">
        <x:v>Approximate</x:v>
      </x:c>
      <x:c r="AE113" s="8" t="str">
        <x:v>Clear-wood average; not a graded design value.</x:v>
      </x:c>
      <x:c r="AF113" s="8" t="str">
        <x:f>IFERROR(VLOOKUP(AC113,'Sources'!$A$2:$E$12,5,FALSE),"")</x:f>
        <x:v>https://research.fs.usda.gov/fpl/wood-handbook</x:v>
      </x:c>
      <x:c r="AG113" s="32" t="b">
        <x:f>COUNTIF($A$2:$A$127,A113)&gt;1</x:f>
        <x:v>0</x:v>
      </x:c>
    </x:row>
    <x:row r="114">
      <x:c r="A114" s="33" t="n">
        <x:v>5106</x:v>
      </x:c>
      <x:c r="B114" s="32" t="str">
        <x:v>WOOD_PLYWOOD_SOFTWOOD</x:v>
      </x:c>
      <x:c r="C114" s="32" t="str">
        <x:v>Softwood structural plywood</x:v>
      </x:c>
      <x:c r="D114" s="32" t="str">
        <x:v>Wood</x:v>
      </x:c>
      <x:c r="E114" s="32" t="str">
        <x:v>Wood composite</x:v>
      </x:c>
      <x:c r="F114" s="32" t="str">
        <x:v>Structural plywood</x:v>
      </x:c>
      <x:c r="G114" s="32" t="str">
        <x:v>Dry panel, in-plane screening</x:v>
      </x:c>
      <x:c r="H114" s="32" t="str">
        <x:v>Orthotropic</x:v>
      </x:c>
      <x:c r="I114" s="34" t="n">
        <x:v>550</x:v>
      </x:c>
      <x:c r="J114" s="35" t="n">
        <x:v>8</x:v>
      </x:c>
      <x:c r="K114" s="35" t="n">
        <x:v>0.25</x:v>
      </x:c>
      <x:c r="L114" s="40" t="n">
        <x:v>0.6</x:v>
      </x:c>
      <x:c r="M114" s="40"/>
      <x:c r="N114" s="39" t="n">
        <x:f>IF(L114&lt;&gt;"",L114,IF(H114&lt;&gt;"Isotropic","",IF(OR(J114="",K114=""),"",J114/(2*(1+K114)))))</x:f>
        <x:v>0.6</x:v>
      </x:c>
      <x:c r="O114" s="39" t="str">
        <x:f>IF(M114&lt;&gt;"",M114,IF(H114&lt;&gt;"Isotropic","",IF(OR(J114="",K114="",K114&gt;=0.5),"",J114/(3*(1-2*K114)))))</x:f>
      </x:c>
      <x:c r="P114" s="35"/>
      <x:c r="Q114" s="35" t="n">
        <x:v>35</x:v>
      </x:c>
      <x:c r="R114" s="35" t="n">
        <x:v>30</x:v>
      </x:c>
      <x:c r="S114" s="35" t="n">
        <x:v>45</x:v>
      </x:c>
      <x:c r="T114" s="36" t="n">
        <x:v>0.008</x:v>
      </x:c>
      <x:c r="U114" s="35"/>
      <x:c r="V114" s="35" t="n">
        <x:v>0.12</x:v>
      </x:c>
      <x:c r="W114" s="35" t="n">
        <x:v>1700</x:v>
      </x:c>
      <x:c r="X114" s="35" t="n">
        <x:v>6</x:v>
      </x:c>
      <x:c r="Y114" s="37" t="n">
        <x:v>100000000000</x:v>
      </x:c>
      <x:c r="Z114" s="38" t="n">
        <x:v>180</x:v>
      </x:c>
      <x:c r="AA114" s="38" t="n">
        <x:v>90</x:v>
      </x:c>
      <x:c r="AB114" s="38"/>
      <x:c r="AC114" s="32" t="n">
        <x:v>7</x:v>
      </x:c>
      <x:c r="AD114" s="32" t="str">
        <x:v>Approximate</x:v>
      </x:c>
      <x:c r="AE114" s="8" t="str">
        <x:v>Panel grade, layup, axis and thickness govern properties.</x:v>
      </x:c>
      <x:c r="AF114" s="8" t="str">
        <x:f>IFERROR(VLOOKUP(AC114,'Sources'!$A$2:$E$12,5,FALSE),"")</x:f>
        <x:v>https://research.fs.usda.gov/fpl/wood-handbook</x:v>
      </x:c>
      <x:c r="AG114" s="32" t="b">
        <x:f>COUNTIF($A$2:$A$127,A114)&gt;1</x:f>
        <x:v>0</x:v>
      </x:c>
    </x:row>
    <x:row r="115">
      <x:c r="A115" s="33" t="n">
        <x:v>5107</x:v>
      </x:c>
      <x:c r="B115" s="32" t="str">
        <x:v>WOOD_MDF</x:v>
      </x:c>
      <x:c r="C115" s="32" t="str">
        <x:v>Medium-density fiberboard</x:v>
      </x:c>
      <x:c r="D115" s="32" t="str">
        <x:v>Wood</x:v>
      </x:c>
      <x:c r="E115" s="32" t="str">
        <x:v>Wood composite</x:v>
      </x:c>
      <x:c r="F115" s="32" t="str">
        <x:v>MDF</x:v>
      </x:c>
      <x:c r="G115" s="32" t="str">
        <x:v>Dry panel</x:v>
      </x:c>
      <x:c r="H115" s="32" t="str">
        <x:v>Orthotropic</x:v>
      </x:c>
      <x:c r="I115" s="34" t="n">
        <x:v>750</x:v>
      </x:c>
      <x:c r="J115" s="35" t="n">
        <x:v>3.5</x:v>
      </x:c>
      <x:c r="K115" s="35" t="n">
        <x:v>0.3</x:v>
      </x:c>
      <x:c r="L115" s="40" t="n">
        <x:v>1.3</x:v>
      </x:c>
      <x:c r="M115" s="40"/>
      <x:c r="N115" s="39" t="n">
        <x:f>IF(L115&lt;&gt;"",L115,IF(H115&lt;&gt;"Isotropic","",IF(OR(J115="",K115=""),"",J115/(2*(1+K115)))))</x:f>
        <x:v>1.3</x:v>
      </x:c>
      <x:c r="O115" s="39" t="str">
        <x:f>IF(M115&lt;&gt;"",M115,IF(H115&lt;&gt;"Isotropic","",IF(OR(J115="",K115="",K115&gt;=0.5),"",J115/(3*(1-2*K115)))))</x:f>
      </x:c>
      <x:c r="P115" s="35"/>
      <x:c r="Q115" s="35" t="n">
        <x:v>25</x:v>
      </x:c>
      <x:c r="R115" s="35" t="n">
        <x:v>20</x:v>
      </x:c>
      <x:c r="S115" s="35" t="n">
        <x:v>35</x:v>
      </x:c>
      <x:c r="T115" s="36" t="n">
        <x:v>0.008</x:v>
      </x:c>
      <x:c r="U115" s="35"/>
      <x:c r="V115" s="35" t="n">
        <x:v>0.12</x:v>
      </x:c>
      <x:c r="W115" s="35" t="n">
        <x:v>1700</x:v>
      </x:c>
      <x:c r="X115" s="35" t="n">
        <x:v>12</x:v>
      </x:c>
      <x:c r="Y115" s="37" t="n">
        <x:v>10000000000</x:v>
      </x:c>
      <x:c r="Z115" s="38" t="n">
        <x:v>180</x:v>
      </x:c>
      <x:c r="AA115" s="38" t="n">
        <x:v>80</x:v>
      </x:c>
      <x:c r="AB115" s="38"/>
      <x:c r="AC115" s="32" t="n">
        <x:v>7</x:v>
      </x:c>
      <x:c r="AD115" s="32" t="str">
        <x:v>Approximate</x:v>
      </x:c>
      <x:c r="AE115" s="8" t="str">
        <x:v>Panel product; thickness, density and moisture affect properties.</x:v>
      </x:c>
      <x:c r="AF115" s="8" t="str">
        <x:f>IFERROR(VLOOKUP(AC115,'Sources'!$A$2:$E$12,5,FALSE),"")</x:f>
        <x:v>https://research.fs.usda.gov/fpl/wood-handbook</x:v>
      </x:c>
      <x:c r="AG115" s="32" t="b">
        <x:f>COUNTIF($A$2:$A$127,A115)&gt;1</x:f>
        <x:v>0</x:v>
      </x:c>
    </x:row>
    <x:row r="116">
      <x:c r="A116" s="33" t="n">
        <x:v>5108</x:v>
      </x:c>
      <x:c r="B116" s="32" t="str">
        <x:v>WOOD_LVL</x:v>
      </x:c>
      <x:c r="C116" s="32" t="str">
        <x:v>Laminated veneer lumber</x:v>
      </x:c>
      <x:c r="D116" s="32" t="str">
        <x:v>Wood</x:v>
      </x:c>
      <x:c r="E116" s="32" t="str">
        <x:v>Engineered wood</x:v>
      </x:c>
      <x:c r="F116" s="32" t="str">
        <x:v>LVL</x:v>
      </x:c>
      <x:c r="G116" s="32" t="str">
        <x:v>Dry, longitudinal screening</x:v>
      </x:c>
      <x:c r="H116" s="32" t="str">
        <x:v>Orthotropic</x:v>
      </x:c>
      <x:c r="I116" s="34" t="n">
        <x:v>560</x:v>
      </x:c>
      <x:c r="J116" s="35" t="n">
        <x:v>14</x:v>
      </x:c>
      <x:c r="K116" s="35" t="n">
        <x:v>0.3</x:v>
      </x:c>
      <x:c r="L116" s="40" t="n">
        <x:v>0.8</x:v>
      </x:c>
      <x:c r="M116" s="40"/>
      <x:c r="N116" s="39" t="n">
        <x:f>IF(L116&lt;&gt;"",L116,IF(H116&lt;&gt;"Isotropic","",IF(OR(J116="",K116=""),"",J116/(2*(1+K116)))))</x:f>
        <x:v>0.8</x:v>
      </x:c>
      <x:c r="O116" s="39" t="str">
        <x:f>IF(M116&lt;&gt;"",M116,IF(H116&lt;&gt;"Isotropic","",IF(OR(J116="",K116="",K116&gt;=0.5),"",J116/(3*(1-2*K116)))))</x:f>
      </x:c>
      <x:c r="P116" s="35"/>
      <x:c r="Q116" s="35" t="n">
        <x:v>50</x:v>
      </x:c>
      <x:c r="R116" s="35" t="n">
        <x:v>45</x:v>
      </x:c>
      <x:c r="S116" s="35" t="n">
        <x:v>55</x:v>
      </x:c>
      <x:c r="T116" s="36" t="n">
        <x:v>0.01</x:v>
      </x:c>
      <x:c r="U116" s="35"/>
      <x:c r="V116" s="35" t="n">
        <x:v>0.13</x:v>
      </x:c>
      <x:c r="W116" s="35" t="n">
        <x:v>1700</x:v>
      </x:c>
      <x:c r="X116" s="35" t="n">
        <x:v>5</x:v>
      </x:c>
      <x:c r="Y116" s="37" t="n">
        <x:v>100000000000</x:v>
      </x:c>
      <x:c r="Z116" s="38" t="n">
        <x:v>180</x:v>
      </x:c>
      <x:c r="AA116" s="38" t="n">
        <x:v>100</x:v>
      </x:c>
      <x:c r="AB116" s="38"/>
      <x:c r="AC116" s="32" t="n">
        <x:v>7</x:v>
      </x:c>
      <x:c r="AD116" s="32" t="str">
        <x:v>Approximate</x:v>
      </x:c>
      <x:c r="AE116" s="8" t="str">
        <x:v>Use manufacturer code reports and grade-specific design values.</x:v>
      </x:c>
      <x:c r="AF116" s="8" t="str">
        <x:f>IFERROR(VLOOKUP(AC116,'Sources'!$A$2:$E$12,5,FALSE),"")</x:f>
        <x:v>https://research.fs.usda.gov/fpl/wood-handbook</x:v>
      </x:c>
      <x:c r="AG116" s="32" t="b">
        <x:f>COUNTIF($A$2:$A$127,A116)&gt;1</x:f>
        <x:v>0</x:v>
      </x:c>
    </x:row>
    <x:row r="117">
      <x:c r="A117" s="33" t="n">
        <x:v>5109</x:v>
      </x:c>
      <x:c r="B117" s="32" t="str">
        <x:v>WOOD_GLULAM</x:v>
      </x:c>
      <x:c r="C117" s="32" t="str">
        <x:v>Glue-laminated timber</x:v>
      </x:c>
      <x:c r="D117" s="32" t="str">
        <x:v>Wood</x:v>
      </x:c>
      <x:c r="E117" s="32" t="str">
        <x:v>Engineered wood</x:v>
      </x:c>
      <x:c r="F117" s="32" t="str">
        <x:v>Glulam</x:v>
      </x:c>
      <x:c r="G117" s="32" t="str">
        <x:v>Dry, longitudinal screening</x:v>
      </x:c>
      <x:c r="H117" s="32" t="str">
        <x:v>Orthotropic</x:v>
      </x:c>
      <x:c r="I117" s="34" t="n">
        <x:v>520</x:v>
      </x:c>
      <x:c r="J117" s="35" t="n">
        <x:v>12</x:v>
      </x:c>
      <x:c r="K117" s="35" t="n">
        <x:v>0.3</x:v>
      </x:c>
      <x:c r="L117" s="40" t="n">
        <x:v>0.75</x:v>
      </x:c>
      <x:c r="M117" s="40"/>
      <x:c r="N117" s="39" t="n">
        <x:f>IF(L117&lt;&gt;"",L117,IF(H117&lt;&gt;"Isotropic","",IF(OR(J117="",K117=""),"",J117/(2*(1+K117)))))</x:f>
        <x:v>0.75</x:v>
      </x:c>
      <x:c r="O117" s="39" t="str">
        <x:f>IF(M117&lt;&gt;"",M117,IF(H117&lt;&gt;"Isotropic","",IF(OR(J117="",K117="",K117&gt;=0.5),"",J117/(3*(1-2*K117)))))</x:f>
      </x:c>
      <x:c r="P117" s="35"/>
      <x:c r="Q117" s="35" t="n">
        <x:v>40</x:v>
      </x:c>
      <x:c r="R117" s="35" t="n">
        <x:v>35</x:v>
      </x:c>
      <x:c r="S117" s="35" t="n">
        <x:v>45</x:v>
      </x:c>
      <x:c r="T117" s="36" t="n">
        <x:v>0.01</x:v>
      </x:c>
      <x:c r="U117" s="35"/>
      <x:c r="V117" s="35" t="n">
        <x:v>0.13</x:v>
      </x:c>
      <x:c r="W117" s="35" t="n">
        <x:v>1700</x:v>
      </x:c>
      <x:c r="X117" s="35" t="n">
        <x:v>5</x:v>
      </x:c>
      <x:c r="Y117" s="37" t="n">
        <x:v>100000000000</x:v>
      </x:c>
      <x:c r="Z117" s="38" t="n">
        <x:v>180</x:v>
      </x:c>
      <x:c r="AA117" s="38" t="n">
        <x:v>100</x:v>
      </x:c>
      <x:c r="AB117" s="38"/>
      <x:c r="AC117" s="32" t="n">
        <x:v>7</x:v>
      </x:c>
      <x:c r="AD117" s="32" t="str">
        <x:v>Approximate</x:v>
      </x:c>
      <x:c r="AE117" s="8" t="str">
        <x:v>Use layup-, species- and grade-specific design values.</x:v>
      </x:c>
      <x:c r="AF117" s="8" t="str">
        <x:f>IFERROR(VLOOKUP(AC117,'Sources'!$A$2:$E$12,5,FALSE),"")</x:f>
        <x:v>https://research.fs.usda.gov/fpl/wood-handbook</x:v>
      </x:c>
      <x:c r="AG117" s="32" t="b">
        <x:f>COUNTIF($A$2:$A$127,A117)&gt;1</x:f>
        <x:v>0</x:v>
      </x:c>
    </x:row>
    <x:row r="118">
      <x:c r="A118" s="33" t="n">
        <x:v>6001</x:v>
      </x:c>
      <x:c r="B118" s="32" t="str">
        <x:v>CONCRETE_NORMAL_25MPA</x:v>
      </x:c>
      <x:c r="C118" s="32" t="str">
        <x:v>Normal-weight concrete, 25 MPa</x:v>
      </x:c>
      <x:c r="D118" s="32" t="str">
        <x:v>Construction material</x:v>
      </x:c>
      <x:c r="E118" s="32" t="str">
        <x:v>Concrete</x:v>
      </x:c>
      <x:c r="F118" s="32" t="str">
        <x:v>25 MPa nominal</x:v>
      </x:c>
      <x:c r="G118" s="32" t="str">
        <x:v>Cured, room-temperature screening</x:v>
      </x:c>
      <x:c r="H118" s="32" t="str">
        <x:v>Isotropic</x:v>
      </x:c>
      <x:c r="I118" s="34" t="n">
        <x:v>2400</x:v>
      </x:c>
      <x:c r="J118" s="35" t="n">
        <x:v>27</x:v>
      </x:c>
      <x:c r="K118" s="35" t="n">
        <x:v>0.2</x:v>
      </x:c>
      <x:c r="L118" s="40"/>
      <x:c r="M118" s="40"/>
      <x:c r="N118" s="39" t="n">
        <x:f>IF(L118&lt;&gt;"",L118,IF(H118&lt;&gt;"Isotropic","",IF(OR(J118="",K118=""),"",J118/(2*(1+K118)))))</x:f>
        <x:v>11.25</x:v>
      </x:c>
      <x:c r="O118" s="39" t="n">
        <x:f>IF(M118&lt;&gt;"",M118,IF(H118&lt;&gt;"Isotropic","",IF(OR(J118="",K118="",K118&gt;=0.5),"",J118/(3*(1-2*K118)))))</x:f>
        <x:v>15.000000000000002</x:v>
      </x:c>
      <x:c r="P118" s="35"/>
      <x:c r="Q118" s="35" t="n">
        <x:v>2.5</x:v>
      </x:c>
      <x:c r="R118" s="35" t="n">
        <x:v>25</x:v>
      </x:c>
      <x:c r="S118" s="35" t="n">
        <x:v>3.5</x:v>
      </x:c>
      <x:c r="T118" s="36" t="n">
        <x:v>0.0001</x:v>
      </x:c>
      <x:c r="U118" s="35" t="n">
        <x:v>0.3</x:v>
      </x:c>
      <x:c r="V118" s="35" t="n">
        <x:v>1.7</x:v>
      </x:c>
      <x:c r="W118" s="35" t="n">
        <x:v>880</x:v>
      </x:c>
      <x:c r="X118" s="35" t="n">
        <x:v>10</x:v>
      </x:c>
      <x:c r="Y118" s="37" t="n">
        <x:v>100</x:v>
      </x:c>
      <x:c r="Z118" s="38" t="n">
        <x:v>1200</x:v>
      </x:c>
      <x:c r="AA118" s="38" t="n">
        <x:v>300</x:v>
      </x:c>
      <x:c r="AB118" s="38"/>
      <x:c r="AC118" s="32" t="n">
        <x:v>8</x:v>
      </x:c>
      <x:c r="AD118" s="32" t="str">
        <x:v>Approximate</x:v>
      </x:c>
      <x:c r="AE118" s="8" t="str">
        <x:v>Strength, modulus and thermal properties depend on mix, aggregate, curing and moisture.</x:v>
      </x:c>
      <x:c r="AF118" s="8" t="str">
        <x:f>IFERROR(VLOOKUP(AC118,'Sources'!$A$2:$E$12,5,FALSE),"")</x:f>
        <x:v>https://www.fhwa.dot.gov/publications/research/infrastructure/pavements/pccp/04127/appa.cfm</x:v>
      </x:c>
      <x:c r="AG118" s="32" t="b">
        <x:f>COUNTIF($A$2:$A$127,A118)&gt;1</x:f>
        <x:v>0</x:v>
      </x:c>
    </x:row>
    <x:row r="119">
      <x:c r="A119" s="33" t="n">
        <x:v>6002</x:v>
      </x:c>
      <x:c r="B119" s="32" t="str">
        <x:v>CONCRETE_NORMAL_40MPA</x:v>
      </x:c>
      <x:c r="C119" s="32" t="str">
        <x:v>Normal-weight concrete, 40 MPa</x:v>
      </x:c>
      <x:c r="D119" s="32" t="str">
        <x:v>Construction material</x:v>
      </x:c>
      <x:c r="E119" s="32" t="str">
        <x:v>Concrete</x:v>
      </x:c>
      <x:c r="F119" s="32" t="str">
        <x:v>40 MPa nominal</x:v>
      </x:c>
      <x:c r="G119" s="32" t="str">
        <x:v>Cured, room-temperature screening</x:v>
      </x:c>
      <x:c r="H119" s="32" t="str">
        <x:v>Isotropic</x:v>
      </x:c>
      <x:c r="I119" s="34" t="n">
        <x:v>2400</x:v>
      </x:c>
      <x:c r="J119" s="35" t="n">
        <x:v>30</x:v>
      </x:c>
      <x:c r="K119" s="35" t="n">
        <x:v>0.2</x:v>
      </x:c>
      <x:c r="L119" s="40"/>
      <x:c r="M119" s="40"/>
      <x:c r="N119" s="39" t="n">
        <x:f>IF(L119&lt;&gt;"",L119,IF(H119&lt;&gt;"Isotropic","",IF(OR(J119="",K119=""),"",J119/(2*(1+K119)))))</x:f>
        <x:v>12.5</x:v>
      </x:c>
      <x:c r="O119" s="39" t="n">
        <x:f>IF(M119&lt;&gt;"",M119,IF(H119&lt;&gt;"Isotropic","",IF(OR(J119="",K119="",K119&gt;=0.5),"",J119/(3*(1-2*K119)))))</x:f>
        <x:v>16.666666666666668</x:v>
      </x:c>
      <x:c r="P119" s="35"/>
      <x:c r="Q119" s="35" t="n">
        <x:v>3.5</x:v>
      </x:c>
      <x:c r="R119" s="35" t="n">
        <x:v>40</x:v>
      </x:c>
      <x:c r="S119" s="35" t="n">
        <x:v>4.5</x:v>
      </x:c>
      <x:c r="T119" s="36" t="n">
        <x:v>0.0001</x:v>
      </x:c>
      <x:c r="U119" s="35" t="n">
        <x:v>0.35</x:v>
      </x:c>
      <x:c r="V119" s="35" t="n">
        <x:v>1.8</x:v>
      </x:c>
      <x:c r="W119" s="35" t="n">
        <x:v>880</x:v>
      </x:c>
      <x:c r="X119" s="35" t="n">
        <x:v>10</x:v>
      </x:c>
      <x:c r="Y119" s="37" t="n">
        <x:v>100</x:v>
      </x:c>
      <x:c r="Z119" s="38" t="n">
        <x:v>1200</x:v>
      </x:c>
      <x:c r="AA119" s="38" t="n">
        <x:v>300</x:v>
      </x:c>
      <x:c r="AB119" s="38"/>
      <x:c r="AC119" s="32" t="n">
        <x:v>8</x:v>
      </x:c>
      <x:c r="AD119" s="32" t="str">
        <x:v>Approximate</x:v>
      </x:c>
      <x:c r="AE119" s="8" t="str">
        <x:v>Use governing structural code relationships and tested cylinder strength.</x:v>
      </x:c>
      <x:c r="AF119" s="8" t="str">
        <x:f>IFERROR(VLOOKUP(AC119,'Sources'!$A$2:$E$12,5,FALSE),"")</x:f>
        <x:v>https://www.fhwa.dot.gov/publications/research/infrastructure/pavements/pccp/04127/appa.cfm</x:v>
      </x:c>
      <x:c r="AG119" s="32" t="b">
        <x:f>COUNTIF($A$2:$A$127,A119)&gt;1</x:f>
        <x:v>0</x:v>
      </x:c>
    </x:row>
    <x:row r="120">
      <x:c r="A120" s="33" t="n">
        <x:v>6003</x:v>
      </x:c>
      <x:c r="B120" s="32" t="str">
        <x:v>CONCRETE_NORMAL_60MPA</x:v>
      </x:c>
      <x:c r="C120" s="32" t="str">
        <x:v>Normal-weight concrete, 60 MPa</x:v>
      </x:c>
      <x:c r="D120" s="32" t="str">
        <x:v>Construction material</x:v>
      </x:c>
      <x:c r="E120" s="32" t="str">
        <x:v>Concrete</x:v>
      </x:c>
      <x:c r="F120" s="32" t="str">
        <x:v>60 MPa nominal</x:v>
      </x:c>
      <x:c r="G120" s="32" t="str">
        <x:v>Cured, room-temperature screening</x:v>
      </x:c>
      <x:c r="H120" s="32" t="str">
        <x:v>Isotropic</x:v>
      </x:c>
      <x:c r="I120" s="34" t="n">
        <x:v>2450</x:v>
      </x:c>
      <x:c r="J120" s="35" t="n">
        <x:v>36</x:v>
      </x:c>
      <x:c r="K120" s="35" t="n">
        <x:v>0.2</x:v>
      </x:c>
      <x:c r="L120" s="40"/>
      <x:c r="M120" s="40"/>
      <x:c r="N120" s="39" t="n">
        <x:f>IF(L120&lt;&gt;"",L120,IF(H120&lt;&gt;"Isotropic","",IF(OR(J120="",K120=""),"",J120/(2*(1+K120)))))</x:f>
        <x:v>15</x:v>
      </x:c>
      <x:c r="O120" s="39" t="n">
        <x:f>IF(M120&lt;&gt;"",M120,IF(H120&lt;&gt;"Isotropic","",IF(OR(J120="",K120="",K120&gt;=0.5),"",J120/(3*(1-2*K120)))))</x:f>
        <x:v>20.000000000000004</x:v>
      </x:c>
      <x:c r="P120" s="35"/>
      <x:c r="Q120" s="35" t="n">
        <x:v>4.5</x:v>
      </x:c>
      <x:c r="R120" s="35" t="n">
        <x:v>60</x:v>
      </x:c>
      <x:c r="S120" s="35" t="n">
        <x:v>6</x:v>
      </x:c>
      <x:c r="T120" s="36" t="n">
        <x:v>0.0001</x:v>
      </x:c>
      <x:c r="U120" s="35" t="n">
        <x:v>0.4</x:v>
      </x:c>
      <x:c r="V120" s="35" t="n">
        <x:v>2</x:v>
      </x:c>
      <x:c r="W120" s="35" t="n">
        <x:v>880</x:v>
      </x:c>
      <x:c r="X120" s="35" t="n">
        <x:v>10</x:v>
      </x:c>
      <x:c r="Y120" s="37" t="n">
        <x:v>100</x:v>
      </x:c>
      <x:c r="Z120" s="38" t="n">
        <x:v>1200</x:v>
      </x:c>
      <x:c r="AA120" s="38" t="n">
        <x:v>300</x:v>
      </x:c>
      <x:c r="AB120" s="38"/>
      <x:c r="AC120" s="32" t="n">
        <x:v>8</x:v>
      </x:c>
      <x:c r="AD120" s="32" t="str">
        <x:v>Approximate</x:v>
      </x:c>
      <x:c r="AE120" s="8" t="str">
        <x:v>High-strength mix; modulus and fracture properties are aggregate-dependent.</x:v>
      </x:c>
      <x:c r="AF120" s="8" t="str">
        <x:f>IFERROR(VLOOKUP(AC120,'Sources'!$A$2:$E$12,5,FALSE),"")</x:f>
        <x:v>https://www.fhwa.dot.gov/publications/research/infrastructure/pavements/pccp/04127/appa.cfm</x:v>
      </x:c>
      <x:c r="AG120" s="32" t="b">
        <x:f>COUNTIF($A$2:$A$127,A120)&gt;1</x:f>
        <x:v>0</x:v>
      </x:c>
    </x:row>
    <x:row r="121">
      <x:c r="A121" s="33" t="n">
        <x:v>6004</x:v>
      </x:c>
      <x:c r="B121" s="32" t="str">
        <x:v>CONCRETE_LIGHTWEIGHT_25MPA</x:v>
      </x:c>
      <x:c r="C121" s="32" t="str">
        <x:v>Structural lightweight concrete, 25 MPa</x:v>
      </x:c>
      <x:c r="D121" s="32" t="str">
        <x:v>Construction material</x:v>
      </x:c>
      <x:c r="E121" s="32" t="str">
        <x:v>Concrete</x:v>
      </x:c>
      <x:c r="F121" s="32" t="str">
        <x:v>Lightweight 25 MPa nominal</x:v>
      </x:c>
      <x:c r="G121" s="32" t="str">
        <x:v>Cured, room-temperature screening</x:v>
      </x:c>
      <x:c r="H121" s="32" t="str">
        <x:v>Isotropic</x:v>
      </x:c>
      <x:c r="I121" s="34" t="n">
        <x:v>1850</x:v>
      </x:c>
      <x:c r="J121" s="35" t="n">
        <x:v>18</x:v>
      </x:c>
      <x:c r="K121" s="35" t="n">
        <x:v>0.2</x:v>
      </x:c>
      <x:c r="L121" s="40"/>
      <x:c r="M121" s="40"/>
      <x:c r="N121" s="39" t="n">
        <x:f>IF(L121&lt;&gt;"",L121,IF(H121&lt;&gt;"Isotropic","",IF(OR(J121="",K121=""),"",J121/(2*(1+K121)))))</x:f>
        <x:v>7.5</x:v>
      </x:c>
      <x:c r="O121" s="39" t="n">
        <x:f>IF(M121&lt;&gt;"",M121,IF(H121&lt;&gt;"Isotropic","",IF(OR(J121="",K121="",K121&gt;=0.5),"",J121/(3*(1-2*K121)))))</x:f>
        <x:v>10.000000000000002</x:v>
      </x:c>
      <x:c r="P121" s="35"/>
      <x:c r="Q121" s="35" t="n">
        <x:v>2.2</x:v>
      </x:c>
      <x:c r="R121" s="35" t="n">
        <x:v>25</x:v>
      </x:c>
      <x:c r="S121" s="35" t="n">
        <x:v>3</x:v>
      </x:c>
      <x:c r="T121" s="36" t="n">
        <x:v>0.0001</x:v>
      </x:c>
      <x:c r="U121" s="35" t="n">
        <x:v>0.25</x:v>
      </x:c>
      <x:c r="V121" s="35" t="n">
        <x:v>0.8</x:v>
      </x:c>
      <x:c r="W121" s="35" t="n">
        <x:v>900</x:v>
      </x:c>
      <x:c r="X121" s="35" t="n">
        <x:v>9</x:v>
      </x:c>
      <x:c r="Y121" s="37" t="n">
        <x:v>100</x:v>
      </x:c>
      <x:c r="Z121" s="38" t="n">
        <x:v>1100</x:v>
      </x:c>
      <x:c r="AA121" s="38" t="n">
        <x:v>250</x:v>
      </x:c>
      <x:c r="AB121" s="38"/>
      <x:c r="AC121" s="32" t="n">
        <x:v>8</x:v>
      </x:c>
      <x:c r="AD121" s="32" t="str">
        <x:v>Approximate</x:v>
      </x:c>
      <x:c r="AE121" s="8" t="str">
        <x:v>Density and aggregate type govern stiffness and thermal behavior.</x:v>
      </x:c>
      <x:c r="AF121" s="8" t="str">
        <x:f>IFERROR(VLOOKUP(AC121,'Sources'!$A$2:$E$12,5,FALSE),"")</x:f>
        <x:v>https://www.fhwa.dot.gov/publications/research/infrastructure/pavements/pccp/04127/appa.cfm</x:v>
      </x:c>
      <x:c r="AG121" s="32" t="b">
        <x:f>COUNTIF($A$2:$A$127,A121)&gt;1</x:f>
        <x:v>0</x:v>
      </x:c>
    </x:row>
    <x:row r="122">
      <x:c r="A122" s="33" t="n">
        <x:v>6005</x:v>
      </x:c>
      <x:c r="B122" s="32" t="str">
        <x:v>MASONRY_FIRED_CLAY_BRICK</x:v>
      </x:c>
      <x:c r="C122" s="32" t="str">
        <x:v>Fired clay brick</x:v>
      </x:c>
      <x:c r="D122" s="32" t="str">
        <x:v>Construction material</x:v>
      </x:c>
      <x:c r="E122" s="32" t="str">
        <x:v>Masonry</x:v>
      </x:c>
      <x:c r="F122" s="32" t="str">
        <x:v>Common fired clay brick</x:v>
      </x:c>
      <x:c r="G122" s="32" t="str">
        <x:v>Dry unit screening</x:v>
      </x:c>
      <x:c r="H122" s="32" t="str">
        <x:v>Isotropic</x:v>
      </x:c>
      <x:c r="I122" s="34" t="n">
        <x:v>1900</x:v>
      </x:c>
      <x:c r="J122" s="35" t="n">
        <x:v>15</x:v>
      </x:c>
      <x:c r="K122" s="35" t="n">
        <x:v>0.2</x:v>
      </x:c>
      <x:c r="L122" s="40"/>
      <x:c r="M122" s="40"/>
      <x:c r="N122" s="39" t="n">
        <x:f>IF(L122&lt;&gt;"",L122,IF(H122&lt;&gt;"Isotropic","",IF(OR(J122="",K122=""),"",J122/(2*(1+K122)))))</x:f>
        <x:v>6.25</x:v>
      </x:c>
      <x:c r="O122" s="39" t="n">
        <x:f>IF(M122&lt;&gt;"",M122,IF(H122&lt;&gt;"Isotropic","",IF(OR(J122="",K122="",K122&gt;=0.5),"",J122/(3*(1-2*K122)))))</x:f>
        <x:v>8.333333333333334</x:v>
      </x:c>
      <x:c r="P122" s="35"/>
      <x:c r="Q122" s="35" t="n">
        <x:v>3</x:v>
      </x:c>
      <x:c r="R122" s="35" t="n">
        <x:v>30</x:v>
      </x:c>
      <x:c r="S122" s="35" t="n">
        <x:v>8</x:v>
      </x:c>
      <x:c r="T122" s="36" t="n">
        <x:v>0.0002</x:v>
      </x:c>
      <x:c r="U122" s="35" t="n">
        <x:v>0.25</x:v>
      </x:c>
      <x:c r="V122" s="35" t="n">
        <x:v>0.7</x:v>
      </x:c>
      <x:c r="W122" s="35" t="n">
        <x:v>840</x:v>
      </x:c>
      <x:c r="X122" s="35" t="n">
        <x:v>6</x:v>
      </x:c>
      <x:c r="Y122" s="37" t="n">
        <x:v>100000000</x:v>
      </x:c>
      <x:c r="Z122" s="38" t="n">
        <x:v>1000</x:v>
      </x:c>
      <x:c r="AA122" s="38" t="n">
        <x:v>700</x:v>
      </x:c>
      <x:c r="AB122" s="38"/>
      <x:c r="AC122" s="32" t="n">
        <x:v>8</x:v>
      </x:c>
      <x:c r="AD122" s="32" t="str">
        <x:v>Approximate</x:v>
      </x:c>
      <x:c r="AE122" s="8" t="str">
        <x:v>Brick units vary widely; masonry assemblage properties also depend on mortar and workmanship.</x:v>
      </x:c>
      <x:c r="AF122" s="8" t="str">
        <x:f>IFERROR(VLOOKUP(AC122,'Sources'!$A$2:$E$12,5,FALSE),"")</x:f>
        <x:v>https://www.fhwa.dot.gov/publications/research/infrastructure/pavements/pccp/04127/appa.cfm</x:v>
      </x:c>
      <x:c r="AG122" s="32" t="b">
        <x:f>COUNTIF($A$2:$A$127,A122)&gt;1</x:f>
        <x:v>0</x:v>
      </x:c>
    </x:row>
    <x:row r="123">
      <x:c r="A123" s="33" t="n">
        <x:v>6006</x:v>
      </x:c>
      <x:c r="B123" s="32" t="str">
        <x:v>STONE_GRANITE</x:v>
      </x:c>
      <x:c r="C123" s="32" t="str">
        <x:v>Granite</x:v>
      </x:c>
      <x:c r="D123" s="32" t="str">
        <x:v>Construction material</x:v>
      </x:c>
      <x:c r="E123" s="32" t="str">
        <x:v>Natural stone</x:v>
      </x:c>
      <x:c r="F123" s="32" t="str">
        <x:v>Granite</x:v>
      </x:c>
      <x:c r="G123" s="32" t="str">
        <x:v>Dry, intact rock</x:v>
      </x:c>
      <x:c r="H123" s="32" t="str">
        <x:v>Isotropic</x:v>
      </x:c>
      <x:c r="I123" s="34" t="n">
        <x:v>2700</x:v>
      </x:c>
      <x:c r="J123" s="35" t="n">
        <x:v>55</x:v>
      </x:c>
      <x:c r="K123" s="35" t="n">
        <x:v>0.25</x:v>
      </x:c>
      <x:c r="L123" s="40"/>
      <x:c r="M123" s="40"/>
      <x:c r="N123" s="39" t="n">
        <x:f>IF(L123&lt;&gt;"",L123,IF(H123&lt;&gt;"Isotropic","",IF(OR(J123="",K123=""),"",J123/(2*(1+K123)))))</x:f>
        <x:v>22</x:v>
      </x:c>
      <x:c r="O123" s="39" t="n">
        <x:f>IF(M123&lt;&gt;"",M123,IF(H123&lt;&gt;"Isotropic","",IF(OR(J123="",K123="",K123&gt;=0.5),"",J123/(3*(1-2*K123)))))</x:f>
        <x:v>36.666666666666664</x:v>
      </x:c>
      <x:c r="P123" s="35"/>
      <x:c r="Q123" s="35" t="n">
        <x:v>8</x:v>
      </x:c>
      <x:c r="R123" s="35" t="n">
        <x:v>150</x:v>
      </x:c>
      <x:c r="S123" s="35" t="n">
        <x:v>15</x:v>
      </x:c>
      <x:c r="T123" s="36" t="n">
        <x:v>0.0005</x:v>
      </x:c>
      <x:c r="U123" s="35" t="n">
        <x:v>1.5</x:v>
      </x:c>
      <x:c r="V123" s="35" t="n">
        <x:v>2.8</x:v>
      </x:c>
      <x:c r="W123" s="35" t="n">
        <x:v>790</x:v>
      </x:c>
      <x:c r="X123" s="35" t="n">
        <x:v>7.5</x:v>
      </x:c>
      <x:c r="Y123" s="37" t="n">
        <x:v>100000000</x:v>
      </x:c>
      <x:c r="Z123" s="38" t="n">
        <x:v>1215</x:v>
      </x:c>
      <x:c r="AA123" s="38" t="n">
        <x:v>600</x:v>
      </x:c>
      <x:c r="AB123" s="38" t="n">
        <x:v>600</x:v>
      </x:c>
      <x:c r="AC123" s="32" t="n">
        <x:v>8</x:v>
      </x:c>
      <x:c r="AD123" s="32" t="str">
        <x:v>Approximate</x:v>
      </x:c>
      <x:c r="AE123" s="8" t="str">
        <x:v>Natural stone is variable and anisotropic; test project quarry material.</x:v>
      </x:c>
      <x:c r="AF123" s="8" t="str">
        <x:f>IFERROR(VLOOKUP(AC123,'Sources'!$A$2:$E$12,5,FALSE),"")</x:f>
        <x:v>https://www.fhwa.dot.gov/publications/research/infrastructure/pavements/pccp/04127/appa.cfm</x:v>
      </x:c>
      <x:c r="AG123" s="32" t="b">
        <x:f>COUNTIF($A$2:$A$127,A123)&gt;1</x:f>
        <x:v>0</x:v>
      </x:c>
    </x:row>
    <x:row r="124">
      <x:c r="A124" s="33" t="n">
        <x:v>6007</x:v>
      </x:c>
      <x:c r="B124" s="32" t="str">
        <x:v>STONE_LIMESTONE</x:v>
      </x:c>
      <x:c r="C124" s="32" t="str">
        <x:v>Limestone</x:v>
      </x:c>
      <x:c r="D124" s="32" t="str">
        <x:v>Construction material</x:v>
      </x:c>
      <x:c r="E124" s="32" t="str">
        <x:v>Natural stone</x:v>
      </x:c>
      <x:c r="F124" s="32" t="str">
        <x:v>Dense limestone</x:v>
      </x:c>
      <x:c r="G124" s="32" t="str">
        <x:v>Dry, intact rock</x:v>
      </x:c>
      <x:c r="H124" s="32" t="str">
        <x:v>Isotropic</x:v>
      </x:c>
      <x:c r="I124" s="34" t="n">
        <x:v>2600</x:v>
      </x:c>
      <x:c r="J124" s="35" t="n">
        <x:v>35</x:v>
      </x:c>
      <x:c r="K124" s="35" t="n">
        <x:v>0.25</x:v>
      </x:c>
      <x:c r="L124" s="40"/>
      <x:c r="M124" s="40"/>
      <x:c r="N124" s="39" t="n">
        <x:f>IF(L124&lt;&gt;"",L124,IF(H124&lt;&gt;"Isotropic","",IF(OR(J124="",K124=""),"",J124/(2*(1+K124)))))</x:f>
        <x:v>14</x:v>
      </x:c>
      <x:c r="O124" s="39" t="n">
        <x:f>IF(M124&lt;&gt;"",M124,IF(H124&lt;&gt;"Isotropic","",IF(OR(J124="",K124="",K124&gt;=0.5),"",J124/(3*(1-2*K124)))))</x:f>
        <x:v>23.333333333333332</x:v>
      </x:c>
      <x:c r="P124" s="35"/>
      <x:c r="Q124" s="35" t="n">
        <x:v>5</x:v>
      </x:c>
      <x:c r="R124" s="35" t="n">
        <x:v>80</x:v>
      </x:c>
      <x:c r="S124" s="35" t="n">
        <x:v>10</x:v>
      </x:c>
      <x:c r="T124" s="36" t="n">
        <x:v>0.0005</x:v>
      </x:c>
      <x:c r="U124" s="35" t="n">
        <x:v>0.8</x:v>
      </x:c>
      <x:c r="V124" s="35" t="n">
        <x:v>1.3</x:v>
      </x:c>
      <x:c r="W124" s="35" t="n">
        <x:v>900</x:v>
      </x:c>
      <x:c r="X124" s="35" t="n">
        <x:v>5</x:v>
      </x:c>
      <x:c r="Y124" s="37" t="n">
        <x:v>10000000</x:v>
      </x:c>
      <x:c r="Z124" s="38" t="n">
        <x:v>825</x:v>
      </x:c>
      <x:c r="AA124" s="38" t="n">
        <x:v>400</x:v>
      </x:c>
      <x:c r="AB124" s="38" t="n">
        <x:v>180</x:v>
      </x:c>
      <x:c r="AC124" s="32" t="n">
        <x:v>8</x:v>
      </x:c>
      <x:c r="AD124" s="32" t="str">
        <x:v>Approximate</x:v>
      </x:c>
      <x:c r="AE124" s="8" t="str">
        <x:v>Porosity and bedding cause wide variability.</x:v>
      </x:c>
      <x:c r="AF124" s="8" t="str">
        <x:f>IFERROR(VLOOKUP(AC124,'Sources'!$A$2:$E$12,5,FALSE),"")</x:f>
        <x:v>https://www.fhwa.dot.gov/publications/research/infrastructure/pavements/pccp/04127/appa.cfm</x:v>
      </x:c>
      <x:c r="AG124" s="32" t="b">
        <x:f>COUNTIF($A$2:$A$127,A124)&gt;1</x:f>
        <x:v>0</x:v>
      </x:c>
    </x:row>
    <x:row r="125">
      <x:c r="A125" s="33" t="n">
        <x:v>6008</x:v>
      </x:c>
      <x:c r="B125" s="32" t="str">
        <x:v>STONE_SANDSTONE</x:v>
      </x:c>
      <x:c r="C125" s="32" t="str">
        <x:v>Sandstone</x:v>
      </x:c>
      <x:c r="D125" s="32" t="str">
        <x:v>Construction material</x:v>
      </x:c>
      <x:c r="E125" s="32" t="str">
        <x:v>Natural stone</x:v>
      </x:c>
      <x:c r="F125" s="32" t="str">
        <x:v>Dense sandstone</x:v>
      </x:c>
      <x:c r="G125" s="32" t="str">
        <x:v>Dry, intact rock</x:v>
      </x:c>
      <x:c r="H125" s="32" t="str">
        <x:v>Isotropic</x:v>
      </x:c>
      <x:c r="I125" s="34" t="n">
        <x:v>2300</x:v>
      </x:c>
      <x:c r="J125" s="35" t="n">
        <x:v>20</x:v>
      </x:c>
      <x:c r="K125" s="35" t="n">
        <x:v>0.25</x:v>
      </x:c>
      <x:c r="L125" s="40"/>
      <x:c r="M125" s="40"/>
      <x:c r="N125" s="39" t="n">
        <x:f>IF(L125&lt;&gt;"",L125,IF(H125&lt;&gt;"Isotropic","",IF(OR(J125="",K125=""),"",J125/(2*(1+K125)))))</x:f>
        <x:v>8</x:v>
      </x:c>
      <x:c r="O125" s="39" t="n">
        <x:f>IF(M125&lt;&gt;"",M125,IF(H125&lt;&gt;"Isotropic","",IF(OR(J125="",K125="",K125&gt;=0.5),"",J125/(3*(1-2*K125)))))</x:f>
        <x:v>13.333333333333334</x:v>
      </x:c>
      <x:c r="P125" s="35"/>
      <x:c r="Q125" s="35" t="n">
        <x:v>4</x:v>
      </x:c>
      <x:c r="R125" s="35" t="n">
        <x:v>60</x:v>
      </x:c>
      <x:c r="S125" s="35" t="n">
        <x:v>8</x:v>
      </x:c>
      <x:c r="T125" s="36" t="n">
        <x:v>0.0005</x:v>
      </x:c>
      <x:c r="U125" s="35" t="n">
        <x:v>0.7</x:v>
      </x:c>
      <x:c r="V125" s="35" t="n">
        <x:v>2</x:v>
      </x:c>
      <x:c r="W125" s="35" t="n">
        <x:v>800</x:v>
      </x:c>
      <x:c r="X125" s="35" t="n">
        <x:v>8</x:v>
      </x:c>
      <x:c r="Y125" s="37" t="n">
        <x:v>100000000</x:v>
      </x:c>
      <x:c r="Z125" s="38" t="n">
        <x:v>1100</x:v>
      </x:c>
      <x:c r="AA125" s="38" t="n">
        <x:v>500</x:v>
      </x:c>
      <x:c r="AB125" s="38" t="n">
        <x:v>150</x:v>
      </x:c>
      <x:c r="AC125" s="32" t="n">
        <x:v>8</x:v>
      </x:c>
      <x:c r="AD125" s="32" t="str">
        <x:v>Approximate</x:v>
      </x:c>
      <x:c r="AE125" s="8" t="str">
        <x:v>Cementation, porosity and bedding govern properties.</x:v>
      </x:c>
      <x:c r="AF125" s="8" t="str">
        <x:f>IFERROR(VLOOKUP(AC125,'Sources'!$A$2:$E$12,5,FALSE),"")</x:f>
        <x:v>https://www.fhwa.dot.gov/publications/research/infrastructure/pavements/pccp/04127/appa.cfm</x:v>
      </x:c>
      <x:c r="AG125" s="32" t="b">
        <x:f>COUNTIF($A$2:$A$127,A125)&gt;1</x:f>
        <x:v>0</x:v>
      </x:c>
    </x:row>
    <x:row r="126">
      <x:c r="A126" s="33" t="n">
        <x:v>6009</x:v>
      </x:c>
      <x:c r="B126" s="32" t="str">
        <x:v>GYPSUM_BOARD</x:v>
      </x:c>
      <x:c r="C126" s="32" t="str">
        <x:v>Gypsum wallboard</x:v>
      </x:c>
      <x:c r="D126" s="32" t="str">
        <x:v>Construction material</x:v>
      </x:c>
      <x:c r="E126" s="32" t="str">
        <x:v>Gypsum product</x:v>
      </x:c>
      <x:c r="F126" s="32" t="str">
        <x:v>Regular gypsum board</x:v>
      </x:c>
      <x:c r="G126" s="32" t="str">
        <x:v>Dry board screening</x:v>
      </x:c>
      <x:c r="H126" s="32" t="str">
        <x:v>Orthotropic</x:v>
      </x:c>
      <x:c r="I126" s="34" t="n">
        <x:v>800</x:v>
      </x:c>
      <x:c r="J126" s="35" t="n">
        <x:v>2</x:v>
      </x:c>
      <x:c r="K126" s="35" t="n">
        <x:v>0.25</x:v>
      </x:c>
      <x:c r="L126" s="40" t="n">
        <x:v>0.8</x:v>
      </x:c>
      <x:c r="M126" s="40"/>
      <x:c r="N126" s="39" t="n">
        <x:f>IF(L126&lt;&gt;"",L126,IF(H126&lt;&gt;"Isotropic","",IF(OR(J126="",K126=""),"",J126/(2*(1+K126)))))</x:f>
        <x:v>0.8</x:v>
      </x:c>
      <x:c r="O126" s="39" t="str">
        <x:f>IF(M126&lt;&gt;"",M126,IF(H126&lt;&gt;"Isotropic","",IF(OR(J126="",K126="",K126&gt;=0.5),"",J126/(3*(1-2*K126)))))</x:f>
      </x:c>
      <x:c r="P126" s="35"/>
      <x:c r="Q126" s="35" t="n">
        <x:v>2</x:v>
      </x:c>
      <x:c r="R126" s="35" t="n">
        <x:v>8</x:v>
      </x:c>
      <x:c r="S126" s="35" t="n">
        <x:v>5</x:v>
      </x:c>
      <x:c r="T126" s="36" t="n">
        <x:v>0.002</x:v>
      </x:c>
      <x:c r="U126" s="35"/>
      <x:c r="V126" s="35" t="n">
        <x:v>0.17</x:v>
      </x:c>
      <x:c r="W126" s="35" t="n">
        <x:v>1090</x:v>
      </x:c>
      <x:c r="X126" s="35" t="n">
        <x:v>16</x:v>
      </x:c>
      <x:c r="Y126" s="37" t="n">
        <x:v>1000000000</x:v>
      </x:c>
      <x:c r="Z126" s="38" t="n">
        <x:v>150</x:v>
      </x:c>
      <x:c r="AA126" s="38" t="n">
        <x:v>50</x:v>
      </x:c>
      <x:c r="AB126" s="38"/>
      <x:c r="AC126" s="32" t="n">
        <x:v>8</x:v>
      </x:c>
      <x:c r="AD126" s="32" t="str">
        <x:v>Approximate</x:v>
      </x:c>
      <x:c r="AE126" s="8" t="str">
        <x:v>Facing, thickness, moisture and axis affect behavior; not a structural material.</x:v>
      </x:c>
      <x:c r="AF126" s="8" t="str">
        <x:f>IFERROR(VLOOKUP(AC126,'Sources'!$A$2:$E$12,5,FALSE),"")</x:f>
        <x:v>https://www.fhwa.dot.gov/publications/research/infrastructure/pavements/pccp/04127/appa.cfm</x:v>
      </x:c>
      <x:c r="AG126" s="32" t="b">
        <x:f>COUNTIF($A$2:$A$127,A126)&gt;1</x:f>
        <x:v>0</x:v>
      </x:c>
    </x:row>
    <x:row r="127">
      <x:c r="A127" s="33" t="n">
        <x:v>6010</x:v>
      </x:c>
      <x:c r="B127" s="32" t="str">
        <x:v>ASPHALT_CONCRETE</x:v>
      </x:c>
      <x:c r="C127" s="32" t="str">
        <x:v>Asphalt concrete</x:v>
      </x:c>
      <x:c r="D127" s="32" t="str">
        <x:v>Construction material</x:v>
      </x:c>
      <x:c r="E127" s="32" t="str">
        <x:v>Pavement material</x:v>
      </x:c>
      <x:c r="F127" s="32" t="str">
        <x:v>Dense-graded asphalt concrete</x:v>
      </x:c>
      <x:c r="G127" s="32" t="str">
        <x:v>20-25 C screening</x:v>
      </x:c>
      <x:c r="H127" s="32" t="str">
        <x:v>Viscoelastic</x:v>
      </x:c>
      <x:c r="I127" s="34" t="n">
        <x:v>2350</x:v>
      </x:c>
      <x:c r="J127" s="35" t="n">
        <x:v>3</x:v>
      </x:c>
      <x:c r="K127" s="35" t="n">
        <x:v>0.35</x:v>
      </x:c>
      <x:c r="L127" s="40" t="n">
        <x:v>1.1</x:v>
      </x:c>
      <x:c r="M127" s="40"/>
      <x:c r="N127" s="39" t="n">
        <x:f>IF(L127&lt;&gt;"",L127,IF(H127&lt;&gt;"Isotropic","",IF(OR(J127="",K127=""),"",J127/(2*(1+K127)))))</x:f>
        <x:v>1.1</x:v>
      </x:c>
      <x:c r="O127" s="39" t="str">
        <x:f>IF(M127&lt;&gt;"",M127,IF(H127&lt;&gt;"Isotropic","",IF(OR(J127="",K127="",K127&gt;=0.5),"",J127/(3*(1-2*K127)))))</x:f>
      </x:c>
      <x:c r="P127" s="35"/>
      <x:c r="Q127" s="35" t="n">
        <x:v>2</x:v>
      </x:c>
      <x:c r="R127" s="35" t="n">
        <x:v>10</x:v>
      </x:c>
      <x:c r="S127" s="35" t="n">
        <x:v>5</x:v>
      </x:c>
      <x:c r="T127" s="36" t="n">
        <x:v>0.01</x:v>
      </x:c>
      <x:c r="U127" s="35"/>
      <x:c r="V127" s="35" t="n">
        <x:v>0.75</x:v>
      </x:c>
      <x:c r="W127" s="35" t="n">
        <x:v>920</x:v>
      </x:c>
      <x:c r="X127" s="35" t="n">
        <x:v>25</x:v>
      </x:c>
      <x:c r="Y127" s="37" t="n">
        <x:v>10000000000</x:v>
      </x:c>
      <x:c r="Z127" s="38" t="n">
        <x:v>160</x:v>
      </x:c>
      <x:c r="AA127" s="38" t="n">
        <x:v>70</x:v>
      </x:c>
      <x:c r="AB127" s="38"/>
      <x:c r="AC127" s="32" t="n">
        <x:v>8</x:v>
      </x:c>
      <x:c r="AD127" s="32" t="str">
        <x:v>Approximate</x:v>
      </x:c>
      <x:c r="AE127" s="8" t="str">
        <x:v>Modulus varies by orders of magnitude with temperature and loading frequency.</x:v>
      </x:c>
      <x:c r="AF127" s="8" t="str">
        <x:f>IFERROR(VLOOKUP(AC127,'Sources'!$A$2:$E$12,5,FALSE),"")</x:f>
        <x:v>https://www.fhwa.dot.gov/publications/research/infrastructure/pavements/pccp/04127/appa.cfm</x:v>
      </x:c>
      <x:c r="AG127" s="32" t="b">
        <x:f>COUNTIF($A$2:$A$127,A127)&gt;1</x:f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c41f6bba63e4a9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32" hidden="0" customWidth="1"/>
    <x:col min="4" max="4" width="18" hidden="0" customWidth="1"/>
    <x:col min="5" max="5" width="36" hidden="0" customWidth="1"/>
    <x:col min="6" max="6" width="72" hidden="0" customWidth="1"/>
    <x:col min="7" max="7" width="40" hidden="0" customWidth="1"/>
  </x:cols>
  <x:sheetData>
    <x:row r="1" ht="34" customHeight="1">
      <x:c r="A1" s="30" t="str">
        <x:v>Property_ID</x:v>
      </x:c>
      <x:c r="B1" s="30" t="str">
        <x:v>CPD_Constant</x:v>
      </x:c>
      <x:c r="C1" s="30" t="str">
        <x:v>Property_Name</x:v>
      </x:c>
      <x:c r="D1" s="30" t="str">
        <x:v>Unit</x:v>
      </x:c>
      <x:c r="E1" s="30" t="str">
        <x:v>CPD_Export_Header</x:v>
      </x:c>
      <x:c r="F1" s="30" t="str">
        <x:v>Definition</x:v>
      </x:c>
      <x:c r="G1" s="30" t="str">
        <x:v>Missing_Value_Behavior</x:v>
      </x:c>
    </x:row>
    <x:row r="2">
      <x:c r="A2" t="n">
        <x:v>1</x:v>
      </x:c>
      <x:c r="B2" t="str">
        <x:v>MAT_P_DENSITY</x:v>
      </x:c>
      <x:c r="C2" t="str">
        <x:v>Density</x:v>
      </x:c>
      <x:c r="D2" t="str">
        <x:v>kg/m^3</x:v>
      </x:c>
      <x:c r="E2" t="str">
        <x:v>P01_Density_kg_m3</x:v>
      </x:c>
      <x:c r="F2" s="7" t="str">
        <x:v>Nominal mass density.</x:v>
      </x:c>
      <x:c r="G2" s="7" t="str">
        <x:v>Returns DB_ERR_MISSING status and NaN value</x:v>
      </x:c>
    </x:row>
    <x:row r="3">
      <x:c r="A3" t="n">
        <x:v>2</x:v>
      </x:c>
      <x:c r="B3" t="str">
        <x:v>MAT_P_YOUNGS_MODULUS</x:v>
      </x:c>
      <x:c r="C3" t="str">
        <x:v>Young's modulus</x:v>
      </x:c>
      <x:c r="D3" t="str">
        <x:v>GPa</x:v>
      </x:c>
      <x:c r="E3" t="str">
        <x:v>P02_Youngs_Modulus_GPa</x:v>
      </x:c>
      <x:c r="F3" s="7" t="str">
        <x:v>Tensile elastic modulus; principal/longitudinal value where noted.</x:v>
      </x:c>
      <x:c r="G3" s="7" t="str">
        <x:v>Returns DB_ERR_MISSING status and NaN value</x:v>
      </x:c>
    </x:row>
    <x:row r="4">
      <x:c r="A4" t="n">
        <x:v>3</x:v>
      </x:c>
      <x:c r="B4" t="str">
        <x:v>MAT_P_SHEAR_MODULUS</x:v>
      </x:c>
      <x:c r="C4" t="str">
        <x:v>Shear modulus</x:v>
      </x:c>
      <x:c r="D4" t="str">
        <x:v>GPa</x:v>
      </x:c>
      <x:c r="E4" t="str">
        <x:v>P03_Shear_Modulus_GPa</x:v>
      </x:c>
      <x:c r="F4" s="7" t="str">
        <x:v>Derived from E and Poisson ratio for isotropic rows unless overridden.</x:v>
      </x:c>
      <x:c r="G4" s="7" t="str">
        <x:v>Returns DB_ERR_MISSING status and NaN value</x:v>
      </x:c>
    </x:row>
    <x:row r="5">
      <x:c r="A5" t="n">
        <x:v>4</x:v>
      </x:c>
      <x:c r="B5" t="str">
        <x:v>MAT_P_POISSON_RATIO</x:v>
      </x:c>
      <x:c r="C5" t="str">
        <x:v>Poisson ratio</x:v>
      </x:c>
      <x:c r="D5" t="str">
        <x:v>1</x:v>
      </x:c>
      <x:c r="E5" t="str">
        <x:v>P04_Poisson_Ratio</x:v>
      </x:c>
      <x:c r="F5" s="7" t="str">
        <x:v>Nominal elastic Poisson ratio.</x:v>
      </x:c>
      <x:c r="G5" s="7" t="str">
        <x:v>Returns DB_ERR_MISSING status and NaN value</x:v>
      </x:c>
    </x:row>
    <x:row r="6">
      <x:c r="A6" t="n">
        <x:v>5</x:v>
      </x:c>
      <x:c r="B6" t="str">
        <x:v>MAT_P_YIELD_STRENGTH</x:v>
      </x:c>
      <x:c r="C6" t="str">
        <x:v>Tensile yield strength</x:v>
      </x:c>
      <x:c r="D6" t="str">
        <x:v>MPa</x:v>
      </x:c>
      <x:c r="E6" t="str">
        <x:v>P05_Yield_Strength_MPa</x:v>
      </x:c>
      <x:c r="F6" s="7" t="str">
        <x:v>Typical tensile yield strength or proof stress; not a design allowable.</x:v>
      </x:c>
      <x:c r="G6" s="7" t="str">
        <x:v>Returns DB_ERR_MISSING status and NaN value</x:v>
      </x:c>
    </x:row>
    <x:row r="7">
      <x:c r="A7" t="n">
        <x:v>6</x:v>
      </x:c>
      <x:c r="B7" t="str">
        <x:v>MAT_P_TENSILE_STRENGTH</x:v>
      </x:c>
      <x:c r="C7" t="str">
        <x:v>Ultimate tensile strength</x:v>
      </x:c>
      <x:c r="D7" t="str">
        <x:v>MPa</x:v>
      </x:c>
      <x:c r="E7" t="str">
        <x:v>P06_Tensile_Strength_MPa</x:v>
      </x:c>
      <x:c r="F7" s="7" t="str">
        <x:v>Typical ultimate tensile strength; direction noted for anisotropic materials.</x:v>
      </x:c>
      <x:c r="G7" s="7" t="str">
        <x:v>Returns DB_ERR_MISSING status and NaN value</x:v>
      </x:c>
    </x:row>
    <x:row r="8">
      <x:c r="A8" t="n">
        <x:v>7</x:v>
      </x:c>
      <x:c r="B8" t="str">
        <x:v>MAT_P_COMPRESSIVE_STRENGTH</x:v>
      </x:c>
      <x:c r="C8" t="str">
        <x:v>Compressive strength</x:v>
      </x:c>
      <x:c r="D8" t="str">
        <x:v>MPa</x:v>
      </x:c>
      <x:c r="E8" t="str">
        <x:v>P07_Compressive_Strength_MPa</x:v>
      </x:c>
      <x:c r="F8" s="7" t="str">
        <x:v>Typical crushing/compressive strength where meaningful.</x:v>
      </x:c>
      <x:c r="G8" s="7" t="str">
        <x:v>Returns DB_ERR_MISSING status and NaN value</x:v>
      </x:c>
    </x:row>
    <x:row r="9">
      <x:c r="A9" t="n">
        <x:v>8</x:v>
      </x:c>
      <x:c r="B9" t="str">
        <x:v>MAT_P_FLEXURAL_STRENGTH</x:v>
      </x:c>
      <x:c r="C9" t="str">
        <x:v>Flexural strength</x:v>
      </x:c>
      <x:c r="D9" t="str">
        <x:v>MPa</x:v>
      </x:c>
      <x:c r="E9" t="str">
        <x:v>P08_Flexural_Strength_MPa</x:v>
      </x:c>
      <x:c r="F9" s="7" t="str">
        <x:v>Typical modulus of rupture/flexural strength.</x:v>
      </x:c>
      <x:c r="G9" s="7" t="str">
        <x:v>Returns DB_ERR_MISSING status and NaN value</x:v>
      </x:c>
    </x:row>
    <x:row r="10">
      <x:c r="A10" t="n">
        <x:v>9</x:v>
      </x:c>
      <x:c r="B10" t="str">
        <x:v>MAT_P_ELONGATION</x:v>
      </x:c>
      <x:c r="C10" t="str">
        <x:v>Elongation at break</x:v>
      </x:c>
      <x:c r="D10" t="str">
        <x:v>fraction</x:v>
      </x:c>
      <x:c r="E10" t="str">
        <x:v>P09_Elongation_Fraction</x:v>
      </x:c>
      <x:c r="F10" s="7" t="str">
        <x:v>Engineering strain at break as a fraction (0.12 = 12%).</x:v>
      </x:c>
      <x:c r="G10" s="7" t="str">
        <x:v>Returns DB_ERR_MISSING status and NaN value</x:v>
      </x:c>
    </x:row>
    <x:row r="11">
      <x:c r="A11" t="n">
        <x:v>10</x:v>
      </x:c>
      <x:c r="B11" t="str">
        <x:v>MAT_P_FRACTURE_TOUGHNESS</x:v>
      </x:c>
      <x:c r="C11" t="str">
        <x:v>Fracture toughness</x:v>
      </x:c>
      <x:c r="D11" t="str">
        <x:v>MPa*m^0.5</x:v>
      </x:c>
      <x:c r="E11" t="str">
        <x:v>P10_Fracture_Toughness_MPa_sqrt_m</x:v>
      </x:c>
      <x:c r="F11" s="7" t="str">
        <x:v>Representative mode-I fracture toughness where available.</x:v>
      </x:c>
      <x:c r="G11" s="7" t="str">
        <x:v>Returns DB_ERR_MISSING status and NaN value</x:v>
      </x:c>
    </x:row>
    <x:row r="12">
      <x:c r="A12" t="n">
        <x:v>11</x:v>
      </x:c>
      <x:c r="B12" t="str">
        <x:v>MAT_P_THERMAL_CONDUCTIVITY</x:v>
      </x:c>
      <x:c r="C12" t="str">
        <x:v>Thermal conductivity</x:v>
      </x:c>
      <x:c r="D12" t="str">
        <x:v>W/(m*K)</x:v>
      </x:c>
      <x:c r="E12" t="str">
        <x:v>P11_Thermal_Conductivity_W_mK</x:v>
      </x:c>
      <x:c r="F12" s="7" t="str">
        <x:v>Nominal conductivity near room temperature.</x:v>
      </x:c>
      <x:c r="G12" s="7" t="str">
        <x:v>Returns DB_ERR_MISSING status and NaN value</x:v>
      </x:c>
    </x:row>
    <x:row r="13">
      <x:c r="A13" t="n">
        <x:v>12</x:v>
      </x:c>
      <x:c r="B13" t="str">
        <x:v>MAT_P_SPECIFIC_HEAT</x:v>
      </x:c>
      <x:c r="C13" t="str">
        <x:v>Specific heat</x:v>
      </x:c>
      <x:c r="D13" t="str">
        <x:v>J/(kg*K)</x:v>
      </x:c>
      <x:c r="E13" t="str">
        <x:v>P12_Specific_Heat_J_kgK</x:v>
      </x:c>
      <x:c r="F13" s="7" t="str">
        <x:v>Nominal specific heat capacity near room temperature.</x:v>
      </x:c>
      <x:c r="G13" s="7" t="str">
        <x:v>Returns DB_ERR_MISSING status and NaN value</x:v>
      </x:c>
    </x:row>
    <x:row r="14">
      <x:c r="A14" t="n">
        <x:v>13</x:v>
      </x:c>
      <x:c r="B14" t="str">
        <x:v>MAT_P_CTE</x:v>
      </x:c>
      <x:c r="C14" t="str">
        <x:v>Coefficient of thermal expansion</x:v>
      </x:c>
      <x:c r="D14" t="str">
        <x:v>um/(m*K)</x:v>
      </x:c>
      <x:c r="E14" t="str">
        <x:v>P13_CTE_um_mK</x:v>
      </x:c>
      <x:c r="F14" s="7" t="str">
        <x:v>Linear coefficient of thermal expansion in micrometres per metre-kelvin.</x:v>
      </x:c>
      <x:c r="G14" s="7" t="str">
        <x:v>Returns DB_ERR_MISSING status and NaN value</x:v>
      </x:c>
    </x:row>
    <x:row r="15">
      <x:c r="A15" t="n">
        <x:v>14</x:v>
      </x:c>
      <x:c r="B15" t="str">
        <x:v>MAT_P_ELECTRICAL_RESISTIVITY</x:v>
      </x:c>
      <x:c r="C15" t="str">
        <x:v>Electrical resistivity</x:v>
      </x:c>
      <x:c r="D15" t="str">
        <x:v>ohm*m</x:v>
      </x:c>
      <x:c r="E15" t="str">
        <x:v>P14_Electrical_Resistivity_ohm_m</x:v>
      </x:c>
      <x:c r="F15" s="7" t="str">
        <x:v>Representative volume resistivity near room temperature.</x:v>
      </x:c>
      <x:c r="G15" s="7" t="str">
        <x:v>Returns DB_ERR_MISSING status and NaN value</x:v>
      </x:c>
    </x:row>
    <x:row r="16">
      <x:c r="A16" t="n">
        <x:v>15</x:v>
      </x:c>
      <x:c r="B16" t="str">
        <x:v>MAT_P_TRANSITION_TEMPERATURE</x:v>
      </x:c>
      <x:c r="C16" t="str">
        <x:v>Primary transition temperature</x:v>
      </x:c>
      <x:c r="D16" t="str">
        <x:v>degC</x:v>
      </x:c>
      <x:c r="E16" t="str">
        <x:v>P15_Transition_Temperature_C</x:v>
      </x:c>
      <x:c r="F16" s="7" t="str">
        <x:v>Melting point/range for metals and semicrystalline materials; glass transition or softening point for amorphous materials, as noted.</x:v>
      </x:c>
      <x:c r="G16" s="7" t="str">
        <x:v>Returns DB_ERR_MISSING status and NaN value</x:v>
      </x:c>
    </x:row>
    <x:row r="17">
      <x:c r="A17" t="n">
        <x:v>16</x:v>
      </x:c>
      <x:c r="B17" t="str">
        <x:v>MAT_P_MAX_SERVICE_TEMPERATURE</x:v>
      </x:c>
      <x:c r="C17" t="str">
        <x:v>Indicative maximum service temperature</x:v>
      </x:c>
      <x:c r="D17" t="str">
        <x:v>degC</x:v>
      </x:c>
      <x:c r="E17" t="str">
        <x:v>P16_Max_Service_Temperature_C</x:v>
      </x:c>
      <x:c r="F17" s="7" t="str">
        <x:v>Screening value only; loading, environment and duration can reduce it substantially.</x:v>
      </x:c>
      <x:c r="G17" s="7" t="str">
        <x:v>Returns DB_ERR_MISSING status and NaN value</x:v>
      </x:c>
    </x:row>
    <x:row r="18">
      <x:c r="A18" t="n">
        <x:v>17</x:v>
      </x:c>
      <x:c r="B18" t="str">
        <x:v>MAT_P_HARDNESS_VICKERS</x:v>
      </x:c>
      <x:c r="C18" t="str">
        <x:v>Vickers hardness</x:v>
      </x:c>
      <x:c r="D18" t="str">
        <x:v>HV</x:v>
      </x:c>
      <x:c r="E18" t="str">
        <x:v>P17_Hardness_HV</x:v>
      </x:c>
      <x:c r="F18" s="7" t="str">
        <x:v>Representative Vickers hardness; blank where another hardness scale is customary.</x:v>
      </x:c>
      <x:c r="G18" s="7" t="str">
        <x:v>Returns DB_ERR_MISSING status and NaN value</x:v>
      </x:c>
    </x:row>
    <x:row r="19">
      <x:c r="A19" t="n">
        <x:v>18</x:v>
      </x:c>
      <x:c r="B19" t="str">
        <x:v>MAT_P_BULK_MODULUS</x:v>
      </x:c>
      <x:c r="C19" t="str">
        <x:v>Bulk modulus</x:v>
      </x:c>
      <x:c r="D19" t="str">
        <x:v>GPa</x:v>
      </x:c>
      <x:c r="E19" t="str">
        <x:v>P18_Bulk_Modulus_GPa</x:v>
      </x:c>
      <x:c r="F19" s="7" t="str">
        <x:v>Derived from E and Poisson ratio for isotropic rows unless overridden.</x:v>
      </x:c>
      <x:c r="G19" s="7" t="str">
        <x:v>Returns DB_ERR_MISSING status and NaN value</x:v>
      </x:c>
    </x:row>
  </x:sheetData>
  <x:pageMargins left="0.7" right="0.7" top="0.75" bottom="0.75" header="0.3" footer="0.3"/>
  <x:tableParts count="1">
    <x:tablePart xmlns:r="http://schemas.openxmlformats.org/officeDocument/2006/relationships" r:id="R1def2fd70f3f453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6" hidden="0" customWidth="1"/>
    <x:col min="3" max="3" width="38" hidden="0" customWidth="1"/>
    <x:col min="4" max="4" width="48" hidden="0" customWidth="1"/>
    <x:col min="5" max="5" width="52" hidden="0" customWidth="1"/>
  </x:cols>
  <x:sheetData>
    <x:row r="1" ht="34" customHeight="1">
      <x:c r="A1" s="30" t="str">
        <x:v>Source_ID</x:v>
      </x:c>
      <x:c r="B1" s="30" t="str">
        <x:v>Source_Name</x:v>
      </x:c>
      <x:c r="C1" s="30" t="str">
        <x:v>Coverage</x:v>
      </x:c>
      <x:c r="D1" s="30" t="str">
        <x:v>Use_in_Library</x:v>
      </x:c>
      <x:c r="E1" s="30" t="str">
        <x:v>URL</x:v>
      </x:c>
    </x:row>
    <x:row r="2">
      <x:c r="A2" t="n">
        <x:v>1</x:v>
      </x:c>
      <x:c r="B2" s="7" t="str">
        <x:v>MatWeb public materials database</x:v>
      </x:c>
      <x:c r="C2" s="7" t="str">
        <x:v>Metals and general engineering materials</x:v>
      </x:c>
      <x:c r="D2" s="7" t="str">
        <x:v>Representative room-temperature values; cross-check portal</x:v>
      </x:c>
      <x:c r="E2" s="7" t="str">
        <x:v>https://www.matweb.com/search/MaterialGroupSearch.aspx</x:v>
      </x:c>
    </x:row>
    <x:row r="3">
      <x:c r="A3" t="n">
        <x:v>2</x:v>
      </x:c>
      <x:c r="B3" s="7" t="str">
        <x:v>Outokumpu stainless steel grades</x:v>
      </x:c>
      <x:c r="C3" s="7" t="str">
        <x:v>Stainless and duplex stainless steels</x:v>
      </x:c>
      <x:c r="D3" s="7" t="str">
        <x:v>Producer grade descriptions and typical data</x:v>
      </x:c>
      <x:c r="E3" s="7" t="str">
        <x:v>https://www.outokumpu.com/en/products/stainless-steel/grades</x:v>
      </x:c>
    </x:row>
    <x:row r="4">
      <x:c r="A4" t="n">
        <x:v>3</x:v>
      </x:c>
      <x:c r="B4" s="7" t="str">
        <x:v>Copper Development Association alloy database</x:v>
      </x:c>
      <x:c r="C4" s="7" t="str">
        <x:v>Copper, brass, bronze and copper-nickel alloys</x:v>
      </x:c>
      <x:c r="D4" s="7" t="str">
        <x:v>Industry association alloy property reference</x:v>
      </x:c>
      <x:c r="E4" s="7" t="str">
        <x:v>https://www.copper.org/resources/properties/db/</x:v>
      </x:c>
    </x:row>
    <x:row r="5">
      <x:c r="A5" t="n">
        <x:v>4</x:v>
      </x:c>
      <x:c r="B5" s="7" t="str">
        <x:v>Special Metals product literature</x:v>
      </x:c>
      <x:c r="C5" s="7" t="str">
        <x:v>Nickel, nickel-copper and nickel-chromium alloys</x:v>
      </x:c>
      <x:c r="D5" s="7" t="str">
        <x:v>Producer technical literature</x:v>
      </x:c>
      <x:c r="E5" s="7" t="str">
        <x:v>https://www.specialmetals.com/documents/</x:v>
      </x:c>
    </x:row>
    <x:row r="6">
      <x:c r="A6" t="n">
        <x:v>5</x:v>
      </x:c>
      <x:c r="B6" s="7" t="str">
        <x:v>CAMPUS plastics database</x:v>
      </x:c>
      <x:c r="C6" s="7" t="str">
        <x:v>Thermoplastics and thermoset molding materials</x:v>
      </x:c>
      <x:c r="D6" s="7" t="str">
        <x:v>ISO 10350/11403-oriented plastics data portal</x:v>
      </x:c>
      <x:c r="E6" s="7" t="str">
        <x:v>https://www.campusplastics.com/</x:v>
      </x:c>
    </x:row>
    <x:row r="7">
      <x:c r="A7" t="n">
        <x:v>6</x:v>
      </x:c>
      <x:c r="B7" s="7" t="str">
        <x:v>NIST Structural Ceramics Database</x:v>
      </x:c>
      <x:c r="C7" s="7" t="str">
        <x:v>Advanced ceramics</x:v>
      </x:c>
      <x:c r="D7" s="7" t="str">
        <x:v>Evaluated and typical structural ceramic property records</x:v>
      </x:c>
      <x:c r="E7" s="7" t="str">
        <x:v>https://srdata.nist.gov/CeramicDataPortal/scd</x:v>
      </x:c>
    </x:row>
    <x:row r="8">
      <x:c r="A8" t="n">
        <x:v>7</x:v>
      </x:c>
      <x:c r="B8" s="7" t="str">
        <x:v>USDA Wood Handbook: Wood as an Engineering Material</x:v>
      </x:c>
      <x:c r="C8" s="7" t="str">
        <x:v>Wood and wood-based products</x:v>
      </x:c>
      <x:c r="D8" s="7" t="str">
        <x:v>Reference properties and variability guidance</x:v>
      </x:c>
      <x:c r="E8" s="7" t="str">
        <x:v>https://research.fs.usda.gov/fpl/wood-handbook</x:v>
      </x:c>
    </x:row>
    <x:row r="9">
      <x:c r="A9" t="n">
        <x:v>8</x:v>
      </x:c>
      <x:c r="B9" s="7" t="str">
        <x:v>FHWA PCC pavement materials reference</x:v>
      </x:c>
      <x:c r="C9" s="7" t="str">
        <x:v>Concrete and cementitious construction materials</x:v>
      </x:c>
      <x:c r="D9" s="7" t="str">
        <x:v>Mechanical and thermal property context</x:v>
      </x:c>
      <x:c r="E9" s="7" t="str">
        <x:v>https://www.fhwa.dot.gov/publications/research/infrastructure/pavements/pccp/04127/appa.cfm</x:v>
      </x:c>
    </x:row>
    <x:row r="10">
      <x:c r="A10" t="n">
        <x:v>9</x:v>
      </x:c>
      <x:c r="B10" s="7" t="str">
        <x:v>Hexcel product data sheets</x:v>
      </x:c>
      <x:c r="C10" s="7" t="str">
        <x:v>Carbon, glass and aramid composites</x:v>
      </x:c>
      <x:c r="D10" s="7" t="str">
        <x:v>Manufacturer composite and reinforcement data</x:v>
      </x:c>
      <x:c r="E10" s="7" t="str">
        <x:v>https://www.hexcel.com/Resources/DataSheets/</x:v>
      </x:c>
    </x:row>
    <x:row r="11">
      <x:c r="A11" t="n">
        <x:v>10</x:v>
      </x:c>
      <x:c r="B11" s="7" t="str">
        <x:v>The Aluminum Association alloy overview</x:v>
      </x:c>
      <x:c r="C11" s="7" t="str">
        <x:v>Aluminum alloys</x:v>
      </x:c>
      <x:c r="D11" s="7" t="str">
        <x:v>Industry alloy designation and application context</x:v>
      </x:c>
      <x:c r="E11" s="7" t="str">
        <x:v>https://www.aluminum.org/industry-standards/aluminum-alloys-101</x:v>
      </x:c>
    </x:row>
    <x:row r="12">
      <x:c r="A12" t="n">
        <x:v>11</x:v>
      </x:c>
      <x:c r="B12" s="7" t="str">
        <x:v>NIST TPSX Materials Properties Database</x:v>
      </x:c>
      <x:c r="C12" s="7" t="str">
        <x:v>Thermal-protection and high-temperature materials</x:v>
      </x:c>
      <x:c r="D12" s="7" t="str">
        <x:v>Thermal property reference and comparison</x:v>
      </x:c>
      <x:c r="E12" s="7" t="str">
        <x:v>https://tpsx.arc.nasa.gov/</x:v>
      </x:c>
    </x:row>
  </x:sheetData>
  <x:pageMargins left="0.7" right="0.7" top="0.75" bottom="0.75" header="0.3" footer="0.3"/>
  <x:tableParts count="1">
    <x:tablePart xmlns:r="http://schemas.openxmlformats.org/officeDocument/2006/relationships" r:id="Rc30e301ff783441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</x:cols>
  <x:sheetData>
    <x:row r="1" ht="48" customHeight="1">
      <x:c r="A1" s="30" t="str">
        <x:v>Material_ID</x:v>
      </x:c>
      <x:c r="B1" s="30" t="str">
        <x:v>P01_Density_kg_m3</x:v>
      </x:c>
      <x:c r="C1" s="30" t="str">
        <x:v>P02_Youngs_Modulus_GPa</x:v>
      </x:c>
      <x:c r="D1" s="30" t="str">
        <x:v>P03_Shear_Modulus_GPa</x:v>
      </x:c>
      <x:c r="E1" s="30" t="str">
        <x:v>P04_Poisson_Ratio</x:v>
      </x:c>
      <x:c r="F1" s="30" t="str">
        <x:v>P05_Yield_Strength_MPa</x:v>
      </x:c>
      <x:c r="G1" s="30" t="str">
        <x:v>P06_Tensile_Strength_MPa</x:v>
      </x:c>
      <x:c r="H1" s="30" t="str">
        <x:v>P07_Compressive_Strength_MPa</x:v>
      </x:c>
      <x:c r="I1" s="30" t="str">
        <x:v>P08_Flexural_Strength_MPa</x:v>
      </x:c>
      <x:c r="J1" s="30" t="str">
        <x:v>P09_Elongation_Fraction</x:v>
      </x:c>
      <x:c r="K1" s="30" t="str">
        <x:v>P10_Fracture_Toughness_MPa_sqrt_m</x:v>
      </x:c>
      <x:c r="L1" s="30" t="str">
        <x:v>P11_Thermal_Conductivity_W_mK</x:v>
      </x:c>
      <x:c r="M1" s="30" t="str">
        <x:v>P12_Specific_Heat_J_kgK</x:v>
      </x:c>
      <x:c r="N1" s="30" t="str">
        <x:v>P13_CTE_um_mK</x:v>
      </x:c>
      <x:c r="O1" s="30" t="str">
        <x:v>P14_Electrical_Resistivity_ohm_m</x:v>
      </x:c>
      <x:c r="P1" s="30" t="str">
        <x:v>P15_Transition_Temperature_C</x:v>
      </x:c>
      <x:c r="Q1" s="30" t="str">
        <x:v>P16_Max_Service_Temperature_C</x:v>
      </x:c>
      <x:c r="R1" s="30" t="str">
        <x:v>P17_Hardness_HV</x:v>
      </x:c>
      <x:c r="S1" s="30" t="str">
        <x:v>P18_Bulk_Modulus_GPa</x:v>
      </x:c>
    </x:row>
    <x:row r="2">
      <x:c r="A2" s="42" t="n">
        <x:f>'Materials'!A2</x:f>
        <x:v>1001</x:v>
      </x:c>
      <x:c r="B2" s="41" t="n">
        <x:f>IF('Materials'!I2="","",'Materials'!I2)</x:f>
        <x:v>7850</x:v>
      </x:c>
      <x:c r="C2" s="41" t="n">
        <x:f>IF('Materials'!J2="","",'Materials'!J2)</x:f>
        <x:v>200</x:v>
      </x:c>
      <x:c r="D2" s="41" t="n">
        <x:f>IF('Materials'!N2="","",'Materials'!N2)</x:f>
        <x:v>77.51937984496124</x:v>
      </x:c>
      <x:c r="E2" s="41" t="n">
        <x:f>IF('Materials'!K2="","",'Materials'!K2)</x:f>
        <x:v>0.29</x:v>
      </x:c>
      <x:c r="F2" s="41" t="n">
        <x:f>IF('Materials'!P2="","",'Materials'!P2)</x:f>
        <x:v>250</x:v>
      </x:c>
      <x:c r="G2" s="41" t="n">
        <x:f>IF('Materials'!Q2="","",'Materials'!Q2)</x:f>
        <x:v>400</x:v>
      </x:c>
      <x:c r="H2" s="41" t="str">
        <x:f>IF('Materials'!R2="","",'Materials'!R2)</x:f>
      </x:c>
      <x:c r="I2" s="41" t="str">
        <x:f>IF('Materials'!S2="","",'Materials'!S2)</x:f>
      </x:c>
      <x:c r="J2" s="41" t="n">
        <x:f>IF('Materials'!T2="","",'Materials'!T2)</x:f>
        <x:v>0.2</x:v>
      </x:c>
      <x:c r="K2" s="41" t="n">
        <x:f>IF('Materials'!U2="","",'Materials'!U2)</x:f>
        <x:v>50</x:v>
      </x:c>
      <x:c r="L2" s="41" t="n">
        <x:f>IF('Materials'!V2="","",'Materials'!V2)</x:f>
        <x:v>50</x:v>
      </x:c>
      <x:c r="M2" s="41" t="n">
        <x:f>IF('Materials'!W2="","",'Materials'!W2)</x:f>
        <x:v>486</x:v>
      </x:c>
      <x:c r="N2" s="41" t="n">
        <x:f>IF('Materials'!X2="","",'Materials'!X2)</x:f>
        <x:v>11.7</x:v>
      </x:c>
      <x:c r="O2" s="43" t="n">
        <x:f>IF('Materials'!Y2="","",'Materials'!Y2)</x:f>
        <x:v>1.43e-7</x:v>
      </x:c>
      <x:c r="P2" s="41" t="n">
        <x:f>IF('Materials'!Z2="","",'Materials'!Z2)</x:f>
        <x:v>1450</x:v>
      </x:c>
      <x:c r="Q2" s="41" t="n">
        <x:f>IF('Materials'!AA2="","",'Materials'!AA2)</x:f>
        <x:v>425</x:v>
      </x:c>
      <x:c r="R2" s="41" t="n">
        <x:f>IF('Materials'!AB2="","",'Materials'!AB2)</x:f>
        <x:v>120</x:v>
      </x:c>
      <x:c r="S2" s="41" t="n">
        <x:f>IF('Materials'!O2="","",'Materials'!O2)</x:f>
        <x:v>158.7301587301587</x:v>
      </x:c>
    </x:row>
    <x:row r="3">
      <x:c r="A3" s="42" t="n">
        <x:f>'Materials'!A3</x:f>
        <x:v>1002</x:v>
      </x:c>
      <x:c r="B3" s="41" t="n">
        <x:f>IF('Materials'!I3="","",'Materials'!I3)</x:f>
        <x:v>7870</x:v>
      </x:c>
      <x:c r="C3" s="41" t="n">
        <x:f>IF('Materials'!J3="","",'Materials'!J3)</x:f>
        <x:v>205</x:v>
      </x:c>
      <x:c r="D3" s="41" t="n">
        <x:f>IF('Materials'!N3="","",'Materials'!N3)</x:f>
        <x:v>79.45736434108527</x:v>
      </x:c>
      <x:c r="E3" s="41" t="n">
        <x:f>IF('Materials'!K3="","",'Materials'!K3)</x:f>
        <x:v>0.29</x:v>
      </x:c>
      <x:c r="F3" s="41" t="n">
        <x:f>IF('Materials'!P3="","",'Materials'!P3)</x:f>
        <x:v>370</x:v>
      </x:c>
      <x:c r="G3" s="41" t="n">
        <x:f>IF('Materials'!Q3="","",'Materials'!Q3)</x:f>
        <x:v>440</x:v>
      </x:c>
      <x:c r="H3" s="41" t="str">
        <x:f>IF('Materials'!R3="","",'Materials'!R3)</x:f>
      </x:c>
      <x:c r="I3" s="41" t="str">
        <x:f>IF('Materials'!S3="","",'Materials'!S3)</x:f>
      </x:c>
      <x:c r="J3" s="41" t="n">
        <x:f>IF('Materials'!T3="","",'Materials'!T3)</x:f>
        <x:v>0.15</x:v>
      </x:c>
      <x:c r="K3" s="41" t="n">
        <x:f>IF('Materials'!U3="","",'Materials'!U3)</x:f>
        <x:v>55</x:v>
      </x:c>
      <x:c r="L3" s="41" t="n">
        <x:f>IF('Materials'!V3="","",'Materials'!V3)</x:f>
        <x:v>51.9</x:v>
      </x:c>
      <x:c r="M3" s="41" t="n">
        <x:f>IF('Materials'!W3="","",'Materials'!W3)</x:f>
        <x:v>486</x:v>
      </x:c>
      <x:c r="N3" s="41" t="n">
        <x:f>IF('Materials'!X3="","",'Materials'!X3)</x:f>
        <x:v>11.7</x:v>
      </x:c>
      <x:c r="O3" s="43" t="n">
        <x:f>IF('Materials'!Y3="","",'Materials'!Y3)</x:f>
        <x:v>1.59e-7</x:v>
      </x:c>
      <x:c r="P3" s="41" t="n">
        <x:f>IF('Materials'!Z3="","",'Materials'!Z3)</x:f>
        <x:v>1450</x:v>
      </x:c>
      <x:c r="Q3" s="41" t="n">
        <x:f>IF('Materials'!AA3="","",'Materials'!AA3)</x:f>
        <x:v>425</x:v>
      </x:c>
      <x:c r="R3" s="41" t="n">
        <x:f>IF('Materials'!AB3="","",'Materials'!AB3)</x:f>
        <x:v>126</x:v>
      </x:c>
      <x:c r="S3" s="41" t="n">
        <x:f>IF('Materials'!O3="","",'Materials'!O3)</x:f>
        <x:v>162.69841269841268</x:v>
      </x:c>
    </x:row>
    <x:row r="4">
      <x:c r="A4" s="42" t="n">
        <x:f>'Materials'!A4</x:f>
        <x:v>1003</x:v>
      </x:c>
      <x:c r="B4" s="41" t="n">
        <x:f>IF('Materials'!I4="","",'Materials'!I4)</x:f>
        <x:v>7870</x:v>
      </x:c>
      <x:c r="C4" s="41" t="n">
        <x:f>IF('Materials'!J4="","",'Materials'!J4)</x:f>
        <x:v>205</x:v>
      </x:c>
      <x:c r="D4" s="41" t="n">
        <x:f>IF('Materials'!N4="","",'Materials'!N4)</x:f>
        <x:v>79.45736434108527</x:v>
      </x:c>
      <x:c r="E4" s="41" t="n">
        <x:f>IF('Materials'!K4="","",'Materials'!K4)</x:f>
        <x:v>0.29</x:v>
      </x:c>
      <x:c r="F4" s="41" t="n">
        <x:f>IF('Materials'!P4="","",'Materials'!P4)</x:f>
        <x:v>295</x:v>
      </x:c>
      <x:c r="G4" s="41" t="n">
        <x:f>IF('Materials'!Q4="","",'Materials'!Q4)</x:f>
        <x:v>395</x:v>
      </x:c>
      <x:c r="H4" s="41" t="str">
        <x:f>IF('Materials'!R4="","",'Materials'!R4)</x:f>
      </x:c>
      <x:c r="I4" s="41" t="str">
        <x:f>IF('Materials'!S4="","",'Materials'!S4)</x:f>
      </x:c>
      <x:c r="J4" s="41" t="n">
        <x:f>IF('Materials'!T4="","",'Materials'!T4)</x:f>
        <x:v>0.36</x:v>
      </x:c>
      <x:c r="K4" s="41" t="n">
        <x:f>IF('Materials'!U4="","",'Materials'!U4)</x:f>
        <x:v>60</x:v>
      </x:c>
      <x:c r="L4" s="41" t="n">
        <x:f>IF('Materials'!V4="","",'Materials'!V4)</x:f>
        <x:v>51.9</x:v>
      </x:c>
      <x:c r="M4" s="41" t="n">
        <x:f>IF('Materials'!W4="","",'Materials'!W4)</x:f>
        <x:v>486</x:v>
      </x:c>
      <x:c r="N4" s="41" t="n">
        <x:f>IF('Materials'!X4="","",'Materials'!X4)</x:f>
        <x:v>11.7</x:v>
      </x:c>
      <x:c r="O4" s="43" t="n">
        <x:f>IF('Materials'!Y4="","",'Materials'!Y4)</x:f>
        <x:v>1.59e-7</x:v>
      </x:c>
      <x:c r="P4" s="41" t="n">
        <x:f>IF('Materials'!Z4="","",'Materials'!Z4)</x:f>
        <x:v>1450</x:v>
      </x:c>
      <x:c r="Q4" s="41" t="n">
        <x:f>IF('Materials'!AA4="","",'Materials'!AA4)</x:f>
        <x:v>425</x:v>
      </x:c>
      <x:c r="R4" s="41" t="n">
        <x:f>IF('Materials'!AB4="","",'Materials'!AB4)</x:f>
        <x:v>111</x:v>
      </x:c>
      <x:c r="S4" s="41" t="n">
        <x:f>IF('Materials'!O4="","",'Materials'!O4)</x:f>
        <x:v>162.69841269841268</x:v>
      </x:c>
    </x:row>
    <x:row r="5">
      <x:c r="A5" s="42" t="n">
        <x:f>'Materials'!A5</x:f>
        <x:v>1004</x:v>
      </x:c>
      <x:c r="B5" s="41" t="n">
        <x:f>IF('Materials'!I5="","",'Materials'!I5)</x:f>
        <x:v>7850</x:v>
      </x:c>
      <x:c r="C5" s="41" t="n">
        <x:f>IF('Materials'!J5="","",'Materials'!J5)</x:f>
        <x:v>205</x:v>
      </x:c>
      <x:c r="D5" s="41" t="n">
        <x:f>IF('Materials'!N5="","",'Materials'!N5)</x:f>
        <x:v>79.45736434108527</x:v>
      </x:c>
      <x:c r="E5" s="41" t="n">
        <x:f>IF('Materials'!K5="","",'Materials'!K5)</x:f>
        <x:v>0.29</x:v>
      </x:c>
      <x:c r="F5" s="41" t="n">
        <x:f>IF('Materials'!P5="","",'Materials'!P5)</x:f>
        <x:v>450</x:v>
      </x:c>
      <x:c r="G5" s="41" t="n">
        <x:f>IF('Materials'!Q5="","",'Materials'!Q5)</x:f>
        <x:v>625</x:v>
      </x:c>
      <x:c r="H5" s="41" t="str">
        <x:f>IF('Materials'!R5="","",'Materials'!R5)</x:f>
      </x:c>
      <x:c r="I5" s="41" t="str">
        <x:f>IF('Materials'!S5="","",'Materials'!S5)</x:f>
      </x:c>
      <x:c r="J5" s="41" t="n">
        <x:f>IF('Materials'!T5="","",'Materials'!T5)</x:f>
        <x:v>0.16</x:v>
      </x:c>
      <x:c r="K5" s="41" t="n">
        <x:f>IF('Materials'!U5="","",'Materials'!U5)</x:f>
        <x:v>45</x:v>
      </x:c>
      <x:c r="L5" s="41" t="n">
        <x:f>IF('Materials'!V5="","",'Materials'!V5)</x:f>
        <x:v>49.8</x:v>
      </x:c>
      <x:c r="M5" s="41" t="n">
        <x:f>IF('Materials'!W5="","",'Materials'!W5)</x:f>
        <x:v>486</x:v>
      </x:c>
      <x:c r="N5" s="41" t="n">
        <x:f>IF('Materials'!X5="","",'Materials'!X5)</x:f>
        <x:v>11.7</x:v>
      </x:c>
      <x:c r="O5" s="43" t="n">
        <x:f>IF('Materials'!Y5="","",'Materials'!Y5)</x:f>
        <x:v>1.62e-7</x:v>
      </x:c>
      <x:c r="P5" s="41" t="n">
        <x:f>IF('Materials'!Z5="","",'Materials'!Z5)</x:f>
        <x:v>1450</x:v>
      </x:c>
      <x:c r="Q5" s="41" t="n">
        <x:f>IF('Materials'!AA5="","",'Materials'!AA5)</x:f>
        <x:v>425</x:v>
      </x:c>
      <x:c r="R5" s="41" t="n">
        <x:f>IF('Materials'!AB5="","",'Materials'!AB5)</x:f>
        <x:v>180</x:v>
      </x:c>
      <x:c r="S5" s="41" t="n">
        <x:f>IF('Materials'!O5="","",'Materials'!O5)</x:f>
        <x:v>162.69841269841268</x:v>
      </x:c>
    </x:row>
    <x:row r="6">
      <x:c r="A6" s="42" t="n">
        <x:f>'Materials'!A6</x:f>
        <x:v>1005</x:v>
      </x:c>
      <x:c r="B6" s="41" t="n">
        <x:f>IF('Materials'!I6="","",'Materials'!I6)</x:f>
        <x:v>7850</x:v>
      </x:c>
      <x:c r="C6" s="41" t="n">
        <x:f>IF('Materials'!J6="","",'Materials'!J6)</x:f>
        <x:v>205</x:v>
      </x:c>
      <x:c r="D6" s="41" t="n">
        <x:f>IF('Materials'!N6="","",'Materials'!N6)</x:f>
        <x:v>79.45736434108527</x:v>
      </x:c>
      <x:c r="E6" s="41" t="n">
        <x:f>IF('Materials'!K6="","",'Materials'!K6)</x:f>
        <x:v>0.29</x:v>
      </x:c>
      <x:c r="F6" s="41" t="n">
        <x:f>IF('Materials'!P6="","",'Materials'!P6)</x:f>
        <x:v>380</x:v>
      </x:c>
      <x:c r="G6" s="41" t="n">
        <x:f>IF('Materials'!Q6="","",'Materials'!Q6)</x:f>
        <x:v>650</x:v>
      </x:c>
      <x:c r="H6" s="41" t="str">
        <x:f>IF('Materials'!R6="","",'Materials'!R6)</x:f>
      </x:c>
      <x:c r="I6" s="41" t="str">
        <x:f>IF('Materials'!S6="","",'Materials'!S6)</x:f>
      </x:c>
      <x:c r="J6" s="41" t="n">
        <x:f>IF('Materials'!T6="","",'Materials'!T6)</x:f>
        <x:v>0.1</x:v>
      </x:c>
      <x:c r="K6" s="41" t="n">
        <x:f>IF('Materials'!U6="","",'Materials'!U6)</x:f>
        <x:v>35</x:v>
      </x:c>
      <x:c r="L6" s="41" t="n">
        <x:f>IF('Materials'!V6="","",'Materials'!V6)</x:f>
        <x:v>49.8</x:v>
      </x:c>
      <x:c r="M6" s="41" t="n">
        <x:f>IF('Materials'!W6="","",'Materials'!W6)</x:f>
        <x:v>486</x:v>
      </x:c>
      <x:c r="N6" s="41" t="n">
        <x:f>IF('Materials'!X6="","",'Materials'!X6)</x:f>
        <x:v>11.7</x:v>
      </x:c>
      <x:c r="O6" s="43" t="n">
        <x:f>IF('Materials'!Y6="","",'Materials'!Y6)</x:f>
        <x:v>1.65e-7</x:v>
      </x:c>
      <x:c r="P6" s="41" t="n">
        <x:f>IF('Materials'!Z6="","",'Materials'!Z6)</x:f>
        <x:v>1450</x:v>
      </x:c>
      <x:c r="Q6" s="41" t="n">
        <x:f>IF('Materials'!AA6="","",'Materials'!AA6)</x:f>
        <x:v>425</x:v>
      </x:c>
      <x:c r="R6" s="41" t="n">
        <x:f>IF('Materials'!AB6="","",'Materials'!AB6)</x:f>
        <x:v>190</x:v>
      </x:c>
      <x:c r="S6" s="41" t="n">
        <x:f>IF('Materials'!O6="","",'Materials'!O6)</x:f>
        <x:v>162.69841269841268</x:v>
      </x:c>
    </x:row>
    <x:row r="7">
      <x:c r="A7" s="42" t="n">
        <x:f>'Materials'!A7</x:f>
        <x:v>1006</x:v>
      </x:c>
      <x:c r="B7" s="41" t="n">
        <x:f>IF('Materials'!I7="","",'Materials'!I7)</x:f>
        <x:v>7850</x:v>
      </x:c>
      <x:c r="C7" s="41" t="n">
        <x:f>IF('Materials'!J7="","",'Materials'!J7)</x:f>
        <x:v>205</x:v>
      </x:c>
      <x:c r="D7" s="41" t="n">
        <x:f>IF('Materials'!N7="","",'Materials'!N7)</x:f>
        <x:v>79.45736434108527</x:v>
      </x:c>
      <x:c r="E7" s="41" t="n">
        <x:f>IF('Materials'!K7="","",'Materials'!K7)</x:f>
        <x:v>0.29</x:v>
      </x:c>
      <x:c r="F7" s="41" t="n">
        <x:f>IF('Materials'!P7="","",'Materials'!P7)</x:f>
        <x:v>435</x:v>
      </x:c>
      <x:c r="G7" s="41" t="n">
        <x:f>IF('Materials'!Q7="","",'Materials'!Q7)</x:f>
        <x:v>670</x:v>
      </x:c>
      <x:c r="H7" s="41" t="str">
        <x:f>IF('Materials'!R7="","",'Materials'!R7)</x:f>
      </x:c>
      <x:c r="I7" s="41" t="str">
        <x:f>IF('Materials'!S7="","",'Materials'!S7)</x:f>
      </x:c>
      <x:c r="J7" s="41" t="n">
        <x:f>IF('Materials'!T7="","",'Materials'!T7)</x:f>
        <x:v>0.21</x:v>
      </x:c>
      <x:c r="K7" s="41" t="n">
        <x:f>IF('Materials'!U7="","",'Materials'!U7)</x:f>
        <x:v>75</x:v>
      </x:c>
      <x:c r="L7" s="41" t="n">
        <x:f>IF('Materials'!V7="","",'Materials'!V7)</x:f>
        <x:v>42.7</x:v>
      </x:c>
      <x:c r="M7" s="41" t="n">
        <x:f>IF('Materials'!W7="","",'Materials'!W7)</x:f>
        <x:v>477</x:v>
      </x:c>
      <x:c r="N7" s="41" t="n">
        <x:f>IF('Materials'!X7="","",'Materials'!X7)</x:f>
        <x:v>12.2</x:v>
      </x:c>
      <x:c r="O7" s="43" t="n">
        <x:f>IF('Materials'!Y7="","",'Materials'!Y7)</x:f>
        <x:v>2.23e-7</x:v>
      </x:c>
      <x:c r="P7" s="41" t="n">
        <x:f>IF('Materials'!Z7="","",'Materials'!Z7)</x:f>
        <x:v>1430</x:v>
      </x:c>
      <x:c r="Q7" s="41" t="n">
        <x:f>IF('Materials'!AA7="","",'Materials'!AA7)</x:f>
        <x:v>480</x:v>
      </x:c>
      <x:c r="R7" s="41" t="n">
        <x:f>IF('Materials'!AB7="","",'Materials'!AB7)</x:f>
        <x:v>197</x:v>
      </x:c>
      <x:c r="S7" s="41" t="n">
        <x:f>IF('Materials'!O7="","",'Materials'!O7)</x:f>
        <x:v>162.69841269841268</x:v>
      </x:c>
    </x:row>
    <x:row r="8">
      <x:c r="A8" s="42" t="n">
        <x:f>'Materials'!A8</x:f>
        <x:v>1007</x:v>
      </x:c>
      <x:c r="B8" s="41" t="n">
        <x:f>IF('Materials'!I8="","",'Materials'!I8)</x:f>
        <x:v>7850</x:v>
      </x:c>
      <x:c r="C8" s="41" t="n">
        <x:f>IF('Materials'!J8="","",'Materials'!J8)</x:f>
        <x:v>205</x:v>
      </x:c>
      <x:c r="D8" s="41" t="n">
        <x:f>IF('Materials'!N8="","",'Materials'!N8)</x:f>
        <x:v>79.45736434108527</x:v>
      </x:c>
      <x:c r="E8" s="41" t="n">
        <x:f>IF('Materials'!K8="","",'Materials'!K8)</x:f>
        <x:v>0.29</x:v>
      </x:c>
      <x:c r="F8" s="41" t="n">
        <x:f>IF('Materials'!P8="","",'Materials'!P8)</x:f>
        <x:v>655</x:v>
      </x:c>
      <x:c r="G8" s="41" t="n">
        <x:f>IF('Materials'!Q8="","",'Materials'!Q8)</x:f>
        <x:v>1020</x:v>
      </x:c>
      <x:c r="H8" s="41" t="str">
        <x:f>IF('Materials'!R8="","",'Materials'!R8)</x:f>
      </x:c>
      <x:c r="I8" s="41" t="str">
        <x:f>IF('Materials'!S8="","",'Materials'!S8)</x:f>
      </x:c>
      <x:c r="J8" s="41" t="n">
        <x:f>IF('Materials'!T8="","",'Materials'!T8)</x:f>
        <x:v>0.15</x:v>
      </x:c>
      <x:c r="K8" s="41" t="n">
        <x:f>IF('Materials'!U8="","",'Materials'!U8)</x:f>
        <x:v>55</x:v>
      </x:c>
      <x:c r="L8" s="41" t="n">
        <x:f>IF('Materials'!V8="","",'Materials'!V8)</x:f>
        <x:v>42.6</x:v>
      </x:c>
      <x:c r="M8" s="41" t="n">
        <x:f>IF('Materials'!W8="","",'Materials'!W8)</x:f>
        <x:v>473</x:v>
      </x:c>
      <x:c r="N8" s="41" t="n">
        <x:f>IF('Materials'!X8="","",'Materials'!X8)</x:f>
        <x:v>12.3</x:v>
      </x:c>
      <x:c r="O8" s="43" t="n">
        <x:f>IF('Materials'!Y8="","",'Materials'!Y8)</x:f>
        <x:v>2.2e-7</x:v>
      </x:c>
      <x:c r="P8" s="41" t="n">
        <x:f>IF('Materials'!Z8="","",'Materials'!Z8)</x:f>
        <x:v>1415</x:v>
      </x:c>
      <x:c r="Q8" s="41" t="n">
        <x:f>IF('Materials'!AA8="","",'Materials'!AA8)</x:f>
        <x:v>480</x:v>
      </x:c>
      <x:c r="R8" s="41" t="n">
        <x:f>IF('Materials'!AB8="","",'Materials'!AB8)</x:f>
        <x:v>320</x:v>
      </x:c>
      <x:c r="S8" s="41" t="n">
        <x:f>IF('Materials'!O8="","",'Materials'!O8)</x:f>
        <x:v>162.69841269841268</x:v>
      </x:c>
    </x:row>
    <x:row r="9">
      <x:c r="A9" s="42" t="n">
        <x:f>'Materials'!A9</x:f>
        <x:v>1008</x:v>
      </x:c>
      <x:c r="B9" s="41" t="n">
        <x:f>IF('Materials'!I9="","",'Materials'!I9)</x:f>
        <x:v>7850</x:v>
      </x:c>
      <x:c r="C9" s="41" t="n">
        <x:f>IF('Materials'!J9="","",'Materials'!J9)</x:f>
        <x:v>205</x:v>
      </x:c>
      <x:c r="D9" s="41" t="n">
        <x:f>IF('Materials'!N9="","",'Materials'!N9)</x:f>
        <x:v>79.45736434108527</x:v>
      </x:c>
      <x:c r="E9" s="41" t="n">
        <x:f>IF('Materials'!K9="","",'Materials'!K9)</x:f>
        <x:v>0.29</x:v>
      </x:c>
      <x:c r="F9" s="41" t="n">
        <x:f>IF('Materials'!P9="","",'Materials'!P9)</x:f>
        <x:v>855</x:v>
      </x:c>
      <x:c r="G9" s="41" t="n">
        <x:f>IF('Materials'!Q9="","",'Materials'!Q9)</x:f>
        <x:v>1280</x:v>
      </x:c>
      <x:c r="H9" s="41" t="str">
        <x:f>IF('Materials'!R9="","",'Materials'!R9)</x:f>
      </x:c>
      <x:c r="I9" s="41" t="str">
        <x:f>IF('Materials'!S9="","",'Materials'!S9)</x:f>
      </x:c>
      <x:c r="J9" s="41" t="n">
        <x:f>IF('Materials'!T9="","",'Materials'!T9)</x:f>
        <x:v>0.12</x:v>
      </x:c>
      <x:c r="K9" s="41" t="n">
        <x:f>IF('Materials'!U9="","",'Materials'!U9)</x:f>
        <x:v>50</x:v>
      </x:c>
      <x:c r="L9" s="41" t="n">
        <x:f>IF('Materials'!V9="","",'Materials'!V9)</x:f>
        <x:v>44.5</x:v>
      </x:c>
      <x:c r="M9" s="41" t="n">
        <x:f>IF('Materials'!W9="","",'Materials'!W9)</x:f>
        <x:v>475</x:v>
      </x:c>
      <x:c r="N9" s="41" t="n">
        <x:f>IF('Materials'!X9="","",'Materials'!X9)</x:f>
        <x:v>12.3</x:v>
      </x:c>
      <x:c r="O9" s="43" t="n">
        <x:f>IF('Materials'!Y9="","",'Materials'!Y9)</x:f>
        <x:v>2.48e-7</x:v>
      </x:c>
      <x:c r="P9" s="41" t="n">
        <x:f>IF('Materials'!Z9="","",'Materials'!Z9)</x:f>
        <x:v>1425</x:v>
      </x:c>
      <x:c r="Q9" s="41" t="n">
        <x:f>IF('Materials'!AA9="","",'Materials'!AA9)</x:f>
        <x:v>480</x:v>
      </x:c>
      <x:c r="R9" s="41" t="n">
        <x:f>IF('Materials'!AB9="","",'Materials'!AB9)</x:f>
        <x:v>390</x:v>
      </x:c>
      <x:c r="S9" s="41" t="n">
        <x:f>IF('Materials'!O9="","",'Materials'!O9)</x:f>
        <x:v>162.69841269841268</x:v>
      </x:c>
    </x:row>
    <x:row r="10">
      <x:c r="A10" s="42" t="n">
        <x:f>'Materials'!A10</x:f>
        <x:v>1009</x:v>
      </x:c>
      <x:c r="B10" s="41" t="n">
        <x:f>IF('Materials'!I10="","",'Materials'!I10)</x:f>
        <x:v>7850</x:v>
      </x:c>
      <x:c r="C10" s="41" t="n">
        <x:f>IF('Materials'!J10="","",'Materials'!J10)</x:f>
        <x:v>200</x:v>
      </x:c>
      <x:c r="D10" s="41" t="n">
        <x:f>IF('Materials'!N10="","",'Materials'!N10)</x:f>
        <x:v>77.51937984496124</x:v>
      </x:c>
      <x:c r="E10" s="41" t="n">
        <x:f>IF('Materials'!K10="","",'Materials'!K10)</x:f>
        <x:v>0.29</x:v>
      </x:c>
      <x:c r="F10" s="41" t="n">
        <x:f>IF('Materials'!P10="","",'Materials'!P10)</x:f>
        <x:v>345</x:v>
      </x:c>
      <x:c r="G10" s="41" t="n">
        <x:f>IF('Materials'!Q10="","",'Materials'!Q10)</x:f>
        <x:v>450</x:v>
      </x:c>
      <x:c r="H10" s="41" t="str">
        <x:f>IF('Materials'!R10="","",'Materials'!R10)</x:f>
      </x:c>
      <x:c r="I10" s="41" t="str">
        <x:f>IF('Materials'!S10="","",'Materials'!S10)</x:f>
      </x:c>
      <x:c r="J10" s="41" t="n">
        <x:f>IF('Materials'!T10="","",'Materials'!T10)</x:f>
        <x:v>0.18</x:v>
      </x:c>
      <x:c r="K10" s="41" t="n">
        <x:f>IF('Materials'!U10="","",'Materials'!U10)</x:f>
        <x:v>50</x:v>
      </x:c>
      <x:c r="L10" s="41" t="n">
        <x:f>IF('Materials'!V10="","",'Materials'!V10)</x:f>
        <x:v>50</x:v>
      </x:c>
      <x:c r="M10" s="41" t="n">
        <x:f>IF('Materials'!W10="","",'Materials'!W10)</x:f>
        <x:v>486</x:v>
      </x:c>
      <x:c r="N10" s="41" t="n">
        <x:f>IF('Materials'!X10="","",'Materials'!X10)</x:f>
        <x:v>11.7</x:v>
      </x:c>
      <x:c r="O10" s="43" t="n">
        <x:f>IF('Materials'!Y10="","",'Materials'!Y10)</x:f>
        <x:v>1.43e-7</x:v>
      </x:c>
      <x:c r="P10" s="41" t="n">
        <x:f>IF('Materials'!Z10="","",'Materials'!Z10)</x:f>
        <x:v>1450</x:v>
      </x:c>
      <x:c r="Q10" s="41" t="n">
        <x:f>IF('Materials'!AA10="","",'Materials'!AA10)</x:f>
        <x:v>425</x:v>
      </x:c>
      <x:c r="R10" s="41" t="n">
        <x:f>IF('Materials'!AB10="","",'Materials'!AB10)</x:f>
        <x:v>145</x:v>
      </x:c>
      <x:c r="S10" s="41" t="n">
        <x:f>IF('Materials'!O10="","",'Materials'!O10)</x:f>
        <x:v>158.7301587301587</x:v>
      </x:c>
    </x:row>
    <x:row r="11">
      <x:c r="A11" s="42" t="n">
        <x:f>'Materials'!A11</x:f>
        <x:v>1010</x:v>
      </x:c>
      <x:c r="B11" s="41" t="n">
        <x:f>IF('Materials'!I11="","",'Materials'!I11)</x:f>
        <x:v>7850</x:v>
      </x:c>
      <x:c r="C11" s="41" t="n">
        <x:f>IF('Materials'!J11="","",'Materials'!J11)</x:f>
        <x:v>200</x:v>
      </x:c>
      <x:c r="D11" s="41" t="n">
        <x:f>IF('Materials'!N11="","",'Materials'!N11)</x:f>
        <x:v>77.51937984496124</x:v>
      </x:c>
      <x:c r="E11" s="41" t="n">
        <x:f>IF('Materials'!K11="","",'Materials'!K11)</x:f>
        <x:v>0.29</x:v>
      </x:c>
      <x:c r="F11" s="41" t="n">
        <x:f>IF('Materials'!P11="","",'Materials'!P11)</x:f>
        <x:v>345</x:v>
      </x:c>
      <x:c r="G11" s="41" t="n">
        <x:f>IF('Materials'!Q11="","",'Materials'!Q11)</x:f>
        <x:v>450</x:v>
      </x:c>
      <x:c r="H11" s="41" t="str">
        <x:f>IF('Materials'!R11="","",'Materials'!R11)</x:f>
      </x:c>
      <x:c r="I11" s="41" t="str">
        <x:f>IF('Materials'!S11="","",'Materials'!S11)</x:f>
      </x:c>
      <x:c r="J11" s="41" t="n">
        <x:f>IF('Materials'!T11="","",'Materials'!T11)</x:f>
        <x:v>0.18</x:v>
      </x:c>
      <x:c r="K11" s="41" t="n">
        <x:f>IF('Materials'!U11="","",'Materials'!U11)</x:f>
        <x:v>50</x:v>
      </x:c>
      <x:c r="L11" s="41" t="n">
        <x:f>IF('Materials'!V11="","",'Materials'!V11)</x:f>
        <x:v>50</x:v>
      </x:c>
      <x:c r="M11" s="41" t="n">
        <x:f>IF('Materials'!W11="","",'Materials'!W11)</x:f>
        <x:v>486</x:v>
      </x:c>
      <x:c r="N11" s="41" t="n">
        <x:f>IF('Materials'!X11="","",'Materials'!X11)</x:f>
        <x:v>11.7</x:v>
      </x:c>
      <x:c r="O11" s="43" t="n">
        <x:f>IF('Materials'!Y11="","",'Materials'!Y11)</x:f>
        <x:v>1.43e-7</x:v>
      </x:c>
      <x:c r="P11" s="41" t="n">
        <x:f>IF('Materials'!Z11="","",'Materials'!Z11)</x:f>
        <x:v>1450</x:v>
      </x:c>
      <x:c r="Q11" s="41" t="n">
        <x:f>IF('Materials'!AA11="","",'Materials'!AA11)</x:f>
        <x:v>425</x:v>
      </x:c>
      <x:c r="R11" s="41" t="n">
        <x:f>IF('Materials'!AB11="","",'Materials'!AB11)</x:f>
        <x:v>145</x:v>
      </x:c>
      <x:c r="S11" s="41" t="n">
        <x:f>IF('Materials'!O11="","",'Materials'!O11)</x:f>
        <x:v>158.7301587301587</x:v>
      </x:c>
    </x:row>
    <x:row r="12">
      <x:c r="A12" s="42" t="n">
        <x:f>'Materials'!A12</x:f>
        <x:v>1011</x:v>
      </x:c>
      <x:c r="B12" s="41" t="n">
        <x:f>IF('Materials'!I12="","",'Materials'!I12)</x:f>
        <x:v>7860</x:v>
      </x:c>
      <x:c r="C12" s="41" t="n">
        <x:f>IF('Materials'!J12="","",'Materials'!J12)</x:f>
        <x:v>203</x:v>
      </x:c>
      <x:c r="D12" s="41" t="n">
        <x:f>IF('Materials'!N12="","",'Materials'!N12)</x:f>
        <x:v>78.68217054263566</x:v>
      </x:c>
      <x:c r="E12" s="41" t="n">
        <x:f>IF('Materials'!K12="","",'Materials'!K12)</x:f>
        <x:v>0.29</x:v>
      </x:c>
      <x:c r="F12" s="41" t="n">
        <x:f>IF('Materials'!P12="","",'Materials'!P12)</x:f>
        <x:v>1580</x:v>
      </x:c>
      <x:c r="G12" s="41" t="n">
        <x:f>IF('Materials'!Q12="","",'Materials'!Q12)</x:f>
        <x:v>1900</x:v>
      </x:c>
      <x:c r="H12" s="41" t="str">
        <x:f>IF('Materials'!R12="","",'Materials'!R12)</x:f>
      </x:c>
      <x:c r="I12" s="41" t="str">
        <x:f>IF('Materials'!S12="","",'Materials'!S12)</x:f>
      </x:c>
      <x:c r="J12" s="41" t="n">
        <x:f>IF('Materials'!T12="","",'Materials'!T12)</x:f>
        <x:v>0.02</x:v>
      </x:c>
      <x:c r="K12" s="41" t="n">
        <x:f>IF('Materials'!U12="","",'Materials'!U12)</x:f>
        <x:v>20</x:v>
      </x:c>
      <x:c r="L12" s="41" t="n">
        <x:f>IF('Materials'!V12="","",'Materials'!V12)</x:f>
        <x:v>26</x:v>
      </x:c>
      <x:c r="M12" s="41" t="n">
        <x:f>IF('Materials'!W12="","",'Materials'!W12)</x:f>
        <x:v>460</x:v>
      </x:c>
      <x:c r="N12" s="41" t="n">
        <x:f>IF('Materials'!X12="","",'Materials'!X12)</x:f>
        <x:v>11.5</x:v>
      </x:c>
      <x:c r="O12" s="43" t="n">
        <x:f>IF('Materials'!Y12="","",'Materials'!Y12)</x:f>
        <x:v>4.7e-7</x:v>
      </x:c>
      <x:c r="P12" s="41" t="n">
        <x:f>IF('Materials'!Z12="","",'Materials'!Z12)</x:f>
        <x:v>1420</x:v>
      </x:c>
      <x:c r="Q12" s="41" t="n">
        <x:f>IF('Materials'!AA12="","",'Materials'!AA12)</x:f>
        <x:v>315</x:v>
      </x:c>
      <x:c r="R12" s="41" t="n">
        <x:f>IF('Materials'!AB12="","",'Materials'!AB12)</x:f>
        <x:v>650</x:v>
      </x:c>
      <x:c r="S12" s="41" t="n">
        <x:f>IF('Materials'!O12="","",'Materials'!O12)</x:f>
        <x:v>161.1111111111111</x:v>
      </x:c>
    </x:row>
    <x:row r="13">
      <x:c r="A13" s="42" t="n">
        <x:f>'Materials'!A13</x:f>
        <x:v>1012</x:v>
      </x:c>
      <x:c r="B13" s="41" t="n">
        <x:f>IF('Materials'!I13="","",'Materials'!I13)</x:f>
        <x:v>7700</x:v>
      </x:c>
      <x:c r="C13" s="41" t="n">
        <x:f>IF('Materials'!J13="","",'Materials'!J13)</x:f>
        <x:v>210</x:v>
      </x:c>
      <x:c r="D13" s="41" t="n">
        <x:f>IF('Materials'!N13="","",'Materials'!N13)</x:f>
        <x:v>82.03125</x:v>
      </x:c>
      <x:c r="E13" s="41" t="n">
        <x:f>IF('Materials'!K13="","",'Materials'!K13)</x:f>
        <x:v>0.28</x:v>
      </x:c>
      <x:c r="F13" s="41" t="n">
        <x:f>IF('Materials'!P13="","",'Materials'!P13)</x:f>
        <x:v>1530</x:v>
      </x:c>
      <x:c r="G13" s="41" t="n">
        <x:f>IF('Materials'!Q13="","",'Materials'!Q13)</x:f>
        <x:v>1900</x:v>
      </x:c>
      <x:c r="H13" s="41" t="str">
        <x:f>IF('Materials'!R13="","",'Materials'!R13)</x:f>
      </x:c>
      <x:c r="I13" s="41" t="str">
        <x:f>IF('Materials'!S13="","",'Materials'!S13)</x:f>
      </x:c>
      <x:c r="J13" s="41" t="n">
        <x:f>IF('Materials'!T13="","",'Materials'!T13)</x:f>
        <x:v>0.01</x:v>
      </x:c>
      <x:c r="K13" s="41" t="n">
        <x:f>IF('Materials'!U13="","",'Materials'!U13)</x:f>
        <x:v>18</x:v>
      </x:c>
      <x:c r="L13" s="41" t="n">
        <x:f>IF('Materials'!V13="","",'Materials'!V13)</x:f>
        <x:v>20</x:v>
      </x:c>
      <x:c r="M13" s="41" t="n">
        <x:f>IF('Materials'!W13="","",'Materials'!W13)</x:f>
        <x:v>460</x:v>
      </x:c>
      <x:c r="N13" s="41" t="n">
        <x:f>IF('Materials'!X13="","",'Materials'!X13)</x:f>
        <x:v>10.4</x:v>
      </x:c>
      <x:c r="O13" s="43" t="n">
        <x:f>IF('Materials'!Y13="","",'Materials'!Y13)</x:f>
        <x:v>5.4e-7</x:v>
      </x:c>
      <x:c r="P13" s="41" t="n">
        <x:f>IF('Materials'!Z13="","",'Materials'!Z13)</x:f>
        <x:v>1420</x:v>
      </x:c>
      <x:c r="Q13" s="41" t="n">
        <x:f>IF('Materials'!AA13="","",'Materials'!AA13)</x:f>
        <x:v>315</x:v>
      </x:c>
      <x:c r="R13" s="41" t="n">
        <x:f>IF('Materials'!AB13="","",'Materials'!AB13)</x:f>
        <x:v>700</x:v>
      </x:c>
      <x:c r="S13" s="41" t="n">
        <x:f>IF('Materials'!O13="","",'Materials'!O13)</x:f>
        <x:v>159.09090909090912</x:v>
      </x:c>
    </x:row>
    <x:row r="14">
      <x:c r="A14" s="42" t="n">
        <x:f>'Materials'!A14</x:f>
        <x:v>1013</x:v>
      </x:c>
      <x:c r="B14" s="41" t="n">
        <x:f>IF('Materials'!I14="","",'Materials'!I14)</x:f>
        <x:v>7800</x:v>
      </x:c>
      <x:c r="C14" s="41" t="n">
        <x:f>IF('Materials'!J14="","",'Materials'!J14)</x:f>
        <x:v>210</x:v>
      </x:c>
      <x:c r="D14" s="41" t="n">
        <x:f>IF('Materials'!N14="","",'Materials'!N14)</x:f>
        <x:v>81.3953488372093</x:v>
      </x:c>
      <x:c r="E14" s="41" t="n">
        <x:f>IF('Materials'!K14="","",'Materials'!K14)</x:f>
        <x:v>0.29</x:v>
      </x:c>
      <x:c r="F14" s="41" t="n">
        <x:f>IF('Materials'!P14="","",'Materials'!P14)</x:f>
        <x:v>1200</x:v>
      </x:c>
      <x:c r="G14" s="41" t="n">
        <x:f>IF('Materials'!Q14="","",'Materials'!Q14)</x:f>
        <x:v>1500</x:v>
      </x:c>
      <x:c r="H14" s="41" t="str">
        <x:f>IF('Materials'!R14="","",'Materials'!R14)</x:f>
      </x:c>
      <x:c r="I14" s="41" t="str">
        <x:f>IF('Materials'!S14="","",'Materials'!S14)</x:f>
      </x:c>
      <x:c r="J14" s="41" t="n">
        <x:f>IF('Materials'!T14="","",'Materials'!T14)</x:f>
        <x:v>0.08</x:v>
      </x:c>
      <x:c r="K14" s="41" t="n">
        <x:f>IF('Materials'!U14="","",'Materials'!U14)</x:f>
        <x:v>22</x:v>
      </x:c>
      <x:c r="L14" s="41" t="n">
        <x:f>IF('Materials'!V14="","",'Materials'!V14)</x:f>
        <x:v>28.6</x:v>
      </x:c>
      <x:c r="M14" s="41" t="n">
        <x:f>IF('Materials'!W14="","",'Materials'!W14)</x:f>
        <x:v>460</x:v>
      </x:c>
      <x:c r="N14" s="41" t="n">
        <x:f>IF('Materials'!X14="","",'Materials'!X14)</x:f>
        <x:v>11.9</x:v>
      </x:c>
      <x:c r="O14" s="43" t="n">
        <x:f>IF('Materials'!Y14="","",'Materials'!Y14)</x:f>
        <x:v>5.2e-7</x:v>
      </x:c>
      <x:c r="P14" s="41" t="n">
        <x:f>IF('Materials'!Z14="","",'Materials'!Z14)</x:f>
        <x:v>1425</x:v>
      </x:c>
      <x:c r="Q14" s="41" t="n">
        <x:f>IF('Materials'!AA14="","",'Materials'!AA14)</x:f>
        <x:v>540</x:v>
      </x:c>
      <x:c r="R14" s="41" t="n">
        <x:f>IF('Materials'!AB14="","",'Materials'!AB14)</x:f>
        <x:v>560</x:v>
      </x:c>
      <x:c r="S14" s="41" t="n">
        <x:f>IF('Materials'!O14="","",'Materials'!O14)</x:f>
        <x:v>166.66666666666663</x:v>
      </x:c>
    </x:row>
    <x:row r="15">
      <x:c r="A15" s="42" t="n">
        <x:f>'Materials'!A15</x:f>
        <x:v>1014</x:v>
      </x:c>
      <x:c r="B15" s="41" t="n">
        <x:f>IF('Materials'!I15="","",'Materials'!I15)</x:f>
        <x:v>8000</x:v>
      </x:c>
      <x:c r="C15" s="41" t="n">
        <x:f>IF('Materials'!J15="","",'Materials'!J15)</x:f>
        <x:v>190</x:v>
      </x:c>
      <x:c r="D15" s="41" t="n">
        <x:f>IF('Materials'!N15="","",'Materials'!N15)</x:f>
        <x:v>73.07692307692308</x:v>
      </x:c>
      <x:c r="E15" s="41" t="n">
        <x:f>IF('Materials'!K15="","",'Materials'!K15)</x:f>
        <x:v>0.3</x:v>
      </x:c>
      <x:c r="F15" s="41" t="n">
        <x:f>IF('Materials'!P15="","",'Materials'!P15)</x:f>
        <x:v>1700</x:v>
      </x:c>
      <x:c r="G15" s="41" t="n">
        <x:f>IF('Materials'!Q15="","",'Materials'!Q15)</x:f>
        <x:v>1800</x:v>
      </x:c>
      <x:c r="H15" s="41" t="str">
        <x:f>IF('Materials'!R15="","",'Materials'!R15)</x:f>
      </x:c>
      <x:c r="I15" s="41" t="str">
        <x:f>IF('Materials'!S15="","",'Materials'!S15)</x:f>
      </x:c>
      <x:c r="J15" s="41" t="n">
        <x:f>IF('Materials'!T15="","",'Materials'!T15)</x:f>
        <x:v>0.08</x:v>
      </x:c>
      <x:c r="K15" s="41" t="n">
        <x:f>IF('Materials'!U15="","",'Materials'!U15)</x:f>
        <x:v>70</x:v>
      </x:c>
      <x:c r="L15" s="41" t="n">
        <x:f>IF('Materials'!V15="","",'Materials'!V15)</x:f>
        <x:v>25.5</x:v>
      </x:c>
      <x:c r="M15" s="41" t="n">
        <x:f>IF('Materials'!W15="","",'Materials'!W15)</x:f>
        <x:v>460</x:v>
      </x:c>
      <x:c r="N15" s="41" t="n">
        <x:f>IF('Materials'!X15="","",'Materials'!X15)</x:f>
        <x:v>10.3</x:v>
      </x:c>
      <x:c r="O15" s="43" t="n">
        <x:f>IF('Materials'!Y15="","",'Materials'!Y15)</x:f>
        <x:v>8e-7</x:v>
      </x:c>
      <x:c r="P15" s="41" t="n">
        <x:f>IF('Materials'!Z15="","",'Materials'!Z15)</x:f>
        <x:v>1413</x:v>
      </x:c>
      <x:c r="Q15" s="41" t="n">
        <x:f>IF('Materials'!AA15="","",'Materials'!AA15)</x:f>
        <x:v>480</x:v>
      </x:c>
      <x:c r="R15" s="41" t="n">
        <x:f>IF('Materials'!AB15="","",'Materials'!AB15)</x:f>
        <x:v>540</x:v>
      </x:c>
      <x:c r="S15" s="41" t="n">
        <x:f>IF('Materials'!O15="","",'Materials'!O15)</x:f>
        <x:v>158.33333333333331</x:v>
      </x:c>
    </x:row>
    <x:row r="16">
      <x:c r="A16" s="42" t="n">
        <x:f>'Materials'!A16</x:f>
        <x:v>1101</x:v>
      </x:c>
      <x:c r="B16" s="41" t="n">
        <x:f>IF('Materials'!I16="","",'Materials'!I16)</x:f>
        <x:v>8000</x:v>
      </x:c>
      <x:c r="C16" s="41" t="n">
        <x:f>IF('Materials'!J16="","",'Materials'!J16)</x:f>
        <x:v>193</x:v>
      </x:c>
      <x:c r="D16" s="41" t="n">
        <x:f>IF('Materials'!N16="","",'Materials'!N16)</x:f>
        <x:v>74.8062015503876</x:v>
      </x:c>
      <x:c r="E16" s="41" t="n">
        <x:f>IF('Materials'!K16="","",'Materials'!K16)</x:f>
        <x:v>0.29</x:v>
      </x:c>
      <x:c r="F16" s="41" t="n">
        <x:f>IF('Materials'!P16="","",'Materials'!P16)</x:f>
        <x:v>215</x:v>
      </x:c>
      <x:c r="G16" s="41" t="n">
        <x:f>IF('Materials'!Q16="","",'Materials'!Q16)</x:f>
        <x:v>505</x:v>
      </x:c>
      <x:c r="H16" s="41" t="str">
        <x:f>IF('Materials'!R16="","",'Materials'!R16)</x:f>
      </x:c>
      <x:c r="I16" s="41" t="str">
        <x:f>IF('Materials'!S16="","",'Materials'!S16)</x:f>
      </x:c>
      <x:c r="J16" s="41" t="n">
        <x:f>IF('Materials'!T16="","",'Materials'!T16)</x:f>
        <x:v>0.7</x:v>
      </x:c>
      <x:c r="K16" s="41" t="n">
        <x:f>IF('Materials'!U16="","",'Materials'!U16)</x:f>
        <x:v>120</x:v>
      </x:c>
      <x:c r="L16" s="41" t="n">
        <x:f>IF('Materials'!V16="","",'Materials'!V16)</x:f>
        <x:v>16.2</x:v>
      </x:c>
      <x:c r="M16" s="41" t="n">
        <x:f>IF('Materials'!W16="","",'Materials'!W16)</x:f>
        <x:v>500</x:v>
      </x:c>
      <x:c r="N16" s="41" t="n">
        <x:f>IF('Materials'!X16="","",'Materials'!X16)</x:f>
        <x:v>17.2</x:v>
      </x:c>
      <x:c r="O16" s="43" t="n">
        <x:f>IF('Materials'!Y16="","",'Materials'!Y16)</x:f>
        <x:v>7.2e-7</x:v>
      </x:c>
      <x:c r="P16" s="41" t="n">
        <x:f>IF('Materials'!Z16="","",'Materials'!Z16)</x:f>
        <x:v>1400</x:v>
      </x:c>
      <x:c r="Q16" s="41" t="n">
        <x:f>IF('Materials'!AA16="","",'Materials'!AA16)</x:f>
        <x:v>870</x:v>
      </x:c>
      <x:c r="R16" s="41" t="n">
        <x:f>IF('Materials'!AB16="","",'Materials'!AB16)</x:f>
        <x:v>129</x:v>
      </x:c>
      <x:c r="S16" s="41" t="n">
        <x:f>IF('Materials'!O16="","",'Materials'!O16)</x:f>
        <x:v>153.17460317460313</x:v>
      </x:c>
    </x:row>
    <x:row r="17">
      <x:c r="A17" s="42" t="n">
        <x:f>'Materials'!A17</x:f>
        <x:v>1102</x:v>
      </x:c>
      <x:c r="B17" s="41" t="n">
        <x:f>IF('Materials'!I17="","",'Materials'!I17)</x:f>
        <x:v>8000</x:v>
      </x:c>
      <x:c r="C17" s="41" t="n">
        <x:f>IF('Materials'!J17="","",'Materials'!J17)</x:f>
        <x:v>193</x:v>
      </x:c>
      <x:c r="D17" s="41" t="n">
        <x:f>IF('Materials'!N17="","",'Materials'!N17)</x:f>
        <x:v>74.8062015503876</x:v>
      </x:c>
      <x:c r="E17" s="41" t="n">
        <x:f>IF('Materials'!K17="","",'Materials'!K17)</x:f>
        <x:v>0.29</x:v>
      </x:c>
      <x:c r="F17" s="41" t="n">
        <x:f>IF('Materials'!P17="","",'Materials'!P17)</x:f>
        <x:v>170</x:v>
      </x:c>
      <x:c r="G17" s="41" t="n">
        <x:f>IF('Materials'!Q17="","",'Materials'!Q17)</x:f>
        <x:v>485</x:v>
      </x:c>
      <x:c r="H17" s="41" t="str">
        <x:f>IF('Materials'!R17="","",'Materials'!R17)</x:f>
      </x:c>
      <x:c r="I17" s="41" t="str">
        <x:f>IF('Materials'!S17="","",'Materials'!S17)</x:f>
      </x:c>
      <x:c r="J17" s="41" t="n">
        <x:f>IF('Materials'!T17="","",'Materials'!T17)</x:f>
        <x:v>0.7</x:v>
      </x:c>
      <x:c r="K17" s="41" t="n">
        <x:f>IF('Materials'!U17="","",'Materials'!U17)</x:f>
        <x:v>120</x:v>
      </x:c>
      <x:c r="L17" s="41" t="n">
        <x:f>IF('Materials'!V17="","",'Materials'!V17)</x:f>
        <x:v>16.2</x:v>
      </x:c>
      <x:c r="M17" s="41" t="n">
        <x:f>IF('Materials'!W17="","",'Materials'!W17)</x:f>
        <x:v>500</x:v>
      </x:c>
      <x:c r="N17" s="41" t="n">
        <x:f>IF('Materials'!X17="","",'Materials'!X17)</x:f>
        <x:v>17.2</x:v>
      </x:c>
      <x:c r="O17" s="43" t="n">
        <x:f>IF('Materials'!Y17="","",'Materials'!Y17)</x:f>
        <x:v>7.2e-7</x:v>
      </x:c>
      <x:c r="P17" s="41" t="n">
        <x:f>IF('Materials'!Z17="","",'Materials'!Z17)</x:f>
        <x:v>1400</x:v>
      </x:c>
      <x:c r="Q17" s="41" t="n">
        <x:f>IF('Materials'!AA17="","",'Materials'!AA17)</x:f>
        <x:v>870</x:v>
      </x:c>
      <x:c r="R17" s="41" t="n">
        <x:f>IF('Materials'!AB17="","",'Materials'!AB17)</x:f>
        <x:v>125</x:v>
      </x:c>
      <x:c r="S17" s="41" t="n">
        <x:f>IF('Materials'!O17="","",'Materials'!O17)</x:f>
        <x:v>153.17460317460313</x:v>
      </x:c>
    </x:row>
    <x:row r="18">
      <x:c r="A18" s="42" t="n">
        <x:f>'Materials'!A18</x:f>
        <x:v>1103</x:v>
      </x:c>
      <x:c r="B18" s="41" t="n">
        <x:f>IF('Materials'!I18="","",'Materials'!I18)</x:f>
        <x:v>8000</x:v>
      </x:c>
      <x:c r="C18" s="41" t="n">
        <x:f>IF('Materials'!J18="","",'Materials'!J18)</x:f>
        <x:v>193</x:v>
      </x:c>
      <x:c r="D18" s="41" t="n">
        <x:f>IF('Materials'!N18="","",'Materials'!N18)</x:f>
        <x:v>74.23076923076923</x:v>
      </x:c>
      <x:c r="E18" s="41" t="n">
        <x:f>IF('Materials'!K18="","",'Materials'!K18)</x:f>
        <x:v>0.3</x:v>
      </x:c>
      <x:c r="F18" s="41" t="n">
        <x:f>IF('Materials'!P18="","",'Materials'!P18)</x:f>
        <x:v>205</x:v>
      </x:c>
      <x:c r="G18" s="41" t="n">
        <x:f>IF('Materials'!Q18="","",'Materials'!Q18)</x:f>
        <x:v>515</x:v>
      </x:c>
      <x:c r="H18" s="41" t="str">
        <x:f>IF('Materials'!R18="","",'Materials'!R18)</x:f>
      </x:c>
      <x:c r="I18" s="41" t="str">
        <x:f>IF('Materials'!S18="","",'Materials'!S18)</x:f>
      </x:c>
      <x:c r="J18" s="41" t="n">
        <x:f>IF('Materials'!T18="","",'Materials'!T18)</x:f>
        <x:v>0.6</x:v>
      </x:c>
      <x:c r="K18" s="41" t="n">
        <x:f>IF('Materials'!U18="","",'Materials'!U18)</x:f>
        <x:v>140</x:v>
      </x:c>
      <x:c r="L18" s="41" t="n">
        <x:f>IF('Materials'!V18="","",'Materials'!V18)</x:f>
        <x:v>16.3</x:v>
      </x:c>
      <x:c r="M18" s="41" t="n">
        <x:f>IF('Materials'!W18="","",'Materials'!W18)</x:f>
        <x:v>500</x:v>
      </x:c>
      <x:c r="N18" s="41" t="n">
        <x:f>IF('Materials'!X18="","",'Materials'!X18)</x:f>
        <x:v>15.9</x:v>
      </x:c>
      <x:c r="O18" s="43" t="n">
        <x:f>IF('Materials'!Y18="","",'Materials'!Y18)</x:f>
        <x:v>7.4e-7</x:v>
      </x:c>
      <x:c r="P18" s="41" t="n">
        <x:f>IF('Materials'!Z18="","",'Materials'!Z18)</x:f>
        <x:v>1380</x:v>
      </x:c>
      <x:c r="Q18" s="41" t="n">
        <x:f>IF('Materials'!AA18="","",'Materials'!AA18)</x:f>
        <x:v>870</x:v>
      </x:c>
      <x:c r="R18" s="41" t="n">
        <x:f>IF('Materials'!AB18="","",'Materials'!AB18)</x:f>
        <x:v>146</x:v>
      </x:c>
      <x:c r="S18" s="41" t="n">
        <x:f>IF('Materials'!O18="","",'Materials'!O18)</x:f>
        <x:v>160.83333333333331</x:v>
      </x:c>
    </x:row>
    <x:row r="19">
      <x:c r="A19" s="42" t="n">
        <x:f>'Materials'!A19</x:f>
        <x:v>1104</x:v>
      </x:c>
      <x:c r="B19" s="41" t="n">
        <x:f>IF('Materials'!I19="","",'Materials'!I19)</x:f>
        <x:v>8000</x:v>
      </x:c>
      <x:c r="C19" s="41" t="n">
        <x:f>IF('Materials'!J19="","",'Materials'!J19)</x:f>
        <x:v>193</x:v>
      </x:c>
      <x:c r="D19" s="41" t="n">
        <x:f>IF('Materials'!N19="","",'Materials'!N19)</x:f>
        <x:v>74.23076923076923</x:v>
      </x:c>
      <x:c r="E19" s="41" t="n">
        <x:f>IF('Materials'!K19="","",'Materials'!K19)</x:f>
        <x:v>0.3</x:v>
      </x:c>
      <x:c r="F19" s="41" t="n">
        <x:f>IF('Materials'!P19="","",'Materials'!P19)</x:f>
        <x:v>170</x:v>
      </x:c>
      <x:c r="G19" s="41" t="n">
        <x:f>IF('Materials'!Q19="","",'Materials'!Q19)</x:f>
        <x:v>485</x:v>
      </x:c>
      <x:c r="H19" s="41" t="str">
        <x:f>IF('Materials'!R19="","",'Materials'!R19)</x:f>
      </x:c>
      <x:c r="I19" s="41" t="str">
        <x:f>IF('Materials'!S19="","",'Materials'!S19)</x:f>
      </x:c>
      <x:c r="J19" s="41" t="n">
        <x:f>IF('Materials'!T19="","",'Materials'!T19)</x:f>
        <x:v>0.6</x:v>
      </x:c>
      <x:c r="K19" s="41" t="n">
        <x:f>IF('Materials'!U19="","",'Materials'!U19)</x:f>
        <x:v>140</x:v>
      </x:c>
      <x:c r="L19" s="41" t="n">
        <x:f>IF('Materials'!V19="","",'Materials'!V19)</x:f>
        <x:v>16.3</x:v>
      </x:c>
      <x:c r="M19" s="41" t="n">
        <x:f>IF('Materials'!W19="","",'Materials'!W19)</x:f>
        <x:v>500</x:v>
      </x:c>
      <x:c r="N19" s="41" t="n">
        <x:f>IF('Materials'!X19="","",'Materials'!X19)</x:f>
        <x:v>15.9</x:v>
      </x:c>
      <x:c r="O19" s="43" t="n">
        <x:f>IF('Materials'!Y19="","",'Materials'!Y19)</x:f>
        <x:v>7.4e-7</x:v>
      </x:c>
      <x:c r="P19" s="41" t="n">
        <x:f>IF('Materials'!Z19="","",'Materials'!Z19)</x:f>
        <x:v>1380</x:v>
      </x:c>
      <x:c r="Q19" s="41" t="n">
        <x:f>IF('Materials'!AA19="","",'Materials'!AA19)</x:f>
        <x:v>870</x:v>
      </x:c>
      <x:c r="R19" s="41" t="n">
        <x:f>IF('Materials'!AB19="","",'Materials'!AB19)</x:f>
        <x:v>140</x:v>
      </x:c>
      <x:c r="S19" s="41" t="n">
        <x:f>IF('Materials'!O19="","",'Materials'!O19)</x:f>
        <x:v>160.83333333333331</x:v>
      </x:c>
    </x:row>
    <x:row r="20">
      <x:c r="A20" s="42" t="n">
        <x:f>'Materials'!A20</x:f>
        <x:v>1105</x:v>
      </x:c>
      <x:c r="B20" s="41" t="n">
        <x:f>IF('Materials'!I20="","",'Materials'!I20)</x:f>
        <x:v>8020</x:v>
      </x:c>
      <x:c r="C20" s="41" t="n">
        <x:f>IF('Materials'!J20="","",'Materials'!J20)</x:f>
        <x:v>193</x:v>
      </x:c>
      <x:c r="D20" s="41" t="n">
        <x:f>IF('Materials'!N20="","",'Materials'!N20)</x:f>
        <x:v>74.8062015503876</x:v>
      </x:c>
      <x:c r="E20" s="41" t="n">
        <x:f>IF('Materials'!K20="","",'Materials'!K20)</x:f>
        <x:v>0.29</x:v>
      </x:c>
      <x:c r="F20" s="41" t="n">
        <x:f>IF('Materials'!P20="","",'Materials'!P20)</x:f>
        <x:v>205</x:v>
      </x:c>
      <x:c r="G20" s="41" t="n">
        <x:f>IF('Materials'!Q20="","",'Materials'!Q20)</x:f>
        <x:v>515</x:v>
      </x:c>
      <x:c r="H20" s="41" t="str">
        <x:f>IF('Materials'!R20="","",'Materials'!R20)</x:f>
      </x:c>
      <x:c r="I20" s="41" t="str">
        <x:f>IF('Materials'!S20="","",'Materials'!S20)</x:f>
      </x:c>
      <x:c r="J20" s="41" t="n">
        <x:f>IF('Materials'!T20="","",'Materials'!T20)</x:f>
        <x:v>0.4</x:v>
      </x:c>
      <x:c r="K20" s="41" t="n">
        <x:f>IF('Materials'!U20="","",'Materials'!U20)</x:f>
        <x:v>110</x:v>
      </x:c>
      <x:c r="L20" s="41" t="n">
        <x:f>IF('Materials'!V20="","",'Materials'!V20)</x:f>
        <x:v>16.1</x:v>
      </x:c>
      <x:c r="M20" s="41" t="n">
        <x:f>IF('Materials'!W20="","",'Materials'!W20)</x:f>
        <x:v>500</x:v>
      </x:c>
      <x:c r="N20" s="41" t="n">
        <x:f>IF('Materials'!X20="","",'Materials'!X20)</x:f>
        <x:v>16.6</x:v>
      </x:c>
      <x:c r="O20" s="43" t="n">
        <x:f>IF('Materials'!Y20="","",'Materials'!Y20)</x:f>
        <x:v>7.2e-7</x:v>
      </x:c>
      <x:c r="P20" s="41" t="n">
        <x:f>IF('Materials'!Z20="","",'Materials'!Z20)</x:f>
        <x:v>1400</x:v>
      </x:c>
      <x:c r="Q20" s="41" t="n">
        <x:f>IF('Materials'!AA20="","",'Materials'!AA20)</x:f>
        <x:v>870</x:v>
      </x:c>
      <x:c r="R20" s="41" t="n">
        <x:f>IF('Materials'!AB20="","",'Materials'!AB20)</x:f>
        <x:v>150</x:v>
      </x:c>
      <x:c r="S20" s="41" t="n">
        <x:f>IF('Materials'!O20="","",'Materials'!O20)</x:f>
        <x:v>153.17460317460313</x:v>
      </x:c>
    </x:row>
    <x:row r="21">
      <x:c r="A21" s="42" t="n">
        <x:f>'Materials'!A21</x:f>
        <x:v>1106</x:v>
      </x:c>
      <x:c r="B21" s="41" t="n">
        <x:f>IF('Materials'!I21="","",'Materials'!I21)</x:f>
        <x:v>7750</x:v>
      </x:c>
      <x:c r="C21" s="41" t="n">
        <x:f>IF('Materials'!J21="","",'Materials'!J21)</x:f>
        <x:v>200</x:v>
      </x:c>
      <x:c r="D21" s="41" t="n">
        <x:f>IF('Materials'!N21="","",'Materials'!N21)</x:f>
        <x:v>78.125</x:v>
      </x:c>
      <x:c r="E21" s="41" t="n">
        <x:f>IF('Materials'!K21="","",'Materials'!K21)</x:f>
        <x:v>0.28</x:v>
      </x:c>
      <x:c r="F21" s="41" t="n">
        <x:f>IF('Materials'!P21="","",'Materials'!P21)</x:f>
        <x:v>275</x:v>
      </x:c>
      <x:c r="G21" s="41" t="n">
        <x:f>IF('Materials'!Q21="","",'Materials'!Q21)</x:f>
        <x:v>480</x:v>
      </x:c>
      <x:c r="H21" s="41" t="str">
        <x:f>IF('Materials'!R21="","",'Materials'!R21)</x:f>
      </x:c>
      <x:c r="I21" s="41" t="str">
        <x:f>IF('Materials'!S21="","",'Materials'!S21)</x:f>
      </x:c>
      <x:c r="J21" s="41" t="n">
        <x:f>IF('Materials'!T21="","",'Materials'!T21)</x:f>
        <x:v>0.25</x:v>
      </x:c>
      <x:c r="K21" s="41" t="n">
        <x:f>IF('Materials'!U21="","",'Materials'!U21)</x:f>
        <x:v>65</x:v>
      </x:c>
      <x:c r="L21" s="41" t="n">
        <x:f>IF('Materials'!V21="","",'Materials'!V21)</x:f>
        <x:v>24.9</x:v>
      </x:c>
      <x:c r="M21" s="41" t="n">
        <x:f>IF('Materials'!W21="","",'Materials'!W21)</x:f>
        <x:v>460</x:v>
      </x:c>
      <x:c r="N21" s="41" t="n">
        <x:f>IF('Materials'!X21="","",'Materials'!X21)</x:f>
        <x:v>9.9</x:v>
      </x:c>
      <x:c r="O21" s="43" t="n">
        <x:f>IF('Materials'!Y21="","",'Materials'!Y21)</x:f>
        <x:v>5.7e-7</x:v>
      </x:c>
      <x:c r="P21" s="41" t="n">
        <x:f>IF('Materials'!Z21="","",'Materials'!Z21)</x:f>
        <x:v>1480</x:v>
      </x:c>
      <x:c r="Q21" s="41" t="n">
        <x:f>IF('Materials'!AA21="","",'Materials'!AA21)</x:f>
        <x:v>650</x:v>
      </x:c>
      <x:c r="R21" s="41" t="n">
        <x:f>IF('Materials'!AB21="","",'Materials'!AB21)</x:f>
        <x:v>155</x:v>
      </x:c>
      <x:c r="S21" s="41" t="n">
        <x:f>IF('Materials'!O21="","",'Materials'!O21)</x:f>
        <x:v>151.51515151515153</x:v>
      </x:c>
    </x:row>
    <x:row r="22">
      <x:c r="A22" s="42" t="n">
        <x:f>'Materials'!A22</x:f>
        <x:v>1107</x:v>
      </x:c>
      <x:c r="B22" s="41" t="n">
        <x:f>IF('Materials'!I22="","",'Materials'!I22)</x:f>
        <x:v>7740</x:v>
      </x:c>
      <x:c r="C22" s="41" t="n">
        <x:f>IF('Materials'!J22="","",'Materials'!J22)</x:f>
        <x:v>200</x:v>
      </x:c>
      <x:c r="D22" s="41" t="n">
        <x:f>IF('Materials'!N22="","",'Materials'!N22)</x:f>
        <x:v>78.125</x:v>
      </x:c>
      <x:c r="E22" s="41" t="n">
        <x:f>IF('Materials'!K22="","",'Materials'!K22)</x:f>
        <x:v>0.28</x:v>
      </x:c>
      <x:c r="F22" s="41" t="n">
        <x:f>IF('Materials'!P22="","",'Materials'!P22)</x:f>
        <x:v>1000</x:v>
      </x:c>
      <x:c r="G22" s="41" t="n">
        <x:f>IF('Materials'!Q22="","",'Materials'!Q22)</x:f>
        <x:v>1250</x:v>
      </x:c>
      <x:c r="H22" s="41" t="str">
        <x:f>IF('Materials'!R22="","",'Materials'!R22)</x:f>
      </x:c>
      <x:c r="I22" s="41" t="str">
        <x:f>IF('Materials'!S22="","",'Materials'!S22)</x:f>
      </x:c>
      <x:c r="J22" s="41" t="n">
        <x:f>IF('Materials'!T22="","",'Materials'!T22)</x:f>
        <x:v>0.05</x:v>
      </x:c>
      <x:c r="K22" s="41" t="n">
        <x:f>IF('Materials'!U22="","",'Materials'!U22)</x:f>
        <x:v>30</x:v>
      </x:c>
      <x:c r="L22" s="41" t="n">
        <x:f>IF('Materials'!V22="","",'Materials'!V22)</x:f>
        <x:v>24.9</x:v>
      </x:c>
      <x:c r="M22" s="41" t="n">
        <x:f>IF('Materials'!W22="","",'Materials'!W22)</x:f>
        <x:v>460</x:v>
      </x:c>
      <x:c r="N22" s="41" t="n">
        <x:f>IF('Materials'!X22="","",'Materials'!X22)</x:f>
        <x:v>10.3</x:v>
      </x:c>
      <x:c r="O22" s="43" t="n">
        <x:f>IF('Materials'!Y22="","",'Materials'!Y22)</x:f>
        <x:v>5.5e-7</x:v>
      </x:c>
      <x:c r="P22" s="41" t="n">
        <x:f>IF('Materials'!Z22="","",'Materials'!Z22)</x:f>
        <x:v>1450</x:v>
      </x:c>
      <x:c r="Q22" s="41" t="n">
        <x:f>IF('Materials'!AA22="","",'Materials'!AA22)</x:f>
        <x:v>540</x:v>
      </x:c>
      <x:c r="R22" s="41" t="n">
        <x:f>IF('Materials'!AB22="","",'Materials'!AB22)</x:f>
        <x:v>520</x:v>
      </x:c>
      <x:c r="S22" s="41" t="n">
        <x:f>IF('Materials'!O22="","",'Materials'!O22)</x:f>
        <x:v>151.51515151515153</x:v>
      </x:c>
    </x:row>
    <x:row r="23">
      <x:c r="A23" s="42" t="n">
        <x:f>'Materials'!A23</x:f>
        <x:v>1108</x:v>
      </x:c>
      <x:c r="B23" s="41" t="n">
        <x:f>IF('Materials'!I23="","",'Materials'!I23)</x:f>
        <x:v>7750</x:v>
      </x:c>
      <x:c r="C23" s="41" t="n">
        <x:f>IF('Materials'!J23="","",'Materials'!J23)</x:f>
        <x:v>200</x:v>
      </x:c>
      <x:c r="D23" s="41" t="n">
        <x:f>IF('Materials'!N23="","",'Materials'!N23)</x:f>
        <x:v>77.51937984496124</x:v>
      </x:c>
      <x:c r="E23" s="41" t="n">
        <x:f>IF('Materials'!K23="","",'Materials'!K23)</x:f>
        <x:v>0.29</x:v>
      </x:c>
      <x:c r="F23" s="41" t="n">
        <x:f>IF('Materials'!P23="","",'Materials'!P23)</x:f>
        <x:v>205</x:v>
      </x:c>
      <x:c r="G23" s="41" t="n">
        <x:f>IF('Materials'!Q23="","",'Materials'!Q23)</x:f>
        <x:v>450</x:v>
      </x:c>
      <x:c r="H23" s="41" t="str">
        <x:f>IF('Materials'!R23="","",'Materials'!R23)</x:f>
      </x:c>
      <x:c r="I23" s="41" t="str">
        <x:f>IF('Materials'!S23="","",'Materials'!S23)</x:f>
      </x:c>
      <x:c r="J23" s="41" t="n">
        <x:f>IF('Materials'!T23="","",'Materials'!T23)</x:f>
        <x:v>0.22</x:v>
      </x:c>
      <x:c r="K23" s="41" t="n">
        <x:f>IF('Materials'!U23="","",'Materials'!U23)</x:f>
        <x:v>55</x:v>
      </x:c>
      <x:c r="L23" s="41" t="n">
        <x:f>IF('Materials'!V23="","",'Materials'!V23)</x:f>
        <x:v>26.1</x:v>
      </x:c>
      <x:c r="M23" s="41" t="n">
        <x:f>IF('Materials'!W23="","",'Materials'!W23)</x:f>
        <x:v>460</x:v>
      </x:c>
      <x:c r="N23" s="41" t="n">
        <x:f>IF('Materials'!X23="","",'Materials'!X23)</x:f>
        <x:v>10.4</x:v>
      </x:c>
      <x:c r="O23" s="43" t="n">
        <x:f>IF('Materials'!Y23="","",'Materials'!Y23)</x:f>
        <x:v>6e-7</x:v>
      </x:c>
      <x:c r="P23" s="41" t="n">
        <x:f>IF('Materials'!Z23="","",'Materials'!Z23)</x:f>
        <x:v>1480</x:v>
      </x:c>
      <x:c r="Q23" s="41" t="n">
        <x:f>IF('Materials'!AA23="","",'Materials'!AA23)</x:f>
        <x:v>815</x:v>
      </x:c>
      <x:c r="R23" s="41" t="n">
        <x:f>IF('Materials'!AB23="","",'Materials'!AB23)</x:f>
        <x:v>160</x:v>
      </x:c>
      <x:c r="S23" s="41" t="n">
        <x:f>IF('Materials'!O23="","",'Materials'!O23)</x:f>
        <x:v>158.7301587301587</x:v>
      </x:c>
    </x:row>
    <x:row r="24">
      <x:c r="A24" s="42" t="n">
        <x:f>'Materials'!A24</x:f>
        <x:v>1109</x:v>
      </x:c>
      <x:c r="B24" s="41" t="n">
        <x:f>IF('Materials'!I24="","",'Materials'!I24)</x:f>
        <x:v>7780</x:v>
      </x:c>
      <x:c r="C24" s="41" t="n">
        <x:f>IF('Materials'!J24="","",'Materials'!J24)</x:f>
        <x:v>197</x:v>
      </x:c>
      <x:c r="D24" s="41" t="n">
        <x:f>IF('Materials'!N24="","",'Materials'!N24)</x:f>
        <x:v>77.55905511811024</x:v>
      </x:c>
      <x:c r="E24" s="41" t="n">
        <x:f>IF('Materials'!K24="","",'Materials'!K24)</x:f>
        <x:v>0.27</x:v>
      </x:c>
      <x:c r="F24" s="41" t="n">
        <x:f>IF('Materials'!P24="","",'Materials'!P24)</x:f>
        <x:v>1170</x:v>
      </x:c>
      <x:c r="G24" s="41" t="n">
        <x:f>IF('Materials'!Q24="","",'Materials'!Q24)</x:f>
        <x:v>1310</x:v>
      </x:c>
      <x:c r="H24" s="41" t="str">
        <x:f>IF('Materials'!R24="","",'Materials'!R24)</x:f>
      </x:c>
      <x:c r="I24" s="41" t="str">
        <x:f>IF('Materials'!S24="","",'Materials'!S24)</x:f>
      </x:c>
      <x:c r="J24" s="41" t="n">
        <x:f>IF('Materials'!T24="","",'Materials'!T24)</x:f>
        <x:v>0.1</x:v>
      </x:c>
      <x:c r="K24" s="41" t="n">
        <x:f>IF('Materials'!U24="","",'Materials'!U24)</x:f>
        <x:v>55</x:v>
      </x:c>
      <x:c r="L24" s="41" t="n">
        <x:f>IF('Materials'!V24="","",'Materials'!V24)</x:f>
        <x:v>18.3</x:v>
      </x:c>
      <x:c r="M24" s="41" t="n">
        <x:f>IF('Materials'!W24="","",'Materials'!W24)</x:f>
        <x:v>460</x:v>
      </x:c>
      <x:c r="N24" s="41" t="n">
        <x:f>IF('Materials'!X24="","",'Materials'!X24)</x:f>
        <x:v>10.8</x:v>
      </x:c>
      <x:c r="O24" s="43" t="n">
        <x:f>IF('Materials'!Y24="","",'Materials'!Y24)</x:f>
        <x:v>8e-7</x:v>
      </x:c>
      <x:c r="P24" s="41" t="n">
        <x:f>IF('Materials'!Z24="","",'Materials'!Z24)</x:f>
        <x:v>1400</x:v>
      </x:c>
      <x:c r="Q24" s="41" t="n">
        <x:f>IF('Materials'!AA24="","",'Materials'!AA24)</x:f>
        <x:v>315</x:v>
      </x:c>
      <x:c r="R24" s="41" t="n">
        <x:f>IF('Materials'!AB24="","",'Materials'!AB24)</x:f>
        <x:v>420</x:v>
      </x:c>
      <x:c r="S24" s="41" t="n">
        <x:f>IF('Materials'!O24="","",'Materials'!O24)</x:f>
        <x:v>142.7536231884058</x:v>
      </x:c>
    </x:row>
    <x:row r="25">
      <x:c r="A25" s="42" t="n">
        <x:f>'Materials'!A25</x:f>
        <x:v>1110</x:v>
      </x:c>
      <x:c r="B25" s="41" t="n">
        <x:f>IF('Materials'!I25="","",'Materials'!I25)</x:f>
        <x:v>7800</x:v>
      </x:c>
      <x:c r="C25" s="41" t="n">
        <x:f>IF('Materials'!J25="","",'Materials'!J25)</x:f>
        <x:v>200</x:v>
      </x:c>
      <x:c r="D25" s="41" t="n">
        <x:f>IF('Materials'!N25="","",'Materials'!N25)</x:f>
        <x:v>76.92307692307692</x:v>
      </x:c>
      <x:c r="E25" s="41" t="n">
        <x:f>IF('Materials'!K25="","",'Materials'!K25)</x:f>
        <x:v>0.3</x:v>
      </x:c>
      <x:c r="F25" s="41" t="n">
        <x:f>IF('Materials'!P25="","",'Materials'!P25)</x:f>
        <x:v>450</x:v>
      </x:c>
      <x:c r="G25" s="41" t="n">
        <x:f>IF('Materials'!Q25="","",'Materials'!Q25)</x:f>
        <x:v>620</x:v>
      </x:c>
      <x:c r="H25" s="41" t="str">
        <x:f>IF('Materials'!R25="","",'Materials'!R25)</x:f>
      </x:c>
      <x:c r="I25" s="41" t="str">
        <x:f>IF('Materials'!S25="","",'Materials'!S25)</x:f>
      </x:c>
      <x:c r="J25" s="41" t="n">
        <x:f>IF('Materials'!T25="","",'Materials'!T25)</x:f>
        <x:v>0.25</x:v>
      </x:c>
      <x:c r="K25" s="41" t="n">
        <x:f>IF('Materials'!U25="","",'Materials'!U25)</x:f>
        <x:v>130</x:v>
      </x:c>
      <x:c r="L25" s="41" t="n">
        <x:f>IF('Materials'!V25="","",'Materials'!V25)</x:f>
        <x:v>19</x:v>
      </x:c>
      <x:c r="M25" s="41" t="n">
        <x:f>IF('Materials'!W25="","",'Materials'!W25)</x:f>
        <x:v>500</x:v>
      </x:c>
      <x:c r="N25" s="41" t="n">
        <x:f>IF('Materials'!X25="","",'Materials'!X25)</x:f>
        <x:v>13</x:v>
      </x:c>
      <x:c r="O25" s="43" t="n">
        <x:f>IF('Materials'!Y25="","",'Materials'!Y25)</x:f>
        <x:v>8.5e-7</x:v>
      </x:c>
      <x:c r="P25" s="41" t="n">
        <x:f>IF('Materials'!Z25="","",'Materials'!Z25)</x:f>
        <x:v>1400</x:v>
      </x:c>
      <x:c r="Q25" s="41" t="n">
        <x:f>IF('Materials'!AA25="","",'Materials'!AA25)</x:f>
        <x:v>315</x:v>
      </x:c>
      <x:c r="R25" s="41" t="n">
        <x:f>IF('Materials'!AB25="","",'Materials'!AB25)</x:f>
        <x:v>260</x:v>
      </x:c>
      <x:c r="S25" s="41" t="n">
        <x:f>IF('Materials'!O25="","",'Materials'!O25)</x:f>
        <x:v>166.66666666666663</x:v>
      </x:c>
    </x:row>
    <x:row r="26">
      <x:c r="A26" s="42" t="n">
        <x:f>'Materials'!A26</x:f>
        <x:v>1201</x:v>
      </x:c>
      <x:c r="B26" s="41" t="n">
        <x:f>IF('Materials'!I26="","",'Materials'!I26)</x:f>
        <x:v>7200</x:v>
      </x:c>
      <x:c r="C26" s="41" t="n">
        <x:f>IF('Materials'!J26="","",'Materials'!J26)</x:f>
        <x:v>110</x:v>
      </x:c>
      <x:c r="D26" s="41" t="n">
        <x:f>IF('Materials'!N26="","",'Materials'!N26)</x:f>
        <x:v>43.65079365079365</x:v>
      </x:c>
      <x:c r="E26" s="41" t="n">
        <x:f>IF('Materials'!K26="","",'Materials'!K26)</x:f>
        <x:v>0.26</x:v>
      </x:c>
      <x:c r="F26" s="41" t="str">
        <x:f>IF('Materials'!P26="","",'Materials'!P26)</x:f>
      </x:c>
      <x:c r="G26" s="41" t="n">
        <x:f>IF('Materials'!Q26="","",'Materials'!Q26)</x:f>
        <x:v>214</x:v>
      </x:c>
      <x:c r="H26" s="41" t="n">
        <x:f>IF('Materials'!R26="","",'Materials'!R26)</x:f>
        <x:v>750</x:v>
      </x:c>
      <x:c r="I26" s="41" t="n">
        <x:f>IF('Materials'!S26="","",'Materials'!S26)</x:f>
        <x:v>300</x:v>
      </x:c>
      <x:c r="J26" s="41" t="n">
        <x:f>IF('Materials'!T26="","",'Materials'!T26)</x:f>
        <x:v>0.005</x:v>
      </x:c>
      <x:c r="K26" s="41" t="n">
        <x:f>IF('Materials'!U26="","",'Materials'!U26)</x:f>
        <x:v>20</x:v>
      </x:c>
      <x:c r="L26" s="41" t="n">
        <x:f>IF('Materials'!V26="","",'Materials'!V26)</x:f>
        <x:v>53</x:v>
      </x:c>
      <x:c r="M26" s="41" t="n">
        <x:f>IF('Materials'!W26="","",'Materials'!W26)</x:f>
        <x:v>460</x:v>
      </x:c>
      <x:c r="N26" s="41" t="n">
        <x:f>IF('Materials'!X26="","",'Materials'!X26)</x:f>
        <x:v>10.5</x:v>
      </x:c>
      <x:c r="O26" s="43" t="n">
        <x:f>IF('Materials'!Y26="","",'Materials'!Y26)</x:f>
        <x:v>8e-7</x:v>
      </x:c>
      <x:c r="P26" s="41" t="n">
        <x:f>IF('Materials'!Z26="","",'Materials'!Z26)</x:f>
        <x:v>1150</x:v>
      </x:c>
      <x:c r="Q26" s="41" t="n">
        <x:f>IF('Materials'!AA26="","",'Materials'!AA26)</x:f>
        <x:v>400</x:v>
      </x:c>
      <x:c r="R26" s="41" t="n">
        <x:f>IF('Materials'!AB26="","",'Materials'!AB26)</x:f>
        <x:v>210</x:v>
      </x:c>
      <x:c r="S26" s="41" t="n">
        <x:f>IF('Materials'!O26="","",'Materials'!O26)</x:f>
        <x:v>76.38888888888889</x:v>
      </x:c>
    </x:row>
    <x:row r="27">
      <x:c r="A27" s="42" t="n">
        <x:f>'Materials'!A27</x:f>
        <x:v>1202</x:v>
      </x:c>
      <x:c r="B27" s="41" t="n">
        <x:f>IF('Materials'!I27="","",'Materials'!I27)</x:f>
        <x:v>7100</x:v>
      </x:c>
      <x:c r="C27" s="41" t="n">
        <x:f>IF('Materials'!J27="","",'Materials'!J27)</x:f>
        <x:v>169</x:v>
      </x:c>
      <x:c r="D27" s="41" t="n">
        <x:f>IF('Materials'!N27="","",'Materials'!N27)</x:f>
        <x:v>65.50387596899225</x:v>
      </x:c>
      <x:c r="E27" s="41" t="n">
        <x:f>IF('Materials'!K27="","",'Materials'!K27)</x:f>
        <x:v>0.29</x:v>
      </x:c>
      <x:c r="F27" s="41" t="n">
        <x:f>IF('Materials'!P27="","",'Materials'!P27)</x:f>
        <x:v>310</x:v>
      </x:c>
      <x:c r="G27" s="41" t="n">
        <x:f>IF('Materials'!Q27="","",'Materials'!Q27)</x:f>
        <x:v>450</x:v>
      </x:c>
      <x:c r="H27" s="41" t="n">
        <x:f>IF('Materials'!R27="","",'Materials'!R27)</x:f>
        <x:v>700</x:v>
      </x:c>
      <x:c r="I27" s="41" t="str">
        <x:f>IF('Materials'!S27="","",'Materials'!S27)</x:f>
      </x:c>
      <x:c r="J27" s="41" t="n">
        <x:f>IF('Materials'!T27="","",'Materials'!T27)</x:f>
        <x:v>0.12</x:v>
      </x:c>
      <x:c r="K27" s="41" t="n">
        <x:f>IF('Materials'!U27="","",'Materials'!U27)</x:f>
        <x:v>35</x:v>
      </x:c>
      <x:c r="L27" s="41" t="n">
        <x:f>IF('Materials'!V27="","",'Materials'!V27)</x:f>
        <x:v>36</x:v>
      </x:c>
      <x:c r="M27" s="41" t="n">
        <x:f>IF('Materials'!W27="","",'Materials'!W27)</x:f>
        <x:v>460</x:v>
      </x:c>
      <x:c r="N27" s="41" t="n">
        <x:f>IF('Materials'!X27="","",'Materials'!X27)</x:f>
        <x:v>11</x:v>
      </x:c>
      <x:c r="O27" s="43" t="n">
        <x:f>IF('Materials'!Y27="","",'Materials'!Y27)</x:f>
        <x:v>6e-7</x:v>
      </x:c>
      <x:c r="P27" s="41" t="n">
        <x:f>IF('Materials'!Z27="","",'Materials'!Z27)</x:f>
        <x:v>1150</x:v>
      </x:c>
      <x:c r="Q27" s="41" t="n">
        <x:f>IF('Materials'!AA27="","",'Materials'!AA27)</x:f>
        <x:v>400</x:v>
      </x:c>
      <x:c r="R27" s="41" t="n">
        <x:f>IF('Materials'!AB27="","",'Materials'!AB27)</x:f>
        <x:v>170</x:v>
      </x:c>
      <x:c r="S27" s="41" t="n">
        <x:f>IF('Materials'!O27="","",'Materials'!O27)</x:f>
        <x:v>134.1269841269841</x:v>
      </x:c>
    </x:row>
    <x:row r="28">
      <x:c r="A28" s="42" t="n">
        <x:f>'Materials'!A28</x:f>
        <x:v>1203</x:v>
      </x:c>
      <x:c r="B28" s="41" t="n">
        <x:f>IF('Materials'!I28="","",'Materials'!I28)</x:f>
        <x:v>7250</x:v>
      </x:c>
      <x:c r="C28" s="41" t="n">
        <x:f>IF('Materials'!J28="","",'Materials'!J28)</x:f>
        <x:v>150</x:v>
      </x:c>
      <x:c r="D28" s="41" t="n">
        <x:f>IF('Materials'!N28="","",'Materials'!N28)</x:f>
        <x:v>59.05511811023622</x:v>
      </x:c>
      <x:c r="E28" s="41" t="n">
        <x:f>IF('Materials'!K28="","",'Materials'!K28)</x:f>
        <x:v>0.27</x:v>
      </x:c>
      <x:c r="F28" s="41" t="n">
        <x:f>IF('Materials'!P28="","",'Materials'!P28)</x:f>
        <x:v>350</x:v>
      </x:c>
      <x:c r="G28" s="41" t="n">
        <x:f>IF('Materials'!Q28="","",'Materials'!Q28)</x:f>
        <x:v>500</x:v>
      </x:c>
      <x:c r="H28" s="41" t="n">
        <x:f>IF('Materials'!R28="","",'Materials'!R28)</x:f>
        <x:v>1000</x:v>
      </x:c>
      <x:c r="I28" s="41" t="n">
        <x:f>IF('Materials'!S28="","",'Materials'!S28)</x:f>
        <x:v>550</x:v>
      </x:c>
      <x:c r="J28" s="41" t="n">
        <x:f>IF('Materials'!T28="","",'Materials'!T28)</x:f>
        <x:v>0.03</x:v>
      </x:c>
      <x:c r="K28" s="41" t="n">
        <x:f>IF('Materials'!U28="","",'Materials'!U28)</x:f>
        <x:v>25</x:v>
      </x:c>
      <x:c r="L28" s="41" t="n">
        <x:f>IF('Materials'!V28="","",'Materials'!V28)</x:f>
        <x:v>42</x:v>
      </x:c>
      <x:c r="M28" s="41" t="n">
        <x:f>IF('Materials'!W28="","",'Materials'!W28)</x:f>
        <x:v>460</x:v>
      </x:c>
      <x:c r="N28" s="41" t="n">
        <x:f>IF('Materials'!X28="","",'Materials'!X28)</x:f>
        <x:v>11</x:v>
      </x:c>
      <x:c r="O28" s="43" t="n">
        <x:f>IF('Materials'!Y28="","",'Materials'!Y28)</x:f>
        <x:v>7e-7</x:v>
      </x:c>
      <x:c r="P28" s="41" t="n">
        <x:f>IF('Materials'!Z28="","",'Materials'!Z28)</x:f>
        <x:v>1150</x:v>
      </x:c>
      <x:c r="Q28" s="41" t="n">
        <x:f>IF('Materials'!AA28="","",'Materials'!AA28)</x:f>
        <x:v>450</x:v>
      </x:c>
      <x:c r="R28" s="41" t="n">
        <x:f>IF('Materials'!AB28="","",'Materials'!AB28)</x:f>
        <x:v>220</x:v>
      </x:c>
      <x:c r="S28" s="41" t="n">
        <x:f>IF('Materials'!O28="","",'Materials'!O28)</x:f>
        <x:v>108.69565217391305</x:v>
      </x:c>
    </x:row>
    <x:row r="29">
      <x:c r="A29" s="42" t="n">
        <x:f>'Materials'!A29</x:f>
        <x:v>2001</x:v>
      </x:c>
      <x:c r="B29" s="41" t="n">
        <x:f>IF('Materials'!I29="","",'Materials'!I29)</x:f>
        <x:v>2710</x:v>
      </x:c>
      <x:c r="C29" s="41" t="n">
        <x:f>IF('Materials'!J29="","",'Materials'!J29)</x:f>
        <x:v>69</x:v>
      </x:c>
      <x:c r="D29" s="41" t="n">
        <x:f>IF('Materials'!N29="","",'Materials'!N29)</x:f>
        <x:v>25.939849624060148</x:v>
      </x:c>
      <x:c r="E29" s="41" t="n">
        <x:f>IF('Materials'!K29="","",'Materials'!K29)</x:f>
        <x:v>0.33</x:v>
      </x:c>
      <x:c r="F29" s="41" t="n">
        <x:f>IF('Materials'!P29="","",'Materials'!P29)</x:f>
        <x:v>95</x:v>
      </x:c>
      <x:c r="G29" s="41" t="n">
        <x:f>IF('Materials'!Q29="","",'Materials'!Q29)</x:f>
        <x:v>110</x:v>
      </x:c>
      <x:c r="H29" s="41" t="str">
        <x:f>IF('Materials'!R29="","",'Materials'!R29)</x:f>
      </x:c>
      <x:c r="I29" s="41" t="str">
        <x:f>IF('Materials'!S29="","",'Materials'!S29)</x:f>
      </x:c>
      <x:c r="J29" s="41" t="n">
        <x:f>IF('Materials'!T29="","",'Materials'!T29)</x:f>
        <x:v>0.12</x:v>
      </x:c>
      <x:c r="K29" s="41" t="n">
        <x:f>IF('Materials'!U29="","",'Materials'!U29)</x:f>
        <x:v>25</x:v>
      </x:c>
      <x:c r="L29" s="41" t="n">
        <x:f>IF('Materials'!V29="","",'Materials'!V29)</x:f>
        <x:v>222</x:v>
      </x:c>
      <x:c r="M29" s="41" t="n">
        <x:f>IF('Materials'!W29="","",'Materials'!W29)</x:f>
        <x:v>904</x:v>
      </x:c>
      <x:c r="N29" s="41" t="n">
        <x:f>IF('Materials'!X29="","",'Materials'!X29)</x:f>
        <x:v>23.6</x:v>
      </x:c>
      <x:c r="O29" s="43" t="n">
        <x:f>IF('Materials'!Y29="","",'Materials'!Y29)</x:f>
        <x:v>2.82e-8</x:v>
      </x:c>
      <x:c r="P29" s="41" t="n">
        <x:f>IF('Materials'!Z29="","",'Materials'!Z29)</x:f>
        <x:v>657</x:v>
      </x:c>
      <x:c r="Q29" s="41" t="n">
        <x:f>IF('Materials'!AA29="","",'Materials'!AA29)</x:f>
        <x:v>200</x:v>
      </x:c>
      <x:c r="R29" s="41" t="n">
        <x:f>IF('Materials'!AB29="","",'Materials'!AB29)</x:f>
        <x:v>32</x:v>
      </x:c>
      <x:c r="S29" s="41" t="n">
        <x:f>IF('Materials'!O29="","",'Materials'!O29)</x:f>
        <x:v>67.6470588235294</x:v>
      </x:c>
    </x:row>
    <x:row r="30">
      <x:c r="A30" s="42" t="n">
        <x:f>'Materials'!A30</x:f>
        <x:v>2002</x:v>
      </x:c>
      <x:c r="B30" s="41" t="n">
        <x:f>IF('Materials'!I30="","",'Materials'!I30)</x:f>
        <x:v>2780</x:v>
      </x:c>
      <x:c r="C30" s="41" t="n">
        <x:f>IF('Materials'!J30="","",'Materials'!J30)</x:f>
        <x:v>73.1</x:v>
      </x:c>
      <x:c r="D30" s="41" t="n">
        <x:f>IF('Materials'!N30="","",'Materials'!N30)</x:f>
        <x:v>27.481203007518793</x:v>
      </x:c>
      <x:c r="E30" s="41" t="n">
        <x:f>IF('Materials'!K30="","",'Materials'!K30)</x:f>
        <x:v>0.33</x:v>
      </x:c>
      <x:c r="F30" s="41" t="n">
        <x:f>IF('Materials'!P30="","",'Materials'!P30)</x:f>
        <x:v>345</x:v>
      </x:c>
      <x:c r="G30" s="41" t="n">
        <x:f>IF('Materials'!Q30="","",'Materials'!Q30)</x:f>
        <x:v>483</x:v>
      </x:c>
      <x:c r="H30" s="41" t="str">
        <x:f>IF('Materials'!R30="","",'Materials'!R30)</x:f>
      </x:c>
      <x:c r="I30" s="41" t="str">
        <x:f>IF('Materials'!S30="","",'Materials'!S30)</x:f>
      </x:c>
      <x:c r="J30" s="41" t="n">
        <x:f>IF('Materials'!T30="","",'Materials'!T30)</x:f>
        <x:v>0.18</x:v>
      </x:c>
      <x:c r="K30" s="41" t="n">
        <x:f>IF('Materials'!U30="","",'Materials'!U30)</x:f>
        <x:v>35</x:v>
      </x:c>
      <x:c r="L30" s="41" t="n">
        <x:f>IF('Materials'!V30="","",'Materials'!V30)</x:f>
        <x:v>121</x:v>
      </x:c>
      <x:c r="M30" s="41" t="n">
        <x:f>IF('Materials'!W30="","",'Materials'!W30)</x:f>
        <x:v>875</x:v>
      </x:c>
      <x:c r="N30" s="41" t="n">
        <x:f>IF('Materials'!X30="","",'Materials'!X30)</x:f>
        <x:v>23.2</x:v>
      </x:c>
      <x:c r="O30" s="43" t="n">
        <x:f>IF('Materials'!Y30="","",'Materials'!Y30)</x:f>
        <x:v>5.8e-8</x:v>
      </x:c>
      <x:c r="P30" s="41" t="n">
        <x:f>IF('Materials'!Z30="","",'Materials'!Z30)</x:f>
        <x:v>502</x:v>
      </x:c>
      <x:c r="Q30" s="41" t="n">
        <x:f>IF('Materials'!AA30="","",'Materials'!AA30)</x:f>
        <x:v>150</x:v>
      </x:c>
      <x:c r="R30" s="41" t="n">
        <x:f>IF('Materials'!AB30="","",'Materials'!AB30)</x:f>
        <x:v>137</x:v>
      </x:c>
      <x:c r="S30" s="41" t="n">
        <x:f>IF('Materials'!O30="","",'Materials'!O30)</x:f>
        <x:v>71.66666666666666</x:v>
      </x:c>
    </x:row>
    <x:row r="31">
      <x:c r="A31" s="42" t="n">
        <x:f>'Materials'!A31</x:f>
        <x:v>2003</x:v>
      </x:c>
      <x:c r="B31" s="41" t="n">
        <x:f>IF('Materials'!I31="","",'Materials'!I31)</x:f>
        <x:v>2730</x:v>
      </x:c>
      <x:c r="C31" s="41" t="n">
        <x:f>IF('Materials'!J31="","",'Materials'!J31)</x:f>
        <x:v>69</x:v>
      </x:c>
      <x:c r="D31" s="41" t="n">
        <x:f>IF('Materials'!N31="","",'Materials'!N31)</x:f>
        <x:v>25.939849624060148</x:v>
      </x:c>
      <x:c r="E31" s="41" t="n">
        <x:f>IF('Materials'!K31="","",'Materials'!K31)</x:f>
        <x:v>0.33</x:v>
      </x:c>
      <x:c r="F31" s="41" t="n">
        <x:f>IF('Materials'!P31="","",'Materials'!P31)</x:f>
        <x:v>145</x:v>
      </x:c>
      <x:c r="G31" s="41" t="n">
        <x:f>IF('Materials'!Q31="","",'Materials'!Q31)</x:f>
        <x:v>152</x:v>
      </x:c>
      <x:c r="H31" s="41" t="str">
        <x:f>IF('Materials'!R31="","",'Materials'!R31)</x:f>
      </x:c>
      <x:c r="I31" s="41" t="str">
        <x:f>IF('Materials'!S31="","",'Materials'!S31)</x:f>
      </x:c>
      <x:c r="J31" s="41" t="n">
        <x:f>IF('Materials'!T31="","",'Materials'!T31)</x:f>
        <x:v>0.08</x:v>
      </x:c>
      <x:c r="K31" s="41" t="n">
        <x:f>IF('Materials'!U31="","",'Materials'!U31)</x:f>
        <x:v>25</x:v>
      </x:c>
      <x:c r="L31" s="41" t="n">
        <x:f>IF('Materials'!V31="","",'Materials'!V31)</x:f>
        <x:v>193</x:v>
      </x:c>
      <x:c r="M31" s="41" t="n">
        <x:f>IF('Materials'!W31="","",'Materials'!W31)</x:f>
        <x:v>893</x:v>
      </x:c>
      <x:c r="N31" s="41" t="n">
        <x:f>IF('Materials'!X31="","",'Materials'!X31)</x:f>
        <x:v>23.2</x:v>
      </x:c>
      <x:c r="O31" s="43" t="n">
        <x:f>IF('Materials'!Y31="","",'Materials'!Y31)</x:f>
        <x:v>3.4e-8</x:v>
      </x:c>
      <x:c r="P31" s="41" t="n">
        <x:f>IF('Materials'!Z31="","",'Materials'!Z31)</x:f>
        <x:v>643</x:v>
      </x:c>
      <x:c r="Q31" s="41" t="n">
        <x:f>IF('Materials'!AA31="","",'Materials'!AA31)</x:f>
        <x:v>175</x:v>
      </x:c>
      <x:c r="R31" s="41" t="n">
        <x:f>IF('Materials'!AB31="","",'Materials'!AB31)</x:f>
        <x:v>40</x:v>
      </x:c>
      <x:c r="S31" s="41" t="n">
        <x:f>IF('Materials'!O31="","",'Materials'!O31)</x:f>
        <x:v>67.6470588235294</x:v>
      </x:c>
    </x:row>
    <x:row r="32">
      <x:c r="A32" s="42" t="n">
        <x:f>'Materials'!A32</x:f>
        <x:v>2004</x:v>
      </x:c>
      <x:c r="B32" s="41" t="n">
        <x:f>IF('Materials'!I32="","",'Materials'!I32)</x:f>
        <x:v>2680</x:v>
      </x:c>
      <x:c r="C32" s="41" t="n">
        <x:f>IF('Materials'!J32="","",'Materials'!J32)</x:f>
        <x:v>70.3</x:v>
      </x:c>
      <x:c r="D32" s="41" t="n">
        <x:f>IF('Materials'!N32="","",'Materials'!N32)</x:f>
        <x:v>26.428571428571427</x:v>
      </x:c>
      <x:c r="E32" s="41" t="n">
        <x:f>IF('Materials'!K32="","",'Materials'!K32)</x:f>
        <x:v>0.33</x:v>
      </x:c>
      <x:c r="F32" s="41" t="n">
        <x:f>IF('Materials'!P32="","",'Materials'!P32)</x:f>
        <x:v>193</x:v>
      </x:c>
      <x:c r="G32" s="41" t="n">
        <x:f>IF('Materials'!Q32="","",'Materials'!Q32)</x:f>
        <x:v>228</x:v>
      </x:c>
      <x:c r="H32" s="41" t="str">
        <x:f>IF('Materials'!R32="","",'Materials'!R32)</x:f>
      </x:c>
      <x:c r="I32" s="41" t="str">
        <x:f>IF('Materials'!S32="","",'Materials'!S32)</x:f>
      </x:c>
      <x:c r="J32" s="41" t="n">
        <x:f>IF('Materials'!T32="","",'Materials'!T32)</x:f>
        <x:v>0.12</x:v>
      </x:c>
      <x:c r="K32" s="41" t="n">
        <x:f>IF('Materials'!U32="","",'Materials'!U32)</x:f>
        <x:v>30</x:v>
      </x:c>
      <x:c r="L32" s="41" t="n">
        <x:f>IF('Materials'!V32="","",'Materials'!V32)</x:f>
        <x:v>138</x:v>
      </x:c>
      <x:c r="M32" s="41" t="n">
        <x:f>IF('Materials'!W32="","",'Materials'!W32)</x:f>
        <x:v>880</x:v>
      </x:c>
      <x:c r="N32" s="41" t="n">
        <x:f>IF('Materials'!X32="","",'Materials'!X32)</x:f>
        <x:v>23.8</x:v>
      </x:c>
      <x:c r="O32" s="43" t="n">
        <x:f>IF('Materials'!Y32="","",'Materials'!Y32)</x:f>
        <x:v>4.9e-8</x:v>
      </x:c>
      <x:c r="P32" s="41" t="n">
        <x:f>IF('Materials'!Z32="","",'Materials'!Z32)</x:f>
        <x:v>607</x:v>
      </x:c>
      <x:c r="Q32" s="41" t="n">
        <x:f>IF('Materials'!AA32="","",'Materials'!AA32)</x:f>
        <x:v>150</x:v>
      </x:c>
      <x:c r="R32" s="41" t="n">
        <x:f>IF('Materials'!AB32="","",'Materials'!AB32)</x:f>
        <x:v>68</x:v>
      </x:c>
      <x:c r="S32" s="41" t="n">
        <x:f>IF('Materials'!O32="","",'Materials'!O32)</x:f>
        <x:v>68.92156862745098</x:v>
      </x:c>
    </x:row>
    <x:row r="33">
      <x:c r="A33" s="42" t="n">
        <x:f>'Materials'!A33</x:f>
        <x:v>2005</x:v>
      </x:c>
      <x:c r="B33" s="41" t="n">
        <x:f>IF('Materials'!I33="","",'Materials'!I33)</x:f>
        <x:v>2660</x:v>
      </x:c>
      <x:c r="C33" s="41" t="n">
        <x:f>IF('Materials'!J33="","",'Materials'!J33)</x:f>
        <x:v>71</x:v>
      </x:c>
      <x:c r="D33" s="41" t="n">
        <x:f>IF('Materials'!N33="","",'Materials'!N33)</x:f>
        <x:v>26.69172932330827</x:v>
      </x:c>
      <x:c r="E33" s="41" t="n">
        <x:f>IF('Materials'!K33="","",'Materials'!K33)</x:f>
        <x:v>0.33</x:v>
      </x:c>
      <x:c r="F33" s="41" t="n">
        <x:f>IF('Materials'!P33="","",'Materials'!P33)</x:f>
        <x:v>215</x:v>
      </x:c>
      <x:c r="G33" s="41" t="n">
        <x:f>IF('Materials'!Q33="","",'Materials'!Q33)</x:f>
        <x:v>305</x:v>
      </x:c>
      <x:c r="H33" s="41" t="str">
        <x:f>IF('Materials'!R33="","",'Materials'!R33)</x:f>
      </x:c>
      <x:c r="I33" s="41" t="str">
        <x:f>IF('Materials'!S33="","",'Materials'!S33)</x:f>
      </x:c>
      <x:c r="J33" s="41" t="n">
        <x:f>IF('Materials'!T33="","",'Materials'!T33)</x:f>
        <x:v>0.12</x:v>
      </x:c>
      <x:c r="K33" s="41" t="n">
        <x:f>IF('Materials'!U33="","",'Materials'!U33)</x:f>
        <x:v>32</x:v>
      </x:c>
      <x:c r="L33" s="41" t="n">
        <x:f>IF('Materials'!V33="","",'Materials'!V33)</x:f>
        <x:v>117</x:v>
      </x:c>
      <x:c r="M33" s="41" t="n">
        <x:f>IF('Materials'!W33="","",'Materials'!W33)</x:f>
        <x:v>900</x:v>
      </x:c>
      <x:c r="N33" s="41" t="n">
        <x:f>IF('Materials'!X33="","",'Materials'!X33)</x:f>
        <x:v>23.5</x:v>
      </x:c>
      <x:c r="O33" s="43" t="n">
        <x:f>IF('Materials'!Y33="","",'Materials'!Y33)</x:f>
        <x:v>5.9e-8</x:v>
      </x:c>
      <x:c r="P33" s="41" t="n">
        <x:f>IF('Materials'!Z33="","",'Materials'!Z33)</x:f>
        <x:v>590</x:v>
      </x:c>
      <x:c r="Q33" s="41" t="n">
        <x:f>IF('Materials'!AA33="","",'Materials'!AA33)</x:f>
        <x:v>150</x:v>
      </x:c>
      <x:c r="R33" s="41" t="n">
        <x:f>IF('Materials'!AB33="","",'Materials'!AB33)</x:f>
        <x:v>90</x:v>
      </x:c>
      <x:c r="S33" s="41" t="n">
        <x:f>IF('Materials'!O33="","",'Materials'!O33)</x:f>
        <x:v>69.6078431372549</x:v>
      </x:c>
    </x:row>
    <x:row r="34">
      <x:c r="A34" s="42" t="n">
        <x:f>'Materials'!A34</x:f>
        <x:v>2006</x:v>
      </x:c>
      <x:c r="B34" s="41" t="n">
        <x:f>IF('Materials'!I34="","",'Materials'!I34)</x:f>
        <x:v>2700</x:v>
      </x:c>
      <x:c r="C34" s="41" t="n">
        <x:f>IF('Materials'!J34="","",'Materials'!J34)</x:f>
        <x:v>68.9</x:v>
      </x:c>
      <x:c r="D34" s="41" t="n">
        <x:f>IF('Materials'!N34="","",'Materials'!N34)</x:f>
        <x:v>25.902255639097746</x:v>
      </x:c>
      <x:c r="E34" s="41" t="n">
        <x:f>IF('Materials'!K34="","",'Materials'!K34)</x:f>
        <x:v>0.33</x:v>
      </x:c>
      <x:c r="F34" s="41" t="n">
        <x:f>IF('Materials'!P34="","",'Materials'!P34)</x:f>
        <x:v>276</x:v>
      </x:c>
      <x:c r="G34" s="41" t="n">
        <x:f>IF('Materials'!Q34="","",'Materials'!Q34)</x:f>
        <x:v>310</x:v>
      </x:c>
      <x:c r="H34" s="41" t="str">
        <x:f>IF('Materials'!R34="","",'Materials'!R34)</x:f>
      </x:c>
      <x:c r="I34" s="41" t="str">
        <x:f>IF('Materials'!S34="","",'Materials'!S34)</x:f>
      </x:c>
      <x:c r="J34" s="41" t="n">
        <x:f>IF('Materials'!T34="","",'Materials'!T34)</x:f>
        <x:v>0.12</x:v>
      </x:c>
      <x:c r="K34" s="41" t="n">
        <x:f>IF('Materials'!U34="","",'Materials'!U34)</x:f>
        <x:v>29</x:v>
      </x:c>
      <x:c r="L34" s="41" t="n">
        <x:f>IF('Materials'!V34="","",'Materials'!V34)</x:f>
        <x:v>167</x:v>
      </x:c>
      <x:c r="M34" s="41" t="n">
        <x:f>IF('Materials'!W34="","",'Materials'!W34)</x:f>
        <x:v>896</x:v>
      </x:c>
      <x:c r="N34" s="41" t="n">
        <x:f>IF('Materials'!X34="","",'Materials'!X34)</x:f>
        <x:v>23.6</x:v>
      </x:c>
      <x:c r="O34" s="43" t="n">
        <x:f>IF('Materials'!Y34="","",'Materials'!Y34)</x:f>
        <x:v>4e-8</x:v>
      </x:c>
      <x:c r="P34" s="41" t="n">
        <x:f>IF('Materials'!Z34="","",'Materials'!Z34)</x:f>
        <x:v>582</x:v>
      </x:c>
      <x:c r="Q34" s="41" t="n">
        <x:f>IF('Materials'!AA34="","",'Materials'!AA34)</x:f>
        <x:v>150</x:v>
      </x:c>
      <x:c r="R34" s="41" t="n">
        <x:f>IF('Materials'!AB34="","",'Materials'!AB34)</x:f>
        <x:v>107</x:v>
      </x:c>
      <x:c r="S34" s="41" t="n">
        <x:f>IF('Materials'!O34="","",'Materials'!O34)</x:f>
        <x:v>67.54901960784314</x:v>
      </x:c>
    </x:row>
    <x:row r="35">
      <x:c r="A35" s="42" t="n">
        <x:f>'Materials'!A35</x:f>
        <x:v>2007</x:v>
      </x:c>
      <x:c r="B35" s="41" t="n">
        <x:f>IF('Materials'!I35="","",'Materials'!I35)</x:f>
        <x:v>2700</x:v>
      </x:c>
      <x:c r="C35" s="41" t="n">
        <x:f>IF('Materials'!J35="","",'Materials'!J35)</x:f>
        <x:v>68.9</x:v>
      </x:c>
      <x:c r="D35" s="41" t="n">
        <x:f>IF('Materials'!N35="","",'Materials'!N35)</x:f>
        <x:v>25.902255639097746</x:v>
      </x:c>
      <x:c r="E35" s="41" t="n">
        <x:f>IF('Materials'!K35="","",'Materials'!K35)</x:f>
        <x:v>0.33</x:v>
      </x:c>
      <x:c r="F35" s="41" t="n">
        <x:f>IF('Materials'!P35="","",'Materials'!P35)</x:f>
        <x:v>145</x:v>
      </x:c>
      <x:c r="G35" s="41" t="n">
        <x:f>IF('Materials'!Q35="","",'Materials'!Q35)</x:f>
        <x:v>186</x:v>
      </x:c>
      <x:c r="H35" s="41" t="str">
        <x:f>IF('Materials'!R35="","",'Materials'!R35)</x:f>
      </x:c>
      <x:c r="I35" s="41" t="str">
        <x:f>IF('Materials'!S35="","",'Materials'!S35)</x:f>
      </x:c>
      <x:c r="J35" s="41" t="n">
        <x:f>IF('Materials'!T35="","",'Materials'!T35)</x:f>
        <x:v>0.12</x:v>
      </x:c>
      <x:c r="K35" s="41" t="n">
        <x:f>IF('Materials'!U35="","",'Materials'!U35)</x:f>
        <x:v>25</x:v>
      </x:c>
      <x:c r="L35" s="41" t="n">
        <x:f>IF('Materials'!V35="","",'Materials'!V35)</x:f>
        <x:v>201</x:v>
      </x:c>
      <x:c r="M35" s="41" t="n">
        <x:f>IF('Materials'!W35="","",'Materials'!W35)</x:f>
        <x:v>900</x:v>
      </x:c>
      <x:c r="N35" s="41" t="n">
        <x:f>IF('Materials'!X35="","",'Materials'!X35)</x:f>
        <x:v>23.5</x:v>
      </x:c>
      <x:c r="O35" s="43" t="n">
        <x:f>IF('Materials'!Y35="","",'Materials'!Y35)</x:f>
        <x:v>3.3e-8</x:v>
      </x:c>
      <x:c r="P35" s="41" t="n">
        <x:f>IF('Materials'!Z35="","",'Materials'!Z35)</x:f>
        <x:v>616</x:v>
      </x:c>
      <x:c r="Q35" s="41" t="n">
        <x:f>IF('Materials'!AA35="","",'Materials'!AA35)</x:f>
        <x:v>150</x:v>
      </x:c>
      <x:c r="R35" s="41" t="n">
        <x:f>IF('Materials'!AB35="","",'Materials'!AB35)</x:f>
        <x:v>60</x:v>
      </x:c>
      <x:c r="S35" s="41" t="n">
        <x:f>IF('Materials'!O35="","",'Materials'!O35)</x:f>
        <x:v>67.54901960784314</x:v>
      </x:c>
    </x:row>
    <x:row r="36">
      <x:c r="A36" s="42" t="n">
        <x:f>'Materials'!A36</x:f>
        <x:v>2008</x:v>
      </x:c>
      <x:c r="B36" s="41" t="n">
        <x:f>IF('Materials'!I36="","",'Materials'!I36)</x:f>
        <x:v>2810</x:v>
      </x:c>
      <x:c r="C36" s="41" t="n">
        <x:f>IF('Materials'!J36="","",'Materials'!J36)</x:f>
        <x:v>71.7</x:v>
      </x:c>
      <x:c r="D36" s="41" t="n">
        <x:f>IF('Materials'!N36="","",'Materials'!N36)</x:f>
        <x:v>26.954887218045112</x:v>
      </x:c>
      <x:c r="E36" s="41" t="n">
        <x:f>IF('Materials'!K36="","",'Materials'!K36)</x:f>
        <x:v>0.33</x:v>
      </x:c>
      <x:c r="F36" s="41" t="n">
        <x:f>IF('Materials'!P36="","",'Materials'!P36)</x:f>
        <x:v>503</x:v>
      </x:c>
      <x:c r="G36" s="41" t="n">
        <x:f>IF('Materials'!Q36="","",'Materials'!Q36)</x:f>
        <x:v>572</x:v>
      </x:c>
      <x:c r="H36" s="41" t="str">
        <x:f>IF('Materials'!R36="","",'Materials'!R36)</x:f>
      </x:c>
      <x:c r="I36" s="41" t="str">
        <x:f>IF('Materials'!S36="","",'Materials'!S36)</x:f>
      </x:c>
      <x:c r="J36" s="41" t="n">
        <x:f>IF('Materials'!T36="","",'Materials'!T36)</x:f>
        <x:v>0.11</x:v>
      </x:c>
      <x:c r="K36" s="41" t="n">
        <x:f>IF('Materials'!U36="","",'Materials'!U36)</x:f>
        <x:v>25</x:v>
      </x:c>
      <x:c r="L36" s="41" t="n">
        <x:f>IF('Materials'!V36="","",'Materials'!V36)</x:f>
        <x:v>130</x:v>
      </x:c>
      <x:c r="M36" s="41" t="n">
        <x:f>IF('Materials'!W36="","",'Materials'!W36)</x:f>
        <x:v>960</x:v>
      </x:c>
      <x:c r="N36" s="41" t="n">
        <x:f>IF('Materials'!X36="","",'Materials'!X36)</x:f>
        <x:v>23.5</x:v>
      </x:c>
      <x:c r="O36" s="43" t="n">
        <x:f>IF('Materials'!Y36="","",'Materials'!Y36)</x:f>
        <x:v>5.2e-8</x:v>
      </x:c>
      <x:c r="P36" s="41" t="n">
        <x:f>IF('Materials'!Z36="","",'Materials'!Z36)</x:f>
        <x:v>477</x:v>
      </x:c>
      <x:c r="Q36" s="41" t="n">
        <x:f>IF('Materials'!AA36="","",'Materials'!AA36)</x:f>
        <x:v>120</x:v>
      </x:c>
      <x:c r="R36" s="41" t="n">
        <x:f>IF('Materials'!AB36="","",'Materials'!AB36)</x:f>
        <x:v>175</x:v>
      </x:c>
      <x:c r="S36" s="41" t="n">
        <x:f>IF('Materials'!O36="","",'Materials'!O36)</x:f>
        <x:v>70.29411764705883</x:v>
      </x:c>
    </x:row>
    <x:row r="37">
      <x:c r="A37" s="42" t="n">
        <x:f>'Materials'!A37</x:f>
        <x:v>2009</x:v>
      </x:c>
      <x:c r="B37" s="41" t="n">
        <x:f>IF('Materials'!I37="","",'Materials'!I37)</x:f>
        <x:v>2680</x:v>
      </x:c>
      <x:c r="C37" s="41" t="n">
        <x:f>IF('Materials'!J37="","",'Materials'!J37)</x:f>
        <x:v>72.4</x:v>
      </x:c>
      <x:c r="D37" s="41" t="n">
        <x:f>IF('Materials'!N37="","",'Materials'!N37)</x:f>
        <x:v>27.218045112781954</x:v>
      </x:c>
      <x:c r="E37" s="41" t="n">
        <x:f>IF('Materials'!K37="","",'Materials'!K37)</x:f>
        <x:v>0.33</x:v>
      </x:c>
      <x:c r="F37" s="41" t="n">
        <x:f>IF('Materials'!P37="","",'Materials'!P37)</x:f>
        <x:v>165</x:v>
      </x:c>
      <x:c r="G37" s="41" t="n">
        <x:f>IF('Materials'!Q37="","",'Materials'!Q37)</x:f>
        <x:v>230</x:v>
      </x:c>
      <x:c r="H37" s="41" t="str">
        <x:f>IF('Materials'!R37="","",'Materials'!R37)</x:f>
      </x:c>
      <x:c r="I37" s="41" t="str">
        <x:f>IF('Materials'!S37="","",'Materials'!S37)</x:f>
      </x:c>
      <x:c r="J37" s="41" t="n">
        <x:f>IF('Materials'!T37="","",'Materials'!T37)</x:f>
        <x:v>0.035</x:v>
      </x:c>
      <x:c r="K37" s="41" t="n">
        <x:f>IF('Materials'!U37="","",'Materials'!U37)</x:f>
        <x:v>22</x:v>
      </x:c>
      <x:c r="L37" s="41" t="n">
        <x:f>IF('Materials'!V37="","",'Materials'!V37)</x:f>
        <x:v>151</x:v>
      </x:c>
      <x:c r="M37" s="41" t="n">
        <x:f>IF('Materials'!W37="","",'Materials'!W37)</x:f>
        <x:v>963</x:v>
      </x:c>
      <x:c r="N37" s="41" t="n">
        <x:f>IF('Materials'!X37="","",'Materials'!X37)</x:f>
        <x:v>21.5</x:v>
      </x:c>
      <x:c r="O37" s="43" t="n">
        <x:f>IF('Materials'!Y37="","",'Materials'!Y37)</x:f>
        <x:v>4.5e-8</x:v>
      </x:c>
      <x:c r="P37" s="41" t="n">
        <x:f>IF('Materials'!Z37="","",'Materials'!Z37)</x:f>
        <x:v>557</x:v>
      </x:c>
      <x:c r="Q37" s="41" t="n">
        <x:f>IF('Materials'!AA37="","",'Materials'!AA37)</x:f>
        <x:v>200</x:v>
      </x:c>
      <x:c r="R37" s="41" t="n">
        <x:f>IF('Materials'!AB37="","",'Materials'!AB37)</x:f>
        <x:v>90</x:v>
      </x:c>
      <x:c r="S37" s="41" t="n">
        <x:f>IF('Materials'!O37="","",'Materials'!O37)</x:f>
        <x:v>70.98039215686275</x:v>
      </x:c>
    </x:row>
    <x:row r="38">
      <x:c r="A38" s="42" t="n">
        <x:f>'Materials'!A38</x:f>
        <x:v>2101</x:v>
      </x:c>
      <x:c r="B38" s="41" t="n">
        <x:f>IF('Materials'!I38="","",'Materials'!I38)</x:f>
        <x:v>8940</x:v>
      </x:c>
      <x:c r="C38" s="41" t="n">
        <x:f>IF('Materials'!J38="","",'Materials'!J38)</x:f>
        <x:v>117</x:v>
      </x:c>
      <x:c r="D38" s="41" t="n">
        <x:f>IF('Materials'!N38="","",'Materials'!N38)</x:f>
        <x:v>43.656716417910445</x:v>
      </x:c>
      <x:c r="E38" s="41" t="n">
        <x:f>IF('Materials'!K38="","",'Materials'!K38)</x:f>
        <x:v>0.34</x:v>
      </x:c>
      <x:c r="F38" s="41" t="n">
        <x:f>IF('Materials'!P38="","",'Materials'!P38)</x:f>
        <x:v>70</x:v>
      </x:c>
      <x:c r="G38" s="41" t="n">
        <x:f>IF('Materials'!Q38="","",'Materials'!Q38)</x:f>
        <x:v>220</x:v>
      </x:c>
      <x:c r="H38" s="41" t="str">
        <x:f>IF('Materials'!R38="","",'Materials'!R38)</x:f>
      </x:c>
      <x:c r="I38" s="41" t="str">
        <x:f>IF('Materials'!S38="","",'Materials'!S38)</x:f>
      </x:c>
      <x:c r="J38" s="41" t="n">
        <x:f>IF('Materials'!T38="","",'Materials'!T38)</x:f>
        <x:v>0.45</x:v>
      </x:c>
      <x:c r="K38" s="41" t="n">
        <x:f>IF('Materials'!U38="","",'Materials'!U38)</x:f>
        <x:v>70</x:v>
      </x:c>
      <x:c r="L38" s="41" t="n">
        <x:f>IF('Materials'!V38="","",'Materials'!V38)</x:f>
        <x:v>391</x:v>
      </x:c>
      <x:c r="M38" s="41" t="n">
        <x:f>IF('Materials'!W38="","",'Materials'!W38)</x:f>
        <x:v>385</x:v>
      </x:c>
      <x:c r="N38" s="41" t="n">
        <x:f>IF('Materials'!X38="","",'Materials'!X38)</x:f>
        <x:v>16.5</x:v>
      </x:c>
      <x:c r="O38" s="43" t="n">
        <x:f>IF('Materials'!Y38="","",'Materials'!Y38)</x:f>
        <x:v>1.72e-8</x:v>
      </x:c>
      <x:c r="P38" s="41" t="n">
        <x:f>IF('Materials'!Z38="","",'Materials'!Z38)</x:f>
        <x:v>1083</x:v>
      </x:c>
      <x:c r="Q38" s="41" t="n">
        <x:f>IF('Materials'!AA38="","",'Materials'!AA38)</x:f>
        <x:v>200</x:v>
      </x:c>
      <x:c r="R38" s="41" t="n">
        <x:f>IF('Materials'!AB38="","",'Materials'!AB38)</x:f>
        <x:v>50</x:v>
      </x:c>
      <x:c r="S38" s="41" t="n">
        <x:f>IF('Materials'!O38="","",'Materials'!O38)</x:f>
        <x:v>121.87500000000001</x:v>
      </x:c>
    </x:row>
    <x:row r="39">
      <x:c r="A39" s="42" t="n">
        <x:f>'Materials'!A39</x:f>
        <x:v>2102</x:v>
      </x:c>
      <x:c r="B39" s="41" t="n">
        <x:f>IF('Materials'!I39="","",'Materials'!I39)</x:f>
        <x:v>8530</x:v>
      </x:c>
      <x:c r="C39" s="41" t="n">
        <x:f>IF('Materials'!J39="","",'Materials'!J39)</x:f>
        <x:v>110</x:v>
      </x:c>
      <x:c r="D39" s="41" t="n">
        <x:f>IF('Materials'!N39="","",'Materials'!N39)</x:f>
        <x:v>41.04477611940298</x:v>
      </x:c>
      <x:c r="E39" s="41" t="n">
        <x:f>IF('Materials'!K39="","",'Materials'!K39)</x:f>
        <x:v>0.34</x:v>
      </x:c>
      <x:c r="F39" s="41" t="n">
        <x:f>IF('Materials'!P39="","",'Materials'!P39)</x:f>
        <x:v>345</x:v>
      </x:c>
      <x:c r="G39" s="41" t="n">
        <x:f>IF('Materials'!Q39="","",'Materials'!Q39)</x:f>
        <x:v>435</x:v>
      </x:c>
      <x:c r="H39" s="41" t="str">
        <x:f>IF('Materials'!R39="","",'Materials'!R39)</x:f>
      </x:c>
      <x:c r="I39" s="41" t="str">
        <x:f>IF('Materials'!S39="","",'Materials'!S39)</x:f>
      </x:c>
      <x:c r="J39" s="41" t="n">
        <x:f>IF('Materials'!T39="","",'Materials'!T39)</x:f>
        <x:v>0.15</x:v>
      </x:c>
      <x:c r="K39" s="41" t="n">
        <x:f>IF('Materials'!U39="","",'Materials'!U39)</x:f>
        <x:v>45</x:v>
      </x:c>
      <x:c r="L39" s="41" t="n">
        <x:f>IF('Materials'!V39="","",'Materials'!V39)</x:f>
        <x:v>120</x:v>
      </x:c>
      <x:c r="M39" s="41" t="n">
        <x:f>IF('Materials'!W39="","",'Materials'!W39)</x:f>
        <x:v>377</x:v>
      </x:c>
      <x:c r="N39" s="41" t="n">
        <x:f>IF('Materials'!X39="","",'Materials'!X39)</x:f>
        <x:v>20.5</x:v>
      </x:c>
      <x:c r="O39" s="43" t="n">
        <x:f>IF('Materials'!Y39="","",'Materials'!Y39)</x:f>
        <x:v>6.4e-8</x:v>
      </x:c>
      <x:c r="P39" s="41" t="n">
        <x:f>IF('Materials'!Z39="","",'Materials'!Z39)</x:f>
        <x:v>930</x:v>
      </x:c>
      <x:c r="Q39" s="41" t="n">
        <x:f>IF('Materials'!AA39="","",'Materials'!AA39)</x:f>
        <x:v>200</x:v>
      </x:c>
      <x:c r="R39" s="41" t="n">
        <x:f>IF('Materials'!AB39="","",'Materials'!AB39)</x:f>
        <x:v>125</x:v>
      </x:c>
      <x:c r="S39" s="41" t="n">
        <x:f>IF('Materials'!O39="","",'Materials'!O39)</x:f>
        <x:v>114.58333333333336</x:v>
      </x:c>
    </x:row>
    <x:row r="40">
      <x:c r="A40" s="42" t="n">
        <x:f>'Materials'!A40</x:f>
        <x:v>2103</x:v>
      </x:c>
      <x:c r="B40" s="41" t="n">
        <x:f>IF('Materials'!I40="","",'Materials'!I40)</x:f>
        <x:v>8500</x:v>
      </x:c>
      <x:c r="C40" s="41" t="n">
        <x:f>IF('Materials'!J40="","",'Materials'!J40)</x:f>
        <x:v>97</x:v>
      </x:c>
      <x:c r="D40" s="41" t="n">
        <x:f>IF('Materials'!N40="","",'Materials'!N40)</x:f>
        <x:v>37.02290076335878</x:v>
      </x:c>
      <x:c r="E40" s="41" t="n">
        <x:f>IF('Materials'!K40="","",'Materials'!K40)</x:f>
        <x:v>0.31</x:v>
      </x:c>
      <x:c r="F40" s="41" t="n">
        <x:f>IF('Materials'!P40="","",'Materials'!P40)</x:f>
        <x:v>310</x:v>
      </x:c>
      <x:c r="G40" s="41" t="n">
        <x:f>IF('Materials'!Q40="","",'Materials'!Q40)</x:f>
        <x:v>360</x:v>
      </x:c>
      <x:c r="H40" s="41" t="str">
        <x:f>IF('Materials'!R40="","",'Materials'!R40)</x:f>
      </x:c>
      <x:c r="I40" s="41" t="str">
        <x:f>IF('Materials'!S40="","",'Materials'!S40)</x:f>
      </x:c>
      <x:c r="J40" s="41" t="n">
        <x:f>IF('Materials'!T40="","",'Materials'!T40)</x:f>
        <x:v>0.18</x:v>
      </x:c>
      <x:c r="K40" s="41" t="n">
        <x:f>IF('Materials'!U40="","",'Materials'!U40)</x:f>
        <x:v>35</x:v>
      </x:c>
      <x:c r="L40" s="41" t="n">
        <x:f>IF('Materials'!V40="","",'Materials'!V40)</x:f>
        <x:v>115</x:v>
      </x:c>
      <x:c r="M40" s="41" t="n">
        <x:f>IF('Materials'!W40="","",'Materials'!W40)</x:f>
        <x:v>380</x:v>
      </x:c>
      <x:c r="N40" s="41" t="n">
        <x:f>IF('Materials'!X40="","",'Materials'!X40)</x:f>
        <x:v>20.5</x:v>
      </x:c>
      <x:c r="O40" s="43" t="n">
        <x:f>IF('Materials'!Y40="","",'Materials'!Y40)</x:f>
        <x:v>6.6e-8</x:v>
      </x:c>
      <x:c r="P40" s="41" t="n">
        <x:f>IF('Materials'!Z40="","",'Materials'!Z40)</x:f>
        <x:v>900</x:v>
      </x:c>
      <x:c r="Q40" s="41" t="n">
        <x:f>IF('Materials'!AA40="","",'Materials'!AA40)</x:f>
        <x:v>200</x:v>
      </x:c>
      <x:c r="R40" s="41" t="n">
        <x:f>IF('Materials'!AB40="","",'Materials'!AB40)</x:f>
        <x:v>110</x:v>
      </x:c>
      <x:c r="S40" s="41" t="n">
        <x:f>IF('Materials'!O40="","",'Materials'!O40)</x:f>
        <x:v>85.0877192982456</x:v>
      </x:c>
    </x:row>
    <x:row r="41">
      <x:c r="A41" s="42" t="n">
        <x:f>'Materials'!A41</x:f>
        <x:v>2104</x:v>
      </x:c>
      <x:c r="B41" s="41" t="n">
        <x:f>IF('Materials'!I41="","",'Materials'!I41)</x:f>
        <x:v>8860</x:v>
      </x:c>
      <x:c r="C41" s="41" t="n">
        <x:f>IF('Materials'!J41="","",'Materials'!J41)</x:f>
        <x:v>110</x:v>
      </x:c>
      <x:c r="D41" s="41" t="n">
        <x:f>IF('Materials'!N41="","",'Materials'!N41)</x:f>
        <x:v>41.04477611940298</x:v>
      </x:c>
      <x:c r="E41" s="41" t="n">
        <x:f>IF('Materials'!K41="","",'Materials'!K41)</x:f>
        <x:v>0.34</x:v>
      </x:c>
      <x:c r="F41" s="41" t="n">
        <x:f>IF('Materials'!P41="","",'Materials'!P41)</x:f>
        <x:v>380</x:v>
      </x:c>
      <x:c r="G41" s="41" t="n">
        <x:f>IF('Materials'!Q41="","",'Materials'!Q41)</x:f>
        <x:v>550</x:v>
      </x:c>
      <x:c r="H41" s="41" t="str">
        <x:f>IF('Materials'!R41="","",'Materials'!R41)</x:f>
      </x:c>
      <x:c r="I41" s="41" t="str">
        <x:f>IF('Materials'!S41="","",'Materials'!S41)</x:f>
      </x:c>
      <x:c r="J41" s="41" t="n">
        <x:f>IF('Materials'!T41="","",'Materials'!T41)</x:f>
        <x:v>0.12</x:v>
      </x:c>
      <x:c r="K41" s="41" t="n">
        <x:f>IF('Materials'!U41="","",'Materials'!U41)</x:f>
        <x:v>40</x:v>
      </x:c>
      <x:c r="L41" s="41" t="n">
        <x:f>IF('Materials'!V41="","",'Materials'!V41)</x:f>
        <x:v>63</x:v>
      </x:c>
      <x:c r="M41" s="41" t="n">
        <x:f>IF('Materials'!W41="","",'Materials'!W41)</x:f>
        <x:v>377</x:v>
      </x:c>
      <x:c r="N41" s="41" t="n">
        <x:f>IF('Materials'!X41="","",'Materials'!X41)</x:f>
        <x:v>17.8</x:v>
      </x:c>
      <x:c r="O41" s="43" t="n">
        <x:f>IF('Materials'!Y41="","",'Materials'!Y41)</x:f>
        <x:v>8.8e-8</x:v>
      </x:c>
      <x:c r="P41" s="41" t="n">
        <x:f>IF('Materials'!Z41="","",'Materials'!Z41)</x:f>
        <x:v>1000</x:v>
      </x:c>
      <x:c r="Q41" s="41" t="n">
        <x:f>IF('Materials'!AA41="","",'Materials'!AA41)</x:f>
        <x:v>250</x:v>
      </x:c>
      <x:c r="R41" s="41" t="n">
        <x:f>IF('Materials'!AB41="","",'Materials'!AB41)</x:f>
        <x:v>170</x:v>
      </x:c>
      <x:c r="S41" s="41" t="n">
        <x:f>IF('Materials'!O41="","",'Materials'!O41)</x:f>
        <x:v>114.58333333333336</x:v>
      </x:c>
    </x:row>
    <x:row r="42">
      <x:c r="A42" s="42" t="n">
        <x:f>'Materials'!A42</x:f>
        <x:v>2105</x:v>
      </x:c>
      <x:c r="B42" s="41" t="n">
        <x:f>IF('Materials'!I42="","",'Materials'!I42)</x:f>
        <x:v>8930</x:v>
      </x:c>
      <x:c r="C42" s="41" t="n">
        <x:f>IF('Materials'!J42="","",'Materials'!J42)</x:f>
        <x:v>103</x:v>
      </x:c>
      <x:c r="D42" s="41" t="n">
        <x:f>IF('Materials'!N42="","",'Materials'!N42)</x:f>
        <x:v>38.43283582089552</x:v>
      </x:c>
      <x:c r="E42" s="41" t="n">
        <x:f>IF('Materials'!K42="","",'Materials'!K42)</x:f>
        <x:v>0.34</x:v>
      </x:c>
      <x:c r="F42" s="41" t="n">
        <x:f>IF('Materials'!P42="","",'Materials'!P42)</x:f>
        <x:v>145</x:v>
      </x:c>
      <x:c r="G42" s="41" t="n">
        <x:f>IF('Materials'!Q42="","",'Materials'!Q42)</x:f>
        <x:v>240</x:v>
      </x:c>
      <x:c r="H42" s="41" t="str">
        <x:f>IF('Materials'!R42="","",'Materials'!R42)</x:f>
      </x:c>
      <x:c r="I42" s="41" t="str">
        <x:f>IF('Materials'!S42="","",'Materials'!S42)</x:f>
      </x:c>
      <x:c r="J42" s="41" t="n">
        <x:f>IF('Materials'!T42="","",'Materials'!T42)</x:f>
        <x:v>0.15</x:v>
      </x:c>
      <x:c r="K42" s="41" t="n">
        <x:f>IF('Materials'!U42="","",'Materials'!U42)</x:f>
        <x:v>25</x:v>
      </x:c>
      <x:c r="L42" s="41" t="n">
        <x:f>IF('Materials'!V42="","",'Materials'!V42)</x:f>
        <x:v>59</x:v>
      </x:c>
      <x:c r="M42" s="41" t="n">
        <x:f>IF('Materials'!W42="","",'Materials'!W42)</x:f>
        <x:v>380</x:v>
      </x:c>
      <x:c r="N42" s="41" t="n">
        <x:f>IF('Materials'!X42="","",'Materials'!X42)</x:f>
        <x:v>18</x:v>
      </x:c>
      <x:c r="O42" s="43" t="n">
        <x:f>IF('Materials'!Y42="","",'Materials'!Y42)</x:f>
        <x:v>1.3e-7</x:v>
      </x:c>
      <x:c r="P42" s="41" t="n">
        <x:f>IF('Materials'!Z42="","",'Materials'!Z42)</x:f>
        <x:v>900</x:v>
      </x:c>
      <x:c r="Q42" s="41" t="n">
        <x:f>IF('Materials'!AA42="","",'Materials'!AA42)</x:f>
        <x:v>260</x:v>
      </x:c>
      <x:c r="R42" s="41" t="n">
        <x:f>IF('Materials'!AB42="","",'Materials'!AB42)</x:f>
        <x:v>75</x:v>
      </x:c>
      <x:c r="S42" s="41" t="n">
        <x:f>IF('Materials'!O42="","",'Materials'!O42)</x:f>
        <x:v>107.29166666666669</x:v>
      </x:c>
    </x:row>
    <x:row r="43">
      <x:c r="A43" s="42" t="n">
        <x:f>'Materials'!A43</x:f>
        <x:v>2106</x:v>
      </x:c>
      <x:c r="B43" s="41" t="n">
        <x:f>IF('Materials'!I43="","",'Materials'!I43)</x:f>
        <x:v>8940</x:v>
      </x:c>
      <x:c r="C43" s="41" t="n">
        <x:f>IF('Materials'!J43="","",'Materials'!J43)</x:f>
        <x:v>150</x:v>
      </x:c>
      <x:c r="D43" s="41" t="n">
        <x:f>IF('Materials'!N43="","",'Materials'!N43)</x:f>
        <x:v>56.81818181818181</x:v>
      </x:c>
      <x:c r="E43" s="41" t="n">
        <x:f>IF('Materials'!K43="","",'Materials'!K43)</x:f>
        <x:v>0.32</x:v>
      </x:c>
      <x:c r="F43" s="41" t="n">
        <x:f>IF('Materials'!P43="","",'Materials'!P43)</x:f>
        <x:v>150</x:v>
      </x:c>
      <x:c r="G43" s="41" t="n">
        <x:f>IF('Materials'!Q43="","",'Materials'!Q43)</x:f>
        <x:v>372</x:v>
      </x:c>
      <x:c r="H43" s="41" t="str">
        <x:f>IF('Materials'!R43="","",'Materials'!R43)</x:f>
      </x:c>
      <x:c r="I43" s="41" t="str">
        <x:f>IF('Materials'!S43="","",'Materials'!S43)</x:f>
      </x:c>
      <x:c r="J43" s="41" t="n">
        <x:f>IF('Materials'!T43="","",'Materials'!T43)</x:f>
        <x:v>0.35</x:v>
      </x:c>
      <x:c r="K43" s="41" t="n">
        <x:f>IF('Materials'!U43="","",'Materials'!U43)</x:f>
        <x:v>90</x:v>
      </x:c>
      <x:c r="L43" s="41" t="n">
        <x:f>IF('Materials'!V43="","",'Materials'!V43)</x:f>
        <x:v>29</x:v>
      </x:c>
      <x:c r="M43" s="41" t="n">
        <x:f>IF('Materials'!W43="","",'Materials'!W43)</x:f>
        <x:v>377</x:v>
      </x:c>
      <x:c r="N43" s="41" t="n">
        <x:f>IF('Materials'!X43="","",'Materials'!X43)</x:f>
        <x:v>16.2</x:v>
      </x:c>
      <x:c r="O43" s="43" t="n">
        <x:f>IF('Materials'!Y43="","",'Materials'!Y43)</x:f>
        <x:v>3.7e-7</x:v>
      </x:c>
      <x:c r="P43" s="41" t="n">
        <x:f>IF('Materials'!Z43="","",'Materials'!Z43)</x:f>
        <x:v>1170</x:v>
      </x:c>
      <x:c r="Q43" s="41" t="n">
        <x:f>IF('Materials'!AA43="","",'Materials'!AA43)</x:f>
        <x:v>315</x:v>
      </x:c>
      <x:c r="R43" s="41" t="n">
        <x:f>IF('Materials'!AB43="","",'Materials'!AB43)</x:f>
        <x:v>100</x:v>
      </x:c>
      <x:c r="S43" s="41" t="n">
        <x:f>IF('Materials'!O43="","",'Materials'!O43)</x:f>
        <x:v>138.88888888888889</x:v>
      </x:c>
    </x:row>
    <x:row r="44">
      <x:c r="A44" s="42" t="n">
        <x:f>'Materials'!A44</x:f>
        <x:v>2201</x:v>
      </x:c>
      <x:c r="B44" s="41" t="n">
        <x:f>IF('Materials'!I44="","",'Materials'!I44)</x:f>
        <x:v>1770</x:v>
      </x:c>
      <x:c r="C44" s="41" t="n">
        <x:f>IF('Materials'!J44="","",'Materials'!J44)</x:f>
        <x:v>45</x:v>
      </x:c>
      <x:c r="D44" s="41" t="n">
        <x:f>IF('Materials'!N44="","",'Materials'!N44)</x:f>
        <x:v>16.666666666666664</x:v>
      </x:c>
      <x:c r="E44" s="41" t="n">
        <x:f>IF('Materials'!K44="","",'Materials'!K44)</x:f>
        <x:v>0.35</x:v>
      </x:c>
      <x:c r="F44" s="41" t="n">
        <x:f>IF('Materials'!P44="","",'Materials'!P44)</x:f>
        <x:v>220</x:v>
      </x:c>
      <x:c r="G44" s="41" t="n">
        <x:f>IF('Materials'!Q44="","",'Materials'!Q44)</x:f>
        <x:v>290</x:v>
      </x:c>
      <x:c r="H44" s="41" t="str">
        <x:f>IF('Materials'!R44="","",'Materials'!R44)</x:f>
      </x:c>
      <x:c r="I44" s="41" t="str">
        <x:f>IF('Materials'!S44="","",'Materials'!S44)</x:f>
      </x:c>
      <x:c r="J44" s="41" t="n">
        <x:f>IF('Materials'!T44="","",'Materials'!T44)</x:f>
        <x:v>0.15</x:v>
      </x:c>
      <x:c r="K44" s="41" t="n">
        <x:f>IF('Materials'!U44="","",'Materials'!U44)</x:f>
        <x:v>18</x:v>
      </x:c>
      <x:c r="L44" s="41" t="n">
        <x:f>IF('Materials'!V44="","",'Materials'!V44)</x:f>
        <x:v>96</x:v>
      </x:c>
      <x:c r="M44" s="41" t="n">
        <x:f>IF('Materials'!W44="","",'Materials'!W44)</x:f>
        <x:v>1040</x:v>
      </x:c>
      <x:c r="N44" s="41" t="n">
        <x:f>IF('Materials'!X44="","",'Materials'!X44)</x:f>
        <x:v>26</x:v>
      </x:c>
      <x:c r="O44" s="43" t="n">
        <x:f>IF('Materials'!Y44="","",'Materials'!Y44)</x:f>
        <x:v>9.2e-8</x:v>
      </x:c>
      <x:c r="P44" s="41" t="n">
        <x:f>IF('Materials'!Z44="","",'Materials'!Z44)</x:f>
        <x:v>630</x:v>
      </x:c>
      <x:c r="Q44" s="41" t="n">
        <x:f>IF('Materials'!AA44="","",'Materials'!AA44)</x:f>
        <x:v>120</x:v>
      </x:c>
      <x:c r="R44" s="41" t="n">
        <x:f>IF('Materials'!AB44="","",'Materials'!AB44)</x:f>
        <x:v>73</x:v>
      </x:c>
      <x:c r="S44" s="41" t="n">
        <x:f>IF('Materials'!O44="","",'Materials'!O44)</x:f>
        <x:v>49.99999999999999</x:v>
      </x:c>
    </x:row>
    <x:row r="45">
      <x:c r="A45" s="42" t="n">
        <x:f>'Materials'!A45</x:f>
        <x:v>2202</x:v>
      </x:c>
      <x:c r="B45" s="41" t="n">
        <x:f>IF('Materials'!I45="","",'Materials'!I45)</x:f>
        <x:v>1810</x:v>
      </x:c>
      <x:c r="C45" s="41" t="n">
        <x:f>IF('Materials'!J45="","",'Materials'!J45)</x:f>
        <x:v>45</x:v>
      </x:c>
      <x:c r="D45" s="41" t="n">
        <x:f>IF('Materials'!N45="","",'Materials'!N45)</x:f>
        <x:v>16.666666666666664</x:v>
      </x:c>
      <x:c r="E45" s="41" t="n">
        <x:f>IF('Materials'!K45="","",'Materials'!K45)</x:f>
        <x:v>0.35</x:v>
      </x:c>
      <x:c r="F45" s="41" t="n">
        <x:f>IF('Materials'!P45="","",'Materials'!P45)</x:f>
        <x:v>160</x:v>
      </x:c>
      <x:c r="G45" s="41" t="n">
        <x:f>IF('Materials'!Q45="","",'Materials'!Q45)</x:f>
        <x:v>230</x:v>
      </x:c>
      <x:c r="H45" s="41" t="str">
        <x:f>IF('Materials'!R45="","",'Materials'!R45)</x:f>
      </x:c>
      <x:c r="I45" s="41" t="str">
        <x:f>IF('Materials'!S45="","",'Materials'!S45)</x:f>
      </x:c>
      <x:c r="J45" s="41" t="n">
        <x:f>IF('Materials'!T45="","",'Materials'!T45)</x:f>
        <x:v>0.03</x:v>
      </x:c>
      <x:c r="K45" s="41" t="n">
        <x:f>IF('Materials'!U45="","",'Materials'!U45)</x:f>
        <x:v>12</x:v>
      </x:c>
      <x:c r="L45" s="41" t="n">
        <x:f>IF('Materials'!V45="","",'Materials'!V45)</x:f>
        <x:v>72</x:v>
      </x:c>
      <x:c r="M45" s="41" t="n">
        <x:f>IF('Materials'!W45="","",'Materials'!W45)</x:f>
        <x:v>1020</x:v>
      </x:c>
      <x:c r="N45" s="41" t="n">
        <x:f>IF('Materials'!X45="","",'Materials'!X45)</x:f>
        <x:v>26</x:v>
      </x:c>
      <x:c r="O45" s="43" t="n">
        <x:f>IF('Materials'!Y45="","",'Materials'!Y45)</x:f>
        <x:v>1.4e-7</x:v>
      </x:c>
      <x:c r="P45" s="41" t="n">
        <x:f>IF('Materials'!Z45="","",'Materials'!Z45)</x:f>
        <x:v>595</x:v>
      </x:c>
      <x:c r="Q45" s="41" t="n">
        <x:f>IF('Materials'!AA45="","",'Materials'!AA45)</x:f>
        <x:v>120</x:v>
      </x:c>
      <x:c r="R45" s="41" t="n">
        <x:f>IF('Materials'!AB45="","",'Materials'!AB45)</x:f>
        <x:v>75</x:v>
      </x:c>
      <x:c r="S45" s="41" t="n">
        <x:f>IF('Materials'!O45="","",'Materials'!O45)</x:f>
        <x:v>49.99999999999999</x:v>
      </x:c>
    </x:row>
    <x:row r="46">
      <x:c r="A46" s="42" t="n">
        <x:f>'Materials'!A46</x:f>
        <x:v>2301</x:v>
      </x:c>
      <x:c r="B46" s="41" t="n">
        <x:f>IF('Materials'!I46="","",'Materials'!I46)</x:f>
        <x:v>4510</x:v>
      </x:c>
      <x:c r="C46" s="41" t="n">
        <x:f>IF('Materials'!J46="","",'Materials'!J46)</x:f>
        <x:v>105</x:v>
      </x:c>
      <x:c r="D46" s="41" t="n">
        <x:f>IF('Materials'!N46="","",'Materials'!N46)</x:f>
        <x:v>39.179104477611936</x:v>
      </x:c>
      <x:c r="E46" s="41" t="n">
        <x:f>IF('Materials'!K46="","",'Materials'!K46)</x:f>
        <x:v>0.34</x:v>
      </x:c>
      <x:c r="F46" s="41" t="n">
        <x:f>IF('Materials'!P46="","",'Materials'!P46)</x:f>
        <x:v>275</x:v>
      </x:c>
      <x:c r="G46" s="41" t="n">
        <x:f>IF('Materials'!Q46="","",'Materials'!Q46)</x:f>
        <x:v>345</x:v>
      </x:c>
      <x:c r="H46" s="41" t="str">
        <x:f>IF('Materials'!R46="","",'Materials'!R46)</x:f>
      </x:c>
      <x:c r="I46" s="41" t="str">
        <x:f>IF('Materials'!S46="","",'Materials'!S46)</x:f>
      </x:c>
      <x:c r="J46" s="41" t="n">
        <x:f>IF('Materials'!T46="","",'Materials'!T46)</x:f>
        <x:v>0.2</x:v>
      </x:c>
      <x:c r="K46" s="41" t="n">
        <x:f>IF('Materials'!U46="","",'Materials'!U46)</x:f>
        <x:v>70</x:v>
      </x:c>
      <x:c r="L46" s="41" t="n">
        <x:f>IF('Materials'!V46="","",'Materials'!V46)</x:f>
        <x:v>16.4</x:v>
      </x:c>
      <x:c r="M46" s="41" t="n">
        <x:f>IF('Materials'!W46="","",'Materials'!W46)</x:f>
        <x:v>523</x:v>
      </x:c>
      <x:c r="N46" s="41" t="n">
        <x:f>IF('Materials'!X46="","",'Materials'!X46)</x:f>
        <x:v>8.6</x:v>
      </x:c>
      <x:c r="O46" s="43" t="n">
        <x:f>IF('Materials'!Y46="","",'Materials'!Y46)</x:f>
        <x:v>4.2e-7</x:v>
      </x:c>
      <x:c r="P46" s="41" t="n">
        <x:f>IF('Materials'!Z46="","",'Materials'!Z46)</x:f>
        <x:v>1665</x:v>
      </x:c>
      <x:c r="Q46" s="41" t="n">
        <x:f>IF('Materials'!AA46="","",'Materials'!AA46)</x:f>
        <x:v>540</x:v>
      </x:c>
      <x:c r="R46" s="41" t="n">
        <x:f>IF('Materials'!AB46="","",'Materials'!AB46)</x:f>
        <x:v>145</x:v>
      </x:c>
      <x:c r="S46" s="41" t="n">
        <x:f>IF('Materials'!O46="","",'Materials'!O46)</x:f>
        <x:v>109.37500000000001</x:v>
      </x:c>
    </x:row>
    <x:row r="47">
      <x:c r="A47" s="42" t="n">
        <x:f>'Materials'!A47</x:f>
        <x:v>2302</x:v>
      </x:c>
      <x:c r="B47" s="41" t="n">
        <x:f>IF('Materials'!I47="","",'Materials'!I47)</x:f>
        <x:v>4430</x:v>
      </x:c>
      <x:c r="C47" s="41" t="n">
        <x:f>IF('Materials'!J47="","",'Materials'!J47)</x:f>
        <x:v>114</x:v>
      </x:c>
      <x:c r="D47" s="41" t="n">
        <x:f>IF('Materials'!N47="","",'Materials'!N47)</x:f>
        <x:v>42.537313432835816</x:v>
      </x:c>
      <x:c r="E47" s="41" t="n">
        <x:f>IF('Materials'!K47="","",'Materials'!K47)</x:f>
        <x:v>0.34</x:v>
      </x:c>
      <x:c r="F47" s="41" t="n">
        <x:f>IF('Materials'!P47="","",'Materials'!P47)</x:f>
        <x:v>880</x:v>
      </x:c>
      <x:c r="G47" s="41" t="n">
        <x:f>IF('Materials'!Q47="","",'Materials'!Q47)</x:f>
        <x:v>950</x:v>
      </x:c>
      <x:c r="H47" s="41" t="str">
        <x:f>IF('Materials'!R47="","",'Materials'!R47)</x:f>
      </x:c>
      <x:c r="I47" s="41" t="str">
        <x:f>IF('Materials'!S47="","",'Materials'!S47)</x:f>
      </x:c>
      <x:c r="J47" s="41" t="n">
        <x:f>IF('Materials'!T47="","",'Materials'!T47)</x:f>
        <x:v>0.14</x:v>
      </x:c>
      <x:c r="K47" s="41" t="n">
        <x:f>IF('Materials'!U47="","",'Materials'!U47)</x:f>
        <x:v>75</x:v>
      </x:c>
      <x:c r="L47" s="41" t="n">
        <x:f>IF('Materials'!V47="","",'Materials'!V47)</x:f>
        <x:v>6.7</x:v>
      </x:c>
      <x:c r="M47" s="41" t="n">
        <x:f>IF('Materials'!W47="","",'Materials'!W47)</x:f>
        <x:v>526</x:v>
      </x:c>
      <x:c r="N47" s="41" t="n">
        <x:f>IF('Materials'!X47="","",'Materials'!X47)</x:f>
        <x:v>8.6</x:v>
      </x:c>
      <x:c r="O47" s="43" t="n">
        <x:f>IF('Materials'!Y47="","",'Materials'!Y47)</x:f>
        <x:v>0.00000178</x:v>
      </x:c>
      <x:c r="P47" s="41" t="n">
        <x:f>IF('Materials'!Z47="","",'Materials'!Z47)</x:f>
        <x:v>1604</x:v>
      </x:c>
      <x:c r="Q47" s="41" t="n">
        <x:f>IF('Materials'!AA47="","",'Materials'!AA47)</x:f>
        <x:v>400</x:v>
      </x:c>
      <x:c r="R47" s="41" t="n">
        <x:f>IF('Materials'!AB47="","",'Materials'!AB47)</x:f>
        <x:v>349</x:v>
      </x:c>
      <x:c r="S47" s="41" t="n">
        <x:f>IF('Materials'!O47="","",'Materials'!O47)</x:f>
        <x:v>118.75000000000001</x:v>
      </x:c>
    </x:row>
    <x:row r="48">
      <x:c r="A48" s="42" t="n">
        <x:f>'Materials'!A48</x:f>
        <x:v>2401</x:v>
      </x:c>
      <x:c r="B48" s="41" t="n">
        <x:f>IF('Materials'!I48="","",'Materials'!I48)</x:f>
        <x:v>8890</x:v>
      </x:c>
      <x:c r="C48" s="41" t="n">
        <x:f>IF('Materials'!J48="","",'Materials'!J48)</x:f>
        <x:v>207</x:v>
      </x:c>
      <x:c r="D48" s="41" t="n">
        <x:f>IF('Materials'!N48="","",'Materials'!N48)</x:f>
        <x:v>79.00763358778626</x:v>
      </x:c>
      <x:c r="E48" s="41" t="n">
        <x:f>IF('Materials'!K48="","",'Materials'!K48)</x:f>
        <x:v>0.31</x:v>
      </x:c>
      <x:c r="F48" s="41" t="n">
        <x:f>IF('Materials'!P48="","",'Materials'!P48)</x:f>
        <x:v>100</x:v>
      </x:c>
      <x:c r="G48" s="41" t="n">
        <x:f>IF('Materials'!Q48="","",'Materials'!Q48)</x:f>
        <x:v>380</x:v>
      </x:c>
      <x:c r="H48" s="41" t="str">
        <x:f>IF('Materials'!R48="","",'Materials'!R48)</x:f>
      </x:c>
      <x:c r="I48" s="41" t="str">
        <x:f>IF('Materials'!S48="","",'Materials'!S48)</x:f>
      </x:c>
      <x:c r="J48" s="41" t="n">
        <x:f>IF('Materials'!T48="","",'Materials'!T48)</x:f>
        <x:v>0.45</x:v>
      </x:c>
      <x:c r="K48" s="41" t="n">
        <x:f>IF('Materials'!U48="","",'Materials'!U48)</x:f>
        <x:v>150</x:v>
      </x:c>
      <x:c r="L48" s="41" t="n">
        <x:f>IF('Materials'!V48="","",'Materials'!V48)</x:f>
        <x:v>90.9</x:v>
      </x:c>
      <x:c r="M48" s="41" t="n">
        <x:f>IF('Materials'!W48="","",'Materials'!W48)</x:f>
        <x:v>456</x:v>
      </x:c>
      <x:c r="N48" s="41" t="n">
        <x:f>IF('Materials'!X48="","",'Materials'!X48)</x:f>
        <x:v>13.3</x:v>
      </x:c>
      <x:c r="O48" s="43" t="n">
        <x:f>IF('Materials'!Y48="","",'Materials'!Y48)</x:f>
        <x:v>9.6e-8</x:v>
      </x:c>
      <x:c r="P48" s="41" t="n">
        <x:f>IF('Materials'!Z48="","",'Materials'!Z48)</x:f>
        <x:v>1455</x:v>
      </x:c>
      <x:c r="Q48" s="41" t="n">
        <x:f>IF('Materials'!AA48="","",'Materials'!AA48)</x:f>
        <x:v>600</x:v>
      </x:c>
      <x:c r="R48" s="41" t="n">
        <x:f>IF('Materials'!AB48="","",'Materials'!AB48)</x:f>
        <x:v>100</x:v>
      </x:c>
      <x:c r="S48" s="41" t="n">
        <x:f>IF('Materials'!O48="","",'Materials'!O48)</x:f>
        <x:v>181.57894736842104</x:v>
      </x:c>
    </x:row>
    <x:row r="49">
      <x:c r="A49" s="42" t="n">
        <x:f>'Materials'!A49</x:f>
        <x:v>2402</x:v>
      </x:c>
      <x:c r="B49" s="41" t="n">
        <x:f>IF('Materials'!I49="","",'Materials'!I49)</x:f>
        <x:v>8800</x:v>
      </x:c>
      <x:c r="C49" s="41" t="n">
        <x:f>IF('Materials'!J49="","",'Materials'!J49)</x:f>
        <x:v>179</x:v>
      </x:c>
      <x:c r="D49" s="41" t="n">
        <x:f>IF('Materials'!N49="","",'Materials'!N49)</x:f>
        <x:v>67.8030303030303</x:v>
      </x:c>
      <x:c r="E49" s="41" t="n">
        <x:f>IF('Materials'!K49="","",'Materials'!K49)</x:f>
        <x:v>0.32</x:v>
      </x:c>
      <x:c r="F49" s="41" t="n">
        <x:f>IF('Materials'!P49="","",'Materials'!P49)</x:f>
        <x:v>240</x:v>
      </x:c>
      <x:c r="G49" s="41" t="n">
        <x:f>IF('Materials'!Q49="","",'Materials'!Q49)</x:f>
        <x:v>550</x:v>
      </x:c>
      <x:c r="H49" s="41" t="str">
        <x:f>IF('Materials'!R49="","",'Materials'!R49)</x:f>
      </x:c>
      <x:c r="I49" s="41" t="str">
        <x:f>IF('Materials'!S49="","",'Materials'!S49)</x:f>
      </x:c>
      <x:c r="J49" s="41" t="n">
        <x:f>IF('Materials'!T49="","",'Materials'!T49)</x:f>
        <x:v>0.35</x:v>
      </x:c>
      <x:c r="K49" s="41" t="n">
        <x:f>IF('Materials'!U49="","",'Materials'!U49)</x:f>
        <x:v>150</x:v>
      </x:c>
      <x:c r="L49" s="41" t="n">
        <x:f>IF('Materials'!V49="","",'Materials'!V49)</x:f>
        <x:v>21.8</x:v>
      </x:c>
      <x:c r="M49" s="41" t="n">
        <x:f>IF('Materials'!W49="","",'Materials'!W49)</x:f>
        <x:v>427</x:v>
      </x:c>
      <x:c r="N49" s="41" t="n">
        <x:f>IF('Materials'!X49="","",'Materials'!X49)</x:f>
        <x:v>13.9</x:v>
      </x:c>
      <x:c r="O49" s="43" t="n">
        <x:f>IF('Materials'!Y49="","",'Materials'!Y49)</x:f>
        <x:v>5.1e-7</x:v>
      </x:c>
      <x:c r="P49" s="41" t="n">
        <x:f>IF('Materials'!Z49="","",'Materials'!Z49)</x:f>
        <x:v>1345</x:v>
      </x:c>
      <x:c r="Q49" s="41" t="n">
        <x:f>IF('Materials'!AA49="","",'Materials'!AA49)</x:f>
        <x:v>480</x:v>
      </x:c>
      <x:c r="R49" s="41" t="n">
        <x:f>IF('Materials'!AB49="","",'Materials'!AB49)</x:f>
        <x:v>135</x:v>
      </x:c>
      <x:c r="S49" s="41" t="n">
        <x:f>IF('Materials'!O49="","",'Materials'!O49)</x:f>
        <x:v>165.74074074074073</x:v>
      </x:c>
    </x:row>
    <x:row r="50">
      <x:c r="A50" s="42" t="n">
        <x:f>'Materials'!A50</x:f>
        <x:v>2403</x:v>
      </x:c>
      <x:c r="B50" s="41" t="n">
        <x:f>IF('Materials'!I50="","",'Materials'!I50)</x:f>
        <x:v>8440</x:v>
      </x:c>
      <x:c r="C50" s="41" t="n">
        <x:f>IF('Materials'!J50="","",'Materials'!J50)</x:f>
        <x:v>208</x:v>
      </x:c>
      <x:c r="D50" s="41" t="n">
        <x:f>IF('Materials'!N50="","",'Materials'!N50)</x:f>
        <x:v>80</x:v>
      </x:c>
      <x:c r="E50" s="41" t="n">
        <x:f>IF('Materials'!K50="","",'Materials'!K50)</x:f>
        <x:v>0.3</x:v>
      </x:c>
      <x:c r="F50" s="41" t="n">
        <x:f>IF('Materials'!P50="","",'Materials'!P50)</x:f>
        <x:v>460</x:v>
      </x:c>
      <x:c r="G50" s="41" t="n">
        <x:f>IF('Materials'!Q50="","",'Materials'!Q50)</x:f>
        <x:v>930</x:v>
      </x:c>
      <x:c r="H50" s="41" t="str">
        <x:f>IF('Materials'!R50="","",'Materials'!R50)</x:f>
      </x:c>
      <x:c r="I50" s="41" t="str">
        <x:f>IF('Materials'!S50="","",'Materials'!S50)</x:f>
      </x:c>
      <x:c r="J50" s="41" t="n">
        <x:f>IF('Materials'!T50="","",'Materials'!T50)</x:f>
        <x:v>0.5</x:v>
      </x:c>
      <x:c r="K50" s="41" t="n">
        <x:f>IF('Materials'!U50="","",'Materials'!U50)</x:f>
        <x:v>120</x:v>
      </x:c>
      <x:c r="L50" s="41" t="n">
        <x:f>IF('Materials'!V50="","",'Materials'!V50)</x:f>
        <x:v>9.8</x:v>
      </x:c>
      <x:c r="M50" s="41" t="n">
        <x:f>IF('Materials'!W50="","",'Materials'!W50)</x:f>
        <x:v>410</x:v>
      </x:c>
      <x:c r="N50" s="41" t="n">
        <x:f>IF('Materials'!X50="","",'Materials'!X50)</x:f>
        <x:v>12.8</x:v>
      </x:c>
      <x:c r="O50" s="43" t="n">
        <x:f>IF('Materials'!Y50="","",'Materials'!Y50)</x:f>
        <x:v>0.00000129</x:v>
      </x:c>
      <x:c r="P50" s="41" t="n">
        <x:f>IF('Materials'!Z50="","",'Materials'!Z50)</x:f>
        <x:v>1335</x:v>
      </x:c>
      <x:c r="Q50" s="41" t="n">
        <x:f>IF('Materials'!AA50="","",'Materials'!AA50)</x:f>
        <x:v>980</x:v>
      </x:c>
      <x:c r="R50" s="41" t="n">
        <x:f>IF('Materials'!AB50="","",'Materials'!AB50)</x:f>
        <x:v>260</x:v>
      </x:c>
      <x:c r="S50" s="41" t="n">
        <x:f>IF('Materials'!O50="","",'Materials'!O50)</x:f>
        <x:v>173.33333333333331</x:v>
      </x:c>
    </x:row>
    <x:row r="51">
      <x:c r="A51" s="42" t="n">
        <x:f>'Materials'!A51</x:f>
        <x:v>2404</x:v>
      </x:c>
      <x:c r="B51" s="41" t="n">
        <x:f>IF('Materials'!I51="","",'Materials'!I51)</x:f>
        <x:v>8190</x:v>
      </x:c>
      <x:c r="C51" s="41" t="n">
        <x:f>IF('Materials'!J51="","",'Materials'!J51)</x:f>
        <x:v>200</x:v>
      </x:c>
      <x:c r="D51" s="41" t="n">
        <x:f>IF('Materials'!N51="","",'Materials'!N51)</x:f>
        <x:v>77.51937984496124</x:v>
      </x:c>
      <x:c r="E51" s="41" t="n">
        <x:f>IF('Materials'!K51="","",'Materials'!K51)</x:f>
        <x:v>0.29</x:v>
      </x:c>
      <x:c r="F51" s="41" t="n">
        <x:f>IF('Materials'!P51="","",'Materials'!P51)</x:f>
        <x:v>1035</x:v>
      </x:c>
      <x:c r="G51" s="41" t="n">
        <x:f>IF('Materials'!Q51="","",'Materials'!Q51)</x:f>
        <x:v>1240</x:v>
      </x:c>
      <x:c r="H51" s="41" t="str">
        <x:f>IF('Materials'!R51="","",'Materials'!R51)</x:f>
      </x:c>
      <x:c r="I51" s="41" t="str">
        <x:f>IF('Materials'!S51="","",'Materials'!S51)</x:f>
      </x:c>
      <x:c r="J51" s="41" t="n">
        <x:f>IF('Materials'!T51="","",'Materials'!T51)</x:f>
        <x:v>0.12</x:v>
      </x:c>
      <x:c r="K51" s="41" t="n">
        <x:f>IF('Materials'!U51="","",'Materials'!U51)</x:f>
        <x:v>85</x:v>
      </x:c>
      <x:c r="L51" s="41" t="n">
        <x:f>IF('Materials'!V51="","",'Materials'!V51)</x:f>
        <x:v>11.4</x:v>
      </x:c>
      <x:c r="M51" s="41" t="n">
        <x:f>IF('Materials'!W51="","",'Materials'!W51)</x:f>
        <x:v>435</x:v>
      </x:c>
      <x:c r="N51" s="41" t="n">
        <x:f>IF('Materials'!X51="","",'Materials'!X51)</x:f>
        <x:v>13</x:v>
      </x:c>
      <x:c r="O51" s="43" t="n">
        <x:f>IF('Materials'!Y51="","",'Materials'!Y51)</x:f>
        <x:v>0.00000125</x:v>
      </x:c>
      <x:c r="P51" s="41" t="n">
        <x:f>IF('Materials'!Z51="","",'Materials'!Z51)</x:f>
        <x:v>1300</x:v>
      </x:c>
      <x:c r="Q51" s="41" t="n">
        <x:f>IF('Materials'!AA51="","",'Materials'!AA51)</x:f>
        <x:v>650</x:v>
      </x:c>
      <x:c r="R51" s="41" t="n">
        <x:f>IF('Materials'!AB51="","",'Materials'!AB51)</x:f>
        <x:v>400</x:v>
      </x:c>
      <x:c r="S51" s="41" t="n">
        <x:f>IF('Materials'!O51="","",'Materials'!O51)</x:f>
        <x:v>158.7301587301587</x:v>
      </x:c>
    </x:row>
    <x:row r="52">
      <x:c r="A52" s="42" t="n">
        <x:f>'Materials'!A52</x:f>
        <x:v>2405</x:v>
      </x:c>
      <x:c r="B52" s="41" t="n">
        <x:f>IF('Materials'!I52="","",'Materials'!I52)</x:f>
        <x:v>8890</x:v>
      </x:c>
      <x:c r="C52" s="41" t="n">
        <x:f>IF('Materials'!J52="","",'Materials'!J52)</x:f>
        <x:v>205</x:v>
      </x:c>
      <x:c r="D52" s="41" t="n">
        <x:f>IF('Materials'!N52="","",'Materials'!N52)</x:f>
        <x:v>78.2442748091603</x:v>
      </x:c>
      <x:c r="E52" s="41" t="n">
        <x:f>IF('Materials'!K52="","",'Materials'!K52)</x:f>
        <x:v>0.31</x:v>
      </x:c>
      <x:c r="F52" s="41" t="n">
        <x:f>IF('Materials'!P52="","",'Materials'!P52)</x:f>
        <x:v>355</x:v>
      </x:c>
      <x:c r="G52" s="41" t="n">
        <x:f>IF('Materials'!Q52="","",'Materials'!Q52)</x:f>
        <x:v>790</x:v>
      </x:c>
      <x:c r="H52" s="41" t="str">
        <x:f>IF('Materials'!R52="","",'Materials'!R52)</x:f>
      </x:c>
      <x:c r="I52" s="41" t="str">
        <x:f>IF('Materials'!S52="","",'Materials'!S52)</x:f>
      </x:c>
      <x:c r="J52" s="41" t="n">
        <x:f>IF('Materials'!T52="","",'Materials'!T52)</x:f>
        <x:v>0.4</x:v>
      </x:c>
      <x:c r="K52" s="41" t="n">
        <x:f>IF('Materials'!U52="","",'Materials'!U52)</x:f>
        <x:v>120</x:v>
      </x:c>
      <x:c r="L52" s="41" t="n">
        <x:f>IF('Materials'!V52="","",'Materials'!V52)</x:f>
        <x:v>10.2</x:v>
      </x:c>
      <x:c r="M52" s="41" t="n">
        <x:f>IF('Materials'!W52="","",'Materials'!W52)</x:f>
        <x:v>427</x:v>
      </x:c>
      <x:c r="N52" s="41" t="n">
        <x:f>IF('Materials'!X52="","",'Materials'!X52)</x:f>
        <x:v>11.2</x:v>
      </x:c>
      <x:c r="O52" s="43" t="n">
        <x:f>IF('Materials'!Y52="","",'Materials'!Y52)</x:f>
        <x:v>0.0000013</x:v>
      </x:c>
      <x:c r="P52" s="41" t="n">
        <x:f>IF('Materials'!Z52="","",'Materials'!Z52)</x:f>
        <x:v>1325</x:v>
      </x:c>
      <x:c r="Q52" s="41" t="n">
        <x:f>IF('Materials'!AA52="","",'Materials'!AA52)</x:f>
        <x:v>540</x:v>
      </x:c>
      <x:c r="R52" s="41" t="n">
        <x:f>IF('Materials'!AB52="","",'Materials'!AB52)</x:f>
        <x:v>230</x:v>
      </x:c>
      <x:c r="S52" s="41" t="n">
        <x:f>IF('Materials'!O52="","",'Materials'!O52)</x:f>
        <x:v>179.82456140350874</x:v>
      </x:c>
    </x:row>
    <x:row r="53">
      <x:c r="A53" s="42" t="n">
        <x:f>'Materials'!A53</x:f>
        <x:v>2501</x:v>
      </x:c>
      <x:c r="B53" s="41" t="n">
        <x:f>IF('Materials'!I53="","",'Materials'!I53)</x:f>
        <x:v>6600</x:v>
      </x:c>
      <x:c r="C53" s="41" t="n">
        <x:f>IF('Materials'!J53="","",'Materials'!J53)</x:f>
        <x:v>86</x:v>
      </x:c>
      <x:c r="D53" s="41" t="n">
        <x:f>IF('Materials'!N53="","",'Materials'!N53)</x:f>
        <x:v>33.85826771653543</x:v>
      </x:c>
      <x:c r="E53" s="41" t="n">
        <x:f>IF('Materials'!K53="","",'Materials'!K53)</x:f>
        <x:v>0.27</x:v>
      </x:c>
      <x:c r="F53" s="41" t="n">
        <x:f>IF('Materials'!P53="","",'Materials'!P53)</x:f>
        <x:v>210</x:v>
      </x:c>
      <x:c r="G53" s="41" t="n">
        <x:f>IF('Materials'!Q53="","",'Materials'!Q53)</x:f>
        <x:v>283</x:v>
      </x:c>
      <x:c r="H53" s="41" t="str">
        <x:f>IF('Materials'!R53="","",'Materials'!R53)</x:f>
      </x:c>
      <x:c r="I53" s="41" t="str">
        <x:f>IF('Materials'!S53="","",'Materials'!S53)</x:f>
      </x:c>
      <x:c r="J53" s="41" t="n">
        <x:f>IF('Materials'!T53="","",'Materials'!T53)</x:f>
        <x:v>0.1</x:v>
      </x:c>
      <x:c r="K53" s="41" t="n">
        <x:f>IF('Materials'!U53="","",'Materials'!U53)</x:f>
        <x:v>18</x:v>
      </x:c>
      <x:c r="L53" s="41" t="n">
        <x:f>IF('Materials'!V53="","",'Materials'!V53)</x:f>
        <x:v>113</x:v>
      </x:c>
      <x:c r="M53" s="41" t="n">
        <x:f>IF('Materials'!W53="","",'Materials'!W53)</x:f>
        <x:v>420</x:v>
      </x:c>
      <x:c r="N53" s="41" t="n">
        <x:f>IF('Materials'!X53="","",'Materials'!X53)</x:f>
        <x:v>27.4</x:v>
      </x:c>
      <x:c r="O53" s="43" t="n">
        <x:f>IF('Materials'!Y53="","",'Materials'!Y53)</x:f>
        <x:v>6.4e-8</x:v>
      </x:c>
      <x:c r="P53" s="41" t="n">
        <x:f>IF('Materials'!Z53="","",'Materials'!Z53)</x:f>
        <x:v>385</x:v>
      </x:c>
      <x:c r="Q53" s="41" t="n">
        <x:f>IF('Materials'!AA53="","",'Materials'!AA53)</x:f>
        <x:v>95</x:v>
      </x:c>
      <x:c r="R53" s="41" t="n">
        <x:f>IF('Materials'!AB53="","",'Materials'!AB53)</x:f>
        <x:v>82</x:v>
      </x:c>
      <x:c r="S53" s="41" t="n">
        <x:f>IF('Materials'!O53="","",'Materials'!O53)</x:f>
        <x:v>62.31884057971015</x:v>
      </x:c>
    </x:row>
    <x:row r="54">
      <x:c r="A54" s="42" t="n">
        <x:f>'Materials'!A54</x:f>
        <x:v>2502</x:v>
      </x:c>
      <x:c r="B54" s="41" t="n">
        <x:f>IF('Materials'!I54="","",'Materials'!I54)</x:f>
        <x:v>11340</x:v>
      </x:c>
      <x:c r="C54" s="41" t="n">
        <x:f>IF('Materials'!J54="","",'Materials'!J54)</x:f>
        <x:v>16</x:v>
      </x:c>
      <x:c r="D54" s="41" t="n">
        <x:f>IF('Materials'!N54="","",'Materials'!N54)</x:f>
        <x:v>5.555555555555555</x:v>
      </x:c>
      <x:c r="E54" s="41" t="n">
        <x:f>IF('Materials'!K54="","",'Materials'!K54)</x:f>
        <x:v>0.44</x:v>
      </x:c>
      <x:c r="F54" s="41" t="n">
        <x:f>IF('Materials'!P54="","",'Materials'!P54)</x:f>
        <x:v>12</x:v>
      </x:c>
      <x:c r="G54" s="41" t="n">
        <x:f>IF('Materials'!Q54="","",'Materials'!Q54)</x:f>
        <x:v>18</x:v>
      </x:c>
      <x:c r="H54" s="41" t="str">
        <x:f>IF('Materials'!R54="","",'Materials'!R54)</x:f>
      </x:c>
      <x:c r="I54" s="41" t="str">
        <x:f>IF('Materials'!S54="","",'Materials'!S54)</x:f>
      </x:c>
      <x:c r="J54" s="41" t="n">
        <x:f>IF('Materials'!T54="","",'Materials'!T54)</x:f>
        <x:v>0.5</x:v>
      </x:c>
      <x:c r="K54" s="41" t="n">
        <x:f>IF('Materials'!U54="","",'Materials'!U54)</x:f>
        <x:v>8</x:v>
      </x:c>
      <x:c r="L54" s="41" t="n">
        <x:f>IF('Materials'!V54="","",'Materials'!V54)</x:f>
        <x:v>35</x:v>
      </x:c>
      <x:c r="M54" s="41" t="n">
        <x:f>IF('Materials'!W54="","",'Materials'!W54)</x:f>
        <x:v>128</x:v>
      </x:c>
      <x:c r="N54" s="41" t="n">
        <x:f>IF('Materials'!X54="","",'Materials'!X54)</x:f>
        <x:v>28.9</x:v>
      </x:c>
      <x:c r="O54" s="43" t="n">
        <x:f>IF('Materials'!Y54="","",'Materials'!Y54)</x:f>
        <x:v>2.08e-7</x:v>
      </x:c>
      <x:c r="P54" s="41" t="n">
        <x:f>IF('Materials'!Z54="","",'Materials'!Z54)</x:f>
        <x:v>327</x:v>
      </x:c>
      <x:c r="Q54" s="41" t="n">
        <x:f>IF('Materials'!AA54="","",'Materials'!AA54)</x:f>
        <x:v>100</x:v>
      </x:c>
      <x:c r="R54" s="41" t="n">
        <x:f>IF('Materials'!AB54="","",'Materials'!AB54)</x:f>
        <x:v>5</x:v>
      </x:c>
      <x:c r="S54" s="41" t="n">
        <x:f>IF('Materials'!O54="","",'Materials'!O54)</x:f>
        <x:v>44.44444444444444</x:v>
      </x:c>
    </x:row>
    <x:row r="55">
      <x:c r="A55" s="42" t="n">
        <x:f>'Materials'!A55</x:f>
        <x:v>2503</x:v>
      </x:c>
      <x:c r="B55" s="41" t="n">
        <x:f>IF('Materials'!I55="","",'Materials'!I55)</x:f>
        <x:v>7310</x:v>
      </x:c>
      <x:c r="C55" s="41" t="n">
        <x:f>IF('Materials'!J55="","",'Materials'!J55)</x:f>
        <x:v>50</x:v>
      </x:c>
      <x:c r="D55" s="41" t="n">
        <x:f>IF('Materials'!N55="","",'Materials'!N55)</x:f>
        <x:v>18.38235294117647</x:v>
      </x:c>
      <x:c r="E55" s="41" t="n">
        <x:f>IF('Materials'!K55="","",'Materials'!K55)</x:f>
        <x:v>0.36</x:v>
      </x:c>
      <x:c r="F55" s="41" t="n">
        <x:f>IF('Materials'!P55="","",'Materials'!P55)</x:f>
        <x:v>11</x:v>
      </x:c>
      <x:c r="G55" s="41" t="n">
        <x:f>IF('Materials'!Q55="","",'Materials'!Q55)</x:f>
        <x:v>20</x:v>
      </x:c>
      <x:c r="H55" s="41" t="str">
        <x:f>IF('Materials'!R55="","",'Materials'!R55)</x:f>
      </x:c>
      <x:c r="I55" s="41" t="str">
        <x:f>IF('Materials'!S55="","",'Materials'!S55)</x:f>
      </x:c>
      <x:c r="J55" s="41" t="n">
        <x:f>IF('Materials'!T55="","",'Materials'!T55)</x:f>
        <x:v>0.4</x:v>
      </x:c>
      <x:c r="K55" s="41" t="n">
        <x:f>IF('Materials'!U55="","",'Materials'!U55)</x:f>
        <x:v>15</x:v>
      </x:c>
      <x:c r="L55" s="41" t="n">
        <x:f>IF('Materials'!V55="","",'Materials'!V55)</x:f>
        <x:v>67</x:v>
      </x:c>
      <x:c r="M55" s="41" t="n">
        <x:f>IF('Materials'!W55="","",'Materials'!W55)</x:f>
        <x:v>230</x:v>
      </x:c>
      <x:c r="N55" s="41" t="n">
        <x:f>IF('Materials'!X55="","",'Materials'!X55)</x:f>
        <x:v>22</x:v>
      </x:c>
      <x:c r="O55" s="43" t="n">
        <x:f>IF('Materials'!Y55="","",'Materials'!Y55)</x:f>
        <x:v>1.15e-7</x:v>
      </x:c>
      <x:c r="P55" s="41" t="n">
        <x:f>IF('Materials'!Z55="","",'Materials'!Z55)</x:f>
        <x:v>232</x:v>
      </x:c>
      <x:c r="Q55" s="41" t="n">
        <x:f>IF('Materials'!AA55="","",'Materials'!AA55)</x:f>
        <x:v>100</x:v>
      </x:c>
      <x:c r="R55" s="41" t="n">
        <x:f>IF('Materials'!AB55="","",'Materials'!AB55)</x:f>
        <x:v>9</x:v>
      </x:c>
      <x:c r="S55" s="41" t="n">
        <x:f>IF('Materials'!O55="","",'Materials'!O55)</x:f>
        <x:v>59.52380952380952</x:v>
      </x:c>
    </x:row>
    <x:row r="56">
      <x:c r="A56" s="42" t="n">
        <x:f>'Materials'!A56</x:f>
        <x:v>3001</x:v>
      </x:c>
      <x:c r="B56" s="41" t="n">
        <x:f>IF('Materials'!I56="","",'Materials'!I56)</x:f>
        <x:v>1040</x:v>
      </x:c>
      <x:c r="C56" s="41" t="n">
        <x:f>IF('Materials'!J56="","",'Materials'!J56)</x:f>
        <x:v>2.1</x:v>
      </x:c>
      <x:c r="D56" s="41" t="n">
        <x:f>IF('Materials'!N56="","",'Materials'!N56)</x:f>
        <x:v>0.7777777777777778</x:v>
      </x:c>
      <x:c r="E56" s="41" t="n">
        <x:f>IF('Materials'!K56="","",'Materials'!K56)</x:f>
        <x:v>0.35</x:v>
      </x:c>
      <x:c r="F56" s="41" t="n">
        <x:f>IF('Materials'!P56="","",'Materials'!P56)</x:f>
        <x:v>42</x:v>
      </x:c>
      <x:c r="G56" s="41" t="n">
        <x:f>IF('Materials'!Q56="","",'Materials'!Q56)</x:f>
        <x:v>45</x:v>
      </x:c>
      <x:c r="H56" s="41" t="n">
        <x:f>IF('Materials'!R56="","",'Materials'!R56)</x:f>
        <x:v>65</x:v>
      </x:c>
      <x:c r="I56" s="41" t="n">
        <x:f>IF('Materials'!S56="","",'Materials'!S56)</x:f>
        <x:v>70</x:v>
      </x:c>
      <x:c r="J56" s="41" t="n">
        <x:f>IF('Materials'!T56="","",'Materials'!T56)</x:f>
        <x:v>0.2</x:v>
      </x:c>
      <x:c r="K56" s="41" t="n">
        <x:f>IF('Materials'!U56="","",'Materials'!U56)</x:f>
        <x:v>3</x:v>
      </x:c>
      <x:c r="L56" s="41" t="n">
        <x:f>IF('Materials'!V56="","",'Materials'!V56)</x:f>
        <x:v>0.18</x:v>
      </x:c>
      <x:c r="M56" s="41" t="n">
        <x:f>IF('Materials'!W56="","",'Materials'!W56)</x:f>
        <x:v>1300</x:v>
      </x:c>
      <x:c r="N56" s="41" t="n">
        <x:f>IF('Materials'!X56="","",'Materials'!X56)</x:f>
        <x:v>90</x:v>
      </x:c>
      <x:c r="O56" s="43" t="n">
        <x:f>IF('Materials'!Y56="","",'Materials'!Y56)</x:f>
        <x:v>100000000000000</x:v>
      </x:c>
      <x:c r="P56" s="41" t="n">
        <x:f>IF('Materials'!Z56="","",'Materials'!Z56)</x:f>
        <x:v>105</x:v>
      </x:c>
      <x:c r="Q56" s="41" t="n">
        <x:f>IF('Materials'!AA56="","",'Materials'!AA56)</x:f>
        <x:v>80</x:v>
      </x:c>
      <x:c r="R56" s="41" t="str">
        <x:f>IF('Materials'!AB56="","",'Materials'!AB56)</x:f>
      </x:c>
      <x:c r="S56" s="41" t="n">
        <x:f>IF('Materials'!O56="","",'Materials'!O56)</x:f>
        <x:v>2.333333333333333</x:v>
      </x:c>
    </x:row>
    <x:row r="57">
      <x:c r="A57" s="42" t="n">
        <x:f>'Materials'!A57</x:f>
        <x:v>3002</x:v>
      </x:c>
      <x:c r="B57" s="41" t="n">
        <x:f>IF('Materials'!I57="","",'Materials'!I57)</x:f>
        <x:v>1240</x:v>
      </x:c>
      <x:c r="C57" s="41" t="n">
        <x:f>IF('Materials'!J57="","",'Materials'!J57)</x:f>
        <x:v>3.5</x:v>
      </x:c>
      <x:c r="D57" s="41" t="n">
        <x:f>IF('Materials'!N57="","",'Materials'!N57)</x:f>
        <x:v>1.286764705882353</x:v>
      </x:c>
      <x:c r="E57" s="41" t="n">
        <x:f>IF('Materials'!K57="","",'Materials'!K57)</x:f>
        <x:v>0.36</x:v>
      </x:c>
      <x:c r="F57" s="41" t="n">
        <x:f>IF('Materials'!P57="","",'Materials'!P57)</x:f>
        <x:v>60</x:v>
      </x:c>
      <x:c r="G57" s="41" t="n">
        <x:f>IF('Materials'!Q57="","",'Materials'!Q57)</x:f>
        <x:v>60</x:v>
      </x:c>
      <x:c r="H57" s="41" t="n">
        <x:f>IF('Materials'!R57="","",'Materials'!R57)</x:f>
        <x:v>80</x:v>
      </x:c>
      <x:c r="I57" s="41" t="n">
        <x:f>IF('Materials'!S57="","",'Materials'!S57)</x:f>
        <x:v>95</x:v>
      </x:c>
      <x:c r="J57" s="41" t="n">
        <x:f>IF('Materials'!T57="","",'Materials'!T57)</x:f>
        <x:v>0.06</x:v>
      </x:c>
      <x:c r="K57" s="41" t="n">
        <x:f>IF('Materials'!U57="","",'Materials'!U57)</x:f>
        <x:v>2.5</x:v>
      </x:c>
      <x:c r="L57" s="41" t="n">
        <x:f>IF('Materials'!V57="","",'Materials'!V57)</x:f>
        <x:v>0.13</x:v>
      </x:c>
      <x:c r="M57" s="41" t="n">
        <x:f>IF('Materials'!W57="","",'Materials'!W57)</x:f>
        <x:v>1800</x:v>
      </x:c>
      <x:c r="N57" s="41" t="n">
        <x:f>IF('Materials'!X57="","",'Materials'!X57)</x:f>
        <x:v>68</x:v>
      </x:c>
      <x:c r="O57" s="43" t="n">
        <x:f>IF('Materials'!Y57="","",'Materials'!Y57)</x:f>
        <x:v>100000000000000</x:v>
      </x:c>
      <x:c r="P57" s="41" t="n">
        <x:f>IF('Materials'!Z57="","",'Materials'!Z57)</x:f>
        <x:v>160</x:v>
      </x:c>
      <x:c r="Q57" s="41" t="n">
        <x:f>IF('Materials'!AA57="","",'Materials'!AA57)</x:f>
        <x:v>50</x:v>
      </x:c>
      <x:c r="R57" s="41" t="str">
        <x:f>IF('Materials'!AB57="","",'Materials'!AB57)</x:f>
      </x:c>
      <x:c r="S57" s="41" t="n">
        <x:f>IF('Materials'!O57="","",'Materials'!O57)</x:f>
        <x:v>4.166666666666666</x:v>
      </x:c>
    </x:row>
    <x:row r="58">
      <x:c r="A58" s="42" t="n">
        <x:f>'Materials'!A58</x:f>
        <x:v>3003</x:v>
      </x:c>
      <x:c r="B58" s="41" t="n">
        <x:f>IF('Materials'!I58="","",'Materials'!I58)</x:f>
        <x:v>1040</x:v>
      </x:c>
      <x:c r="C58" s="41" t="n">
        <x:f>IF('Materials'!J58="","",'Materials'!J58)</x:f>
        <x:v>2</x:v>
      </x:c>
      <x:c r="D58" s="41" t="n">
        <x:f>IF('Materials'!N58="","",'Materials'!N58)</x:f>
        <x:v>0.7462686567164178</x:v>
      </x:c>
      <x:c r="E58" s="41" t="n">
        <x:f>IF('Materials'!K58="","",'Materials'!K58)</x:f>
        <x:v>0.34</x:v>
      </x:c>
      <x:c r="F58" s="41" t="n">
        <x:f>IF('Materials'!P58="","",'Materials'!P58)</x:f>
        <x:v>25</x:v>
      </x:c>
      <x:c r="G58" s="41" t="n">
        <x:f>IF('Materials'!Q58="","",'Materials'!Q58)</x:f>
        <x:v>32</x:v>
      </x:c>
      <x:c r="H58" s="41" t="n">
        <x:f>IF('Materials'!R58="","",'Materials'!R58)</x:f>
        <x:v>55</x:v>
      </x:c>
      <x:c r="I58" s="41" t="n">
        <x:f>IF('Materials'!S58="","",'Materials'!S58)</x:f>
        <x:v>45</x:v>
      </x:c>
      <x:c r="J58" s="41" t="n">
        <x:f>IF('Materials'!T58="","",'Materials'!T58)</x:f>
        <x:v>0.4</x:v>
      </x:c>
      <x:c r="K58" s="41" t="n">
        <x:f>IF('Materials'!U58="","",'Materials'!U58)</x:f>
        <x:v>2.5</x:v>
      </x:c>
      <x:c r="L58" s="41" t="n">
        <x:f>IF('Materials'!V58="","",'Materials'!V58)</x:f>
        <x:v>0.17</x:v>
      </x:c>
      <x:c r="M58" s="41" t="n">
        <x:f>IF('Materials'!W58="","",'Materials'!W58)</x:f>
        <x:v>1300</x:v>
      </x:c>
      <x:c r="N58" s="41" t="n">
        <x:f>IF('Materials'!X58="","",'Materials'!X58)</x:f>
        <x:v>80</x:v>
      </x:c>
      <x:c r="O58" s="43" t="n">
        <x:f>IF('Materials'!Y58="","",'Materials'!Y58)</x:f>
        <x:v>100000000000000</x:v>
      </x:c>
      <x:c r="P58" s="41" t="n">
        <x:f>IF('Materials'!Z58="","",'Materials'!Z58)</x:f>
        <x:v>95</x:v>
      </x:c>
      <x:c r="Q58" s="41" t="n">
        <x:f>IF('Materials'!AA58="","",'Materials'!AA58)</x:f>
        <x:v>75</x:v>
      </x:c>
      <x:c r="R58" s="41" t="str">
        <x:f>IF('Materials'!AB58="","",'Materials'!AB58)</x:f>
      </x:c>
      <x:c r="S58" s="41" t="n">
        <x:f>IF('Materials'!O58="","",'Materials'!O58)</x:f>
        <x:v>2.0833333333333335</x:v>
      </x:c>
    </x:row>
    <x:row r="59">
      <x:c r="A59" s="42" t="n">
        <x:f>'Materials'!A59</x:f>
        <x:v>3004</x:v>
      </x:c>
      <x:c r="B59" s="41" t="n">
        <x:f>IF('Materials'!I59="","",'Materials'!I59)</x:f>
        <x:v>950</x:v>
      </x:c>
      <x:c r="C59" s="41" t="n">
        <x:f>IF('Materials'!J59="","",'Materials'!J59)</x:f>
        <x:v>1</x:v>
      </x:c>
      <x:c r="D59" s="41" t="n">
        <x:f>IF('Materials'!N59="","",'Materials'!N59)</x:f>
        <x:v>0.3424657534246575</x:v>
      </x:c>
      <x:c r="E59" s="41" t="n">
        <x:f>IF('Materials'!K59="","",'Materials'!K59)</x:f>
        <x:v>0.46</x:v>
      </x:c>
      <x:c r="F59" s="41" t="n">
        <x:f>IF('Materials'!P59="","",'Materials'!P59)</x:f>
        <x:v>26</x:v>
      </x:c>
      <x:c r="G59" s="41" t="n">
        <x:f>IF('Materials'!Q59="","",'Materials'!Q59)</x:f>
        <x:v>32</x:v>
      </x:c>
      <x:c r="H59" s="41" t="n">
        <x:f>IF('Materials'!R59="","",'Materials'!R59)</x:f>
        <x:v>22</x:v>
      </x:c>
      <x:c r="I59" s="41" t="n">
        <x:f>IF('Materials'!S59="","",'Materials'!S59)</x:f>
        <x:v>30</x:v>
      </x:c>
      <x:c r="J59" s="41" t="n">
        <x:f>IF('Materials'!T59="","",'Materials'!T59)</x:f>
        <x:v>6</x:v>
      </x:c>
      <x:c r="K59" s="41" t="n">
        <x:f>IF('Materials'!U59="","",'Materials'!U59)</x:f>
        <x:v>3</x:v>
      </x:c>
      <x:c r="L59" s="41" t="n">
        <x:f>IF('Materials'!V59="","",'Materials'!V59)</x:f>
        <x:v>0.5</x:v>
      </x:c>
      <x:c r="M59" s="41" t="n">
        <x:f>IF('Materials'!W59="","",'Materials'!W59)</x:f>
        <x:v>1900</x:v>
      </x:c>
      <x:c r="N59" s="41" t="n">
        <x:f>IF('Materials'!X59="","",'Materials'!X59)</x:f>
        <x:v>120</x:v>
      </x:c>
      <x:c r="O59" s="43" t="n">
        <x:f>IF('Materials'!Y59="","",'Materials'!Y59)</x:f>
        <x:v>10000000000000000</x:v>
      </x:c>
      <x:c r="P59" s="41" t="n">
        <x:f>IF('Materials'!Z59="","",'Materials'!Z59)</x:f>
        <x:v>130</x:v>
      </x:c>
      <x:c r="Q59" s="41" t="n">
        <x:f>IF('Materials'!AA59="","",'Materials'!AA59)</x:f>
        <x:v>80</x:v>
      </x:c>
      <x:c r="R59" s="41" t="str">
        <x:f>IF('Materials'!AB59="","",'Materials'!AB59)</x:f>
      </x:c>
      <x:c r="S59" s="41" t="n">
        <x:f>IF('Materials'!O59="","",'Materials'!O59)</x:f>
        <x:v>4.166666666666669</x:v>
      </x:c>
    </x:row>
    <x:row r="60">
      <x:c r="A60" s="42" t="n">
        <x:f>'Materials'!A60</x:f>
        <x:v>3005</x:v>
      </x:c>
      <x:c r="B60" s="41" t="n">
        <x:f>IF('Materials'!I60="","",'Materials'!I60)</x:f>
        <x:v>920</x:v>
      </x:c>
      <x:c r="C60" s="41" t="n">
        <x:f>IF('Materials'!J60="","",'Materials'!J60)</x:f>
        <x:v>0.25</x:v>
      </x:c>
      <x:c r="D60" s="41" t="n">
        <x:f>IF('Materials'!N60="","",'Materials'!N60)</x:f>
        <x:v>0.08561643835616438</x:v>
      </x:c>
      <x:c r="E60" s="41" t="n">
        <x:f>IF('Materials'!K60="","",'Materials'!K60)</x:f>
        <x:v>0.46</x:v>
      </x:c>
      <x:c r="F60" s="41" t="n">
        <x:f>IF('Materials'!P60="","",'Materials'!P60)</x:f>
        <x:v>10</x:v>
      </x:c>
      <x:c r="G60" s="41" t="n">
        <x:f>IF('Materials'!Q60="","",'Materials'!Q60)</x:f>
        <x:v>15</x:v>
      </x:c>
      <x:c r="H60" s="41" t="n">
        <x:f>IF('Materials'!R60="","",'Materials'!R60)</x:f>
        <x:v>12</x:v>
      </x:c>
      <x:c r="I60" s="41" t="n">
        <x:f>IF('Materials'!S60="","",'Materials'!S60)</x:f>
        <x:v>10</x:v>
      </x:c>
      <x:c r="J60" s="41" t="n">
        <x:f>IF('Materials'!T60="","",'Materials'!T60)</x:f>
        <x:v>5</x:v>
      </x:c>
      <x:c r="K60" s="41" t="n">
        <x:f>IF('Materials'!U60="","",'Materials'!U60)</x:f>
        <x:v>2</x:v>
      </x:c>
      <x:c r="L60" s="41" t="n">
        <x:f>IF('Materials'!V60="","",'Materials'!V60)</x:f>
        <x:v>0.33</x:v>
      </x:c>
      <x:c r="M60" s="41" t="n">
        <x:f>IF('Materials'!W60="","",'Materials'!W60)</x:f>
        <x:v>2300</x:v>
      </x:c>
      <x:c r="N60" s="41" t="n">
        <x:f>IF('Materials'!X60="","",'Materials'!X60)</x:f>
        <x:v>180</x:v>
      </x:c>
      <x:c r="O60" s="43" t="n">
        <x:f>IF('Materials'!Y60="","",'Materials'!Y60)</x:f>
        <x:v>10000000000000000</x:v>
      </x:c>
      <x:c r="P60" s="41" t="n">
        <x:f>IF('Materials'!Z60="","",'Materials'!Z60)</x:f>
        <x:v>110</x:v>
      </x:c>
      <x:c r="Q60" s="41" t="n">
        <x:f>IF('Materials'!AA60="","",'Materials'!AA60)</x:f>
        <x:v>65</x:v>
      </x:c>
      <x:c r="R60" s="41" t="str">
        <x:f>IF('Materials'!AB60="","",'Materials'!AB60)</x:f>
      </x:c>
      <x:c r="S60" s="41" t="n">
        <x:f>IF('Materials'!O60="","",'Materials'!O60)</x:f>
        <x:v>1.0416666666666672</x:v>
      </x:c>
    </x:row>
    <x:row r="61">
      <x:c r="A61" s="42" t="n">
        <x:f>'Materials'!A61</x:f>
        <x:v>3006</x:v>
      </x:c>
      <x:c r="B61" s="41" t="n">
        <x:f>IF('Materials'!I61="","",'Materials'!I61)</x:f>
        <x:v>940</x:v>
      </x:c>
      <x:c r="C61" s="41" t="n">
        <x:f>IF('Materials'!J61="","",'Materials'!J61)</x:f>
        <x:v>0.8</x:v>
      </x:c>
      <x:c r="D61" s="41" t="n">
        <x:f>IF('Materials'!N61="","",'Materials'!N61)</x:f>
        <x:v>0.27397260273972607</x:v>
      </x:c>
      <x:c r="E61" s="41" t="n">
        <x:f>IF('Materials'!K61="","",'Materials'!K61)</x:f>
        <x:v>0.46</x:v>
      </x:c>
      <x:c r="F61" s="41" t="n">
        <x:f>IF('Materials'!P61="","",'Materials'!P61)</x:f>
        <x:v>21</x:v>
      </x:c>
      <x:c r="G61" s="41" t="n">
        <x:f>IF('Materials'!Q61="","",'Materials'!Q61)</x:f>
        <x:v>40</x:v>
      </x:c>
      <x:c r="H61" s="41" t="n">
        <x:f>IF('Materials'!R61="","",'Materials'!R61)</x:f>
        <x:v>20</x:v>
      </x:c>
      <x:c r="I61" s="41" t="n">
        <x:f>IF('Materials'!S61="","",'Materials'!S61)</x:f>
        <x:v>25</x:v>
      </x:c>
      <x:c r="J61" s="41" t="n">
        <x:f>IF('Materials'!T61="","",'Materials'!T61)</x:f>
        <x:v>3</x:v>
      </x:c>
      <x:c r="K61" s="41" t="n">
        <x:f>IF('Materials'!U61="","",'Materials'!U61)</x:f>
        <x:v>4</x:v>
      </x:c>
      <x:c r="L61" s="41" t="n">
        <x:f>IF('Materials'!V61="","",'Materials'!V61)</x:f>
        <x:v>0.42</x:v>
      </x:c>
      <x:c r="M61" s="41" t="n">
        <x:f>IF('Materials'!W61="","",'Materials'!W61)</x:f>
        <x:v>1900</x:v>
      </x:c>
      <x:c r="N61" s="41" t="n">
        <x:f>IF('Materials'!X61="","",'Materials'!X61)</x:f>
        <x:v>150</x:v>
      </x:c>
      <x:c r="O61" s="43" t="n">
        <x:f>IF('Materials'!Y61="","",'Materials'!Y61)</x:f>
        <x:v>10000000000000000</x:v>
      </x:c>
      <x:c r="P61" s="41" t="n">
        <x:f>IF('Materials'!Z61="","",'Materials'!Z61)</x:f>
        <x:v>135</x:v>
      </x:c>
      <x:c r="Q61" s="41" t="n">
        <x:f>IF('Materials'!AA61="","",'Materials'!AA61)</x:f>
        <x:v>80</x:v>
      </x:c>
      <x:c r="R61" s="41" t="str">
        <x:f>IF('Materials'!AB61="","",'Materials'!AB61)</x:f>
      </x:c>
      <x:c r="S61" s="41" t="n">
        <x:f>IF('Materials'!O61="","",'Materials'!O61)</x:f>
        <x:v>3.3333333333333353</x:v>
      </x:c>
    </x:row>
    <x:row r="62">
      <x:c r="A62" s="42" t="n">
        <x:f>'Materials'!A62</x:f>
        <x:v>3007</x:v>
      </x:c>
      <x:c r="B62" s="41" t="n">
        <x:f>IF('Materials'!I62="","",'Materials'!I62)</x:f>
        <x:v>905</x:v>
      </x:c>
      <x:c r="C62" s="41" t="n">
        <x:f>IF('Materials'!J62="","",'Materials'!J62)</x:f>
        <x:v>1.5</x:v>
      </x:c>
      <x:c r="D62" s="41" t="n">
        <x:f>IF('Materials'!N62="","",'Materials'!N62)</x:f>
        <x:v>0.5281690140845071</x:v>
      </x:c>
      <x:c r="E62" s="41" t="n">
        <x:f>IF('Materials'!K62="","",'Materials'!K62)</x:f>
        <x:v>0.42</x:v>
      </x:c>
      <x:c r="F62" s="41" t="n">
        <x:f>IF('Materials'!P62="","",'Materials'!P62)</x:f>
        <x:v>35</x:v>
      </x:c>
      <x:c r="G62" s="41" t="n">
        <x:f>IF('Materials'!Q62="","",'Materials'!Q62)</x:f>
        <x:v>38</x:v>
      </x:c>
      <x:c r="H62" s="41" t="n">
        <x:f>IF('Materials'!R62="","",'Materials'!R62)</x:f>
        <x:v>50</x:v>
      </x:c>
      <x:c r="I62" s="41" t="n">
        <x:f>IF('Materials'!S62="","",'Materials'!S62)</x:f>
        <x:v>50</x:v>
      </x:c>
      <x:c r="J62" s="41" t="n">
        <x:f>IF('Materials'!T62="","",'Materials'!T62)</x:f>
        <x:v>2</x:v>
      </x:c>
      <x:c r="K62" s="41" t="n">
        <x:f>IF('Materials'!U62="","",'Materials'!U62)</x:f>
        <x:v>3</x:v>
      </x:c>
      <x:c r="L62" s="41" t="n">
        <x:f>IF('Materials'!V62="","",'Materials'!V62)</x:f>
        <x:v>0.22</x:v>
      </x:c>
      <x:c r="M62" s="41" t="n">
        <x:f>IF('Materials'!W62="","",'Materials'!W62)</x:f>
        <x:v>1900</x:v>
      </x:c>
      <x:c r="N62" s="41" t="n">
        <x:f>IF('Materials'!X62="","",'Materials'!X62)</x:f>
        <x:v>100</x:v>
      </x:c>
      <x:c r="O62" s="43" t="n">
        <x:f>IF('Materials'!Y62="","",'Materials'!Y62)</x:f>
        <x:v>1000000000000000</x:v>
      </x:c>
      <x:c r="P62" s="41" t="n">
        <x:f>IF('Materials'!Z62="","",'Materials'!Z62)</x:f>
        <x:v>165</x:v>
      </x:c>
      <x:c r="Q62" s="41" t="n">
        <x:f>IF('Materials'!AA62="","",'Materials'!AA62)</x:f>
        <x:v>100</x:v>
      </x:c>
      <x:c r="R62" s="41" t="str">
        <x:f>IF('Materials'!AB62="","",'Materials'!AB62)</x:f>
      </x:c>
      <x:c r="S62" s="41" t="n">
        <x:f>IF('Materials'!O62="","",'Materials'!O62)</x:f>
        <x:v>3.1249999999999996</x:v>
      </x:c>
    </x:row>
    <x:row r="63">
      <x:c r="A63" s="42" t="n">
        <x:f>'Materials'!A63</x:f>
        <x:v>3008</x:v>
      </x:c>
      <x:c r="B63" s="41" t="n">
        <x:f>IF('Materials'!I63="","",'Materials'!I63)</x:f>
        <x:v>1400</x:v>
      </x:c>
      <x:c r="C63" s="41" t="n">
        <x:f>IF('Materials'!J63="","",'Materials'!J63)</x:f>
        <x:v>3</x:v>
      </x:c>
      <x:c r="D63" s="41" t="n">
        <x:f>IF('Materials'!N63="","",'Materials'!N63)</x:f>
        <x:v>1.0869565217391306</x:v>
      </x:c>
      <x:c r="E63" s="41" t="n">
        <x:f>IF('Materials'!K63="","",'Materials'!K63)</x:f>
        <x:v>0.38</x:v>
      </x:c>
      <x:c r="F63" s="41" t="n">
        <x:f>IF('Materials'!P63="","",'Materials'!P63)</x:f>
        <x:v>50</x:v>
      </x:c>
      <x:c r="G63" s="41" t="n">
        <x:f>IF('Materials'!Q63="","",'Materials'!Q63)</x:f>
        <x:v>55</x:v>
      </x:c>
      <x:c r="H63" s="41" t="n">
        <x:f>IF('Materials'!R63="","",'Materials'!R63)</x:f>
        <x:v>70</x:v>
      </x:c>
      <x:c r="I63" s="41" t="n">
        <x:f>IF('Materials'!S63="","",'Materials'!S63)</x:f>
        <x:v>80</x:v>
      </x:c>
      <x:c r="J63" s="41" t="n">
        <x:f>IF('Materials'!T63="","",'Materials'!T63)</x:f>
        <x:v>0.4</x:v>
      </x:c>
      <x:c r="K63" s="41" t="n">
        <x:f>IF('Materials'!U63="","",'Materials'!U63)</x:f>
        <x:v>2.5</x:v>
      </x:c>
      <x:c r="L63" s="41" t="n">
        <x:f>IF('Materials'!V63="","",'Materials'!V63)</x:f>
        <x:v>0.19</x:v>
      </x:c>
      <x:c r="M63" s="41" t="n">
        <x:f>IF('Materials'!W63="","",'Materials'!W63)</x:f>
        <x:v>900</x:v>
      </x:c>
      <x:c r="N63" s="41" t="n">
        <x:f>IF('Materials'!X63="","",'Materials'!X63)</x:f>
        <x:v>55</x:v>
      </x:c>
      <x:c r="O63" s="43" t="n">
        <x:f>IF('Materials'!Y63="","",'Materials'!Y63)</x:f>
        <x:v>10000000000000</x:v>
      </x:c>
      <x:c r="P63" s="41" t="n">
        <x:f>IF('Materials'!Z63="","",'Materials'!Z63)</x:f>
        <x:v>82</x:v>
      </x:c>
      <x:c r="Q63" s="41" t="n">
        <x:f>IF('Materials'!AA63="","",'Materials'!AA63)</x:f>
        <x:v>60</x:v>
      </x:c>
      <x:c r="R63" s="41" t="str">
        <x:f>IF('Materials'!AB63="","",'Materials'!AB63)</x:f>
      </x:c>
      <x:c r="S63" s="41" t="n">
        <x:f>IF('Materials'!O63="","",'Materials'!O63)</x:f>
        <x:v>4.166666666666667</x:v>
      </x:c>
    </x:row>
    <x:row r="64">
      <x:c r="A64" s="42" t="n">
        <x:f>'Materials'!A64</x:f>
        <x:v>3009</x:v>
      </x:c>
      <x:c r="B64" s="41" t="n">
        <x:f>IF('Materials'!I64="","",'Materials'!I64)</x:f>
        <x:v>1550</x:v>
      </x:c>
      <x:c r="C64" s="41" t="n">
        <x:f>IF('Materials'!J64="","",'Materials'!J64)</x:f>
        <x:v>2.8</x:v>
      </x:c>
      <x:c r="D64" s="41" t="n">
        <x:f>IF('Materials'!N64="","",'Materials'!N64)</x:f>
        <x:v>1.0144927536231885</x:v>
      </x:c>
      <x:c r="E64" s="41" t="n">
        <x:f>IF('Materials'!K64="","",'Materials'!K64)</x:f>
        <x:v>0.38</x:v>
      </x:c>
      <x:c r="F64" s="41" t="n">
        <x:f>IF('Materials'!P64="","",'Materials'!P64)</x:f>
        <x:v>55</x:v>
      </x:c>
      <x:c r="G64" s="41" t="n">
        <x:f>IF('Materials'!Q64="","",'Materials'!Q64)</x:f>
        <x:v>60</x:v>
      </x:c>
      <x:c r="H64" s="41" t="n">
        <x:f>IF('Materials'!R64="","",'Materials'!R64)</x:f>
        <x:v>80</x:v>
      </x:c>
      <x:c r="I64" s="41" t="n">
        <x:f>IF('Materials'!S64="","",'Materials'!S64)</x:f>
        <x:v>90</x:v>
      </x:c>
      <x:c r="J64" s="41" t="n">
        <x:f>IF('Materials'!T64="","",'Materials'!T64)</x:f>
        <x:v>0.3</x:v>
      </x:c>
      <x:c r="K64" s="41" t="n">
        <x:f>IF('Materials'!U64="","",'Materials'!U64)</x:f>
        <x:v>2.5</x:v>
      </x:c>
      <x:c r="L64" s="41" t="n">
        <x:f>IF('Materials'!V64="","",'Materials'!V64)</x:f>
        <x:v>0.14</x:v>
      </x:c>
      <x:c r="M64" s="41" t="n">
        <x:f>IF('Materials'!W64="","",'Materials'!W64)</x:f>
        <x:v>1000</x:v>
      </x:c>
      <x:c r="N64" s="41" t="n">
        <x:f>IF('Materials'!X64="","",'Materials'!X64)</x:f>
        <x:v>65</x:v>
      </x:c>
      <x:c r="O64" s="43" t="n">
        <x:f>IF('Materials'!Y64="","",'Materials'!Y64)</x:f>
        <x:v>10000000000000</x:v>
      </x:c>
      <x:c r="P64" s="41" t="n">
        <x:f>IF('Materials'!Z64="","",'Materials'!Z64)</x:f>
        <x:v>110</x:v>
      </x:c>
      <x:c r="Q64" s="41" t="n">
        <x:f>IF('Materials'!AA64="","",'Materials'!AA64)</x:f>
        <x:v>95</x:v>
      </x:c>
      <x:c r="R64" s="41" t="str">
        <x:f>IF('Materials'!AB64="","",'Materials'!AB64)</x:f>
      </x:c>
      <x:c r="S64" s="41" t="n">
        <x:f>IF('Materials'!O64="","",'Materials'!O64)</x:f>
        <x:v>3.888888888888889</x:v>
      </x:c>
    </x:row>
    <x:row r="65">
      <x:c r="A65" s="42" t="n">
        <x:f>'Materials'!A65</x:f>
        <x:v>3010</x:v>
      </x:c>
      <x:c r="B65" s="41" t="n">
        <x:f>IF('Materials'!I65="","",'Materials'!I65)</x:f>
        <x:v>1380</x:v>
      </x:c>
      <x:c r="C65" s="41" t="n">
        <x:f>IF('Materials'!J65="","",'Materials'!J65)</x:f>
        <x:v>2.8</x:v>
      </x:c>
      <x:c r="D65" s="41" t="n">
        <x:f>IF('Materials'!N65="","",'Materials'!N65)</x:f>
        <x:v>1.0144927536231885</x:v>
      </x:c>
      <x:c r="E65" s="41" t="n">
        <x:f>IF('Materials'!K65="","",'Materials'!K65)</x:f>
        <x:v>0.38</x:v>
      </x:c>
      <x:c r="F65" s="41" t="n">
        <x:f>IF('Materials'!P65="","",'Materials'!P65)</x:f>
        <x:v>55</x:v>
      </x:c>
      <x:c r="G65" s="41" t="n">
        <x:f>IF('Materials'!Q65="","",'Materials'!Q65)</x:f>
        <x:v>65</x:v>
      </x:c>
      <x:c r="H65" s="41" t="n">
        <x:f>IF('Materials'!R65="","",'Materials'!R65)</x:f>
        <x:v>80</x:v>
      </x:c>
      <x:c r="I65" s="41" t="n">
        <x:f>IF('Materials'!S65="","",'Materials'!S65)</x:f>
        <x:v>90</x:v>
      </x:c>
      <x:c r="J65" s="41" t="n">
        <x:f>IF('Materials'!T65="","",'Materials'!T65)</x:f>
        <x:v>0.7</x:v>
      </x:c>
      <x:c r="K65" s="41" t="n">
        <x:f>IF('Materials'!U65="","",'Materials'!U65)</x:f>
        <x:v>4</x:v>
      </x:c>
      <x:c r="L65" s="41" t="n">
        <x:f>IF('Materials'!V65="","",'Materials'!V65)</x:f>
        <x:v>0.24</x:v>
      </x:c>
      <x:c r="M65" s="41" t="n">
        <x:f>IF('Materials'!W65="","",'Materials'!W65)</x:f>
        <x:v>1200</x:v>
      </x:c>
      <x:c r="N65" s="41" t="n">
        <x:f>IF('Materials'!X65="","",'Materials'!X65)</x:f>
        <x:v>65</x:v>
      </x:c>
      <x:c r="O65" s="43" t="n">
        <x:f>IF('Materials'!Y65="","",'Materials'!Y65)</x:f>
        <x:v>100000000000000</x:v>
      </x:c>
      <x:c r="P65" s="41" t="n">
        <x:f>IF('Materials'!Z65="","",'Materials'!Z65)</x:f>
        <x:v>250</x:v>
      </x:c>
      <x:c r="Q65" s="41" t="n">
        <x:f>IF('Materials'!AA65="","",'Materials'!AA65)</x:f>
        <x:v>120</x:v>
      </x:c>
      <x:c r="R65" s="41" t="str">
        <x:f>IF('Materials'!AB65="","",'Materials'!AB65)</x:f>
      </x:c>
      <x:c r="S65" s="41" t="n">
        <x:f>IF('Materials'!O65="","",'Materials'!O65)</x:f>
        <x:v>3.888888888888889</x:v>
      </x:c>
    </x:row>
    <x:row r="66">
      <x:c r="A66" s="42" t="n">
        <x:f>'Materials'!A66</x:f>
        <x:v>3011</x:v>
      </x:c>
      <x:c r="B66" s="41" t="n">
        <x:f>IF('Materials'!I66="","",'Materials'!I66)</x:f>
        <x:v>1270</x:v>
      </x:c>
      <x:c r="C66" s="41" t="n">
        <x:f>IF('Materials'!J66="","",'Materials'!J66)</x:f>
        <x:v>2.1</x:v>
      </x:c>
      <x:c r="D66" s="41" t="n">
        <x:f>IF('Materials'!N66="","",'Materials'!N66)</x:f>
        <x:v>0.7608695652173914</x:v>
      </x:c>
      <x:c r="E66" s="41" t="n">
        <x:f>IF('Materials'!K66="","",'Materials'!K66)</x:f>
        <x:v>0.38</x:v>
      </x:c>
      <x:c r="F66" s="41" t="n">
        <x:f>IF('Materials'!P66="","",'Materials'!P66)</x:f>
        <x:v>50</x:v>
      </x:c>
      <x:c r="G66" s="41" t="n">
        <x:f>IF('Materials'!Q66="","",'Materials'!Q66)</x:f>
        <x:v>53</x:v>
      </x:c>
      <x:c r="H66" s="41" t="n">
        <x:f>IF('Materials'!R66="","",'Materials'!R66)</x:f>
        <x:v>70</x:v>
      </x:c>
      <x:c r="I66" s="41" t="n">
        <x:f>IF('Materials'!S66="","",'Materials'!S66)</x:f>
        <x:v>70</x:v>
      </x:c>
      <x:c r="J66" s="41" t="n">
        <x:f>IF('Materials'!T66="","",'Materials'!T66)</x:f>
        <x:v>0.25</x:v>
      </x:c>
      <x:c r="K66" s="41" t="n">
        <x:f>IF('Materials'!U66="","",'Materials'!U66)</x:f>
        <x:v>3.5</x:v>
      </x:c>
      <x:c r="L66" s="41" t="n">
        <x:f>IF('Materials'!V66="","",'Materials'!V66)</x:f>
        <x:v>0.2</x:v>
      </x:c>
      <x:c r="M66" s="41" t="n">
        <x:f>IF('Materials'!W66="","",'Materials'!W66)</x:f>
        <x:v>1200</x:v>
      </x:c>
      <x:c r="N66" s="41" t="n">
        <x:f>IF('Materials'!X66="","",'Materials'!X66)</x:f>
        <x:v>68</x:v>
      </x:c>
      <x:c r="O66" s="43" t="n">
        <x:f>IF('Materials'!Y66="","",'Materials'!Y66)</x:f>
        <x:v>100000000000000</x:v>
      </x:c>
      <x:c r="P66" s="41" t="n">
        <x:f>IF('Materials'!Z66="","",'Materials'!Z66)</x:f>
        <x:v>80</x:v>
      </x:c>
      <x:c r="Q66" s="41" t="n">
        <x:f>IF('Materials'!AA66="","",'Materials'!AA66)</x:f>
        <x:v>70</x:v>
      </x:c>
      <x:c r="R66" s="41" t="str">
        <x:f>IF('Materials'!AB66="","",'Materials'!AB66)</x:f>
      </x:c>
      <x:c r="S66" s="41" t="n">
        <x:f>IF('Materials'!O66="","",'Materials'!O66)</x:f>
        <x:v>2.916666666666667</x:v>
      </x:c>
    </x:row>
    <x:row r="67">
      <x:c r="A67" s="42" t="n">
        <x:f>'Materials'!A67</x:f>
        <x:v>3012</x:v>
      </x:c>
      <x:c r="B67" s="41" t="n">
        <x:f>IF('Materials'!I67="","",'Materials'!I67)</x:f>
        <x:v>1130</x:v>
      </x:c>
      <x:c r="C67" s="41" t="n">
        <x:f>IF('Materials'!J67="","",'Materials'!J67)</x:f>
        <x:v>2.8</x:v>
      </x:c>
      <x:c r="D67" s="41" t="n">
        <x:f>IF('Materials'!N67="","",'Materials'!N67)</x:f>
        <x:v>1.0071942446043165</x:v>
      </x:c>
      <x:c r="E67" s="41" t="n">
        <x:f>IF('Materials'!K67="","",'Materials'!K67)</x:f>
        <x:v>0.39</x:v>
      </x:c>
      <x:c r="F67" s="41" t="n">
        <x:f>IF('Materials'!P67="","",'Materials'!P67)</x:f>
        <x:v>75</x:v>
      </x:c>
      <x:c r="G67" s="41" t="n">
        <x:f>IF('Materials'!Q67="","",'Materials'!Q67)</x:f>
        <x:v>80</x:v>
      </x:c>
      <x:c r="H67" s="41" t="n">
        <x:f>IF('Materials'!R67="","",'Materials'!R67)</x:f>
        <x:v>90</x:v>
      </x:c>
      <x:c r="I67" s="41" t="n">
        <x:f>IF('Materials'!S67="","",'Materials'!S67)</x:f>
        <x:v>105</x:v>
      </x:c>
      <x:c r="J67" s="41" t="n">
        <x:f>IF('Materials'!T67="","",'Materials'!T67)</x:f>
        <x:v>0.5</x:v>
      </x:c>
      <x:c r="K67" s="41" t="n">
        <x:f>IF('Materials'!U67="","",'Materials'!U67)</x:f>
        <x:v>4</x:v>
      </x:c>
      <x:c r="L67" s="41" t="n">
        <x:f>IF('Materials'!V67="","",'Materials'!V67)</x:f>
        <x:v>0.25</x:v>
      </x:c>
      <x:c r="M67" s="41" t="n">
        <x:f>IF('Materials'!W67="","",'Materials'!W67)</x:f>
        <x:v>1700</x:v>
      </x:c>
      <x:c r="N67" s="41" t="n">
        <x:f>IF('Materials'!X67="","",'Materials'!X67)</x:f>
        <x:v>85</x:v>
      </x:c>
      <x:c r="O67" s="43" t="n">
        <x:f>IF('Materials'!Y67="","",'Materials'!Y67)</x:f>
        <x:v>1000000000000</x:v>
      </x:c>
      <x:c r="P67" s="41" t="n">
        <x:f>IF('Materials'!Z67="","",'Materials'!Z67)</x:f>
        <x:v>220</x:v>
      </x:c>
      <x:c r="Q67" s="41" t="n">
        <x:f>IF('Materials'!AA67="","",'Materials'!AA67)</x:f>
        <x:v>105</x:v>
      </x:c>
      <x:c r="R67" s="41" t="str">
        <x:f>IF('Materials'!AB67="","",'Materials'!AB67)</x:f>
      </x:c>
      <x:c r="S67" s="41" t="n">
        <x:f>IF('Materials'!O67="","",'Materials'!O67)</x:f>
        <x:v>4.242424242424243</x:v>
      </x:c>
    </x:row>
    <x:row r="68">
      <x:c r="A68" s="42" t="n">
        <x:f>'Materials'!A68</x:f>
        <x:v>3013</x:v>
      </x:c>
      <x:c r="B68" s="41" t="n">
        <x:f>IF('Materials'!I68="","",'Materials'!I68)</x:f>
        <x:v>1140</x:v>
      </x:c>
      <x:c r="C68" s="41" t="n">
        <x:f>IF('Materials'!J68="","",'Materials'!J68)</x:f>
        <x:v>3</x:v>
      </x:c>
      <x:c r="D68" s="41" t="n">
        <x:f>IF('Materials'!N68="","",'Materials'!N68)</x:f>
        <x:v>1.079136690647482</x:v>
      </x:c>
      <x:c r="E68" s="41" t="n">
        <x:f>IF('Materials'!K68="","",'Materials'!K68)</x:f>
        <x:v>0.39</x:v>
      </x:c>
      <x:c r="F68" s="41" t="n">
        <x:f>IF('Materials'!P68="","",'Materials'!P68)</x:f>
        <x:v>85</x:v>
      </x:c>
      <x:c r="G68" s="41" t="n">
        <x:f>IF('Materials'!Q68="","",'Materials'!Q68)</x:f>
        <x:v>90</x:v>
      </x:c>
      <x:c r="H68" s="41" t="n">
        <x:f>IF('Materials'!R68="","",'Materials'!R68)</x:f>
        <x:v>100</x:v>
      </x:c>
      <x:c r="I68" s="41" t="n">
        <x:f>IF('Materials'!S68="","",'Materials'!S68)</x:f>
        <x:v>115</x:v>
      </x:c>
      <x:c r="J68" s="41" t="n">
        <x:f>IF('Materials'!T68="","",'Materials'!T68)</x:f>
        <x:v>0.35</x:v>
      </x:c>
      <x:c r="K68" s="41" t="n">
        <x:f>IF('Materials'!U68="","",'Materials'!U68)</x:f>
        <x:v>4.5</x:v>
      </x:c>
      <x:c r="L68" s="41" t="n">
        <x:f>IF('Materials'!V68="","",'Materials'!V68)</x:f>
        <x:v>0.25</x:v>
      </x:c>
      <x:c r="M68" s="41" t="n">
        <x:f>IF('Materials'!W68="","",'Materials'!W68)</x:f>
        <x:v>1670</x:v>
      </x:c>
      <x:c r="N68" s="41" t="n">
        <x:f>IF('Materials'!X68="","",'Materials'!X68)</x:f>
        <x:v>80</x:v>
      </x:c>
      <x:c r="O68" s="43" t="n">
        <x:f>IF('Materials'!Y68="","",'Materials'!Y68)</x:f>
        <x:v>1000000000000</x:v>
      </x:c>
      <x:c r="P68" s="41" t="n">
        <x:f>IF('Materials'!Z68="","",'Materials'!Z68)</x:f>
        <x:v>260</x:v>
      </x:c>
      <x:c r="Q68" s="41" t="n">
        <x:f>IF('Materials'!AA68="","",'Materials'!AA68)</x:f>
        <x:v>120</x:v>
      </x:c>
      <x:c r="R68" s="41" t="str">
        <x:f>IF('Materials'!AB68="","",'Materials'!AB68)</x:f>
      </x:c>
      <x:c r="S68" s="41" t="n">
        <x:f>IF('Materials'!O68="","",'Materials'!O68)</x:f>
        <x:v>4.545454545454546</x:v>
      </x:c>
    </x:row>
    <x:row r="69">
      <x:c r="A69" s="42" t="n">
        <x:f>'Materials'!A69</x:f>
        <x:v>3014</x:v>
      </x:c>
      <x:c r="B69" s="41" t="n">
        <x:f>IF('Materials'!I69="","",'Materials'!I69)</x:f>
        <x:v>1420</x:v>
      </x:c>
      <x:c r="C69" s="41" t="n">
        <x:f>IF('Materials'!J69="","",'Materials'!J69)</x:f>
        <x:v>3.1</x:v>
      </x:c>
      <x:c r="D69" s="41" t="n">
        <x:f>IF('Materials'!N69="","",'Materials'!N69)</x:f>
        <x:v>1.1481481481481481</x:v>
      </x:c>
      <x:c r="E69" s="41" t="n">
        <x:f>IF('Materials'!K69="","",'Materials'!K69)</x:f>
        <x:v>0.35</x:v>
      </x:c>
      <x:c r="F69" s="41" t="n">
        <x:f>IF('Materials'!P69="","",'Materials'!P69)</x:f>
        <x:v>69</x:v>
      </x:c>
      <x:c r="G69" s="41" t="n">
        <x:f>IF('Materials'!Q69="","",'Materials'!Q69)</x:f>
        <x:v>75</x:v>
      </x:c>
      <x:c r="H69" s="41" t="n">
        <x:f>IF('Materials'!R69="","",'Materials'!R69)</x:f>
        <x:v>110</x:v>
      </x:c>
      <x:c r="I69" s="41" t="n">
        <x:f>IF('Materials'!S69="","",'Materials'!S69)</x:f>
        <x:v>95</x:v>
      </x:c>
      <x:c r="J69" s="41" t="n">
        <x:f>IF('Materials'!T69="","",'Materials'!T69)</x:f>
        <x:v>0.3</x:v>
      </x:c>
      <x:c r="K69" s="41" t="n">
        <x:f>IF('Materials'!U69="","",'Materials'!U69)</x:f>
        <x:v>5</x:v>
      </x:c>
      <x:c r="L69" s="41" t="n">
        <x:f>IF('Materials'!V69="","",'Materials'!V69)</x:f>
        <x:v>0.31</x:v>
      </x:c>
      <x:c r="M69" s="41" t="n">
        <x:f>IF('Materials'!W69="","",'Materials'!W69)</x:f>
        <x:v>1470</x:v>
      </x:c>
      <x:c r="N69" s="41" t="n">
        <x:f>IF('Materials'!X69="","",'Materials'!X69)</x:f>
        <x:v>100</x:v>
      </x:c>
      <x:c r="O69" s="43" t="n">
        <x:f>IF('Materials'!Y69="","",'Materials'!Y69)</x:f>
        <x:v>10000000000000</x:v>
      </x:c>
      <x:c r="P69" s="41" t="n">
        <x:f>IF('Materials'!Z69="","",'Materials'!Z69)</x:f>
        <x:v>175</x:v>
      </x:c>
      <x:c r="Q69" s="41" t="n">
        <x:f>IF('Materials'!AA69="","",'Materials'!AA69)</x:f>
        <x:v>105</x:v>
      </x:c>
      <x:c r="R69" s="41" t="str">
        <x:f>IF('Materials'!AB69="","",'Materials'!AB69)</x:f>
      </x:c>
      <x:c r="S69" s="41" t="n">
        <x:f>IF('Materials'!O69="","",'Materials'!O69)</x:f>
        <x:v>3.444444444444444</x:v>
      </x:c>
    </x:row>
    <x:row r="70">
      <x:c r="A70" s="42" t="n">
        <x:f>'Materials'!A70</x:f>
        <x:v>3015</x:v>
      </x:c>
      <x:c r="B70" s="41" t="n">
        <x:f>IF('Materials'!I70="","",'Materials'!I70)</x:f>
        <x:v>1200</x:v>
      </x:c>
      <x:c r="C70" s="41" t="n">
        <x:f>IF('Materials'!J70="","",'Materials'!J70)</x:f>
        <x:v>2.3</x:v>
      </x:c>
      <x:c r="D70" s="41" t="n">
        <x:f>IF('Materials'!N70="","",'Materials'!N70)</x:f>
        <x:v>0.8394160583941604</x:v>
      </x:c>
      <x:c r="E70" s="41" t="n">
        <x:f>IF('Materials'!K70="","",'Materials'!K70)</x:f>
        <x:v>0.37</x:v>
      </x:c>
      <x:c r="F70" s="41" t="n">
        <x:f>IF('Materials'!P70="","",'Materials'!P70)</x:f>
        <x:v>62</x:v>
      </x:c>
      <x:c r="G70" s="41" t="n">
        <x:f>IF('Materials'!Q70="","",'Materials'!Q70)</x:f>
        <x:v>65</x:v>
      </x:c>
      <x:c r="H70" s="41" t="n">
        <x:f>IF('Materials'!R70="","",'Materials'!R70)</x:f>
        <x:v>80</x:v>
      </x:c>
      <x:c r="I70" s="41" t="n">
        <x:f>IF('Materials'!S70="","",'Materials'!S70)</x:f>
        <x:v>90</x:v>
      </x:c>
      <x:c r="J70" s="41" t="n">
        <x:f>IF('Materials'!T70="","",'Materials'!T70)</x:f>
        <x:v>1</x:v>
      </x:c>
      <x:c r="K70" s="41" t="n">
        <x:f>IF('Materials'!U70="","",'Materials'!U70)</x:f>
        <x:v>4</x:v>
      </x:c>
      <x:c r="L70" s="41" t="n">
        <x:f>IF('Materials'!V70="","",'Materials'!V70)</x:f>
        <x:v>0.2</x:v>
      </x:c>
      <x:c r="M70" s="41" t="n">
        <x:f>IF('Materials'!W70="","",'Materials'!W70)</x:f>
        <x:v>1200</x:v>
      </x:c>
      <x:c r="N70" s="41" t="n">
        <x:f>IF('Materials'!X70="","",'Materials'!X70)</x:f>
        <x:v>65</x:v>
      </x:c>
      <x:c r="O70" s="43" t="n">
        <x:f>IF('Materials'!Y70="","",'Materials'!Y70)</x:f>
        <x:v>100000000000000</x:v>
      </x:c>
      <x:c r="P70" s="41" t="n">
        <x:f>IF('Materials'!Z70="","",'Materials'!Z70)</x:f>
        <x:v>147</x:v>
      </x:c>
      <x:c r="Q70" s="41" t="n">
        <x:f>IF('Materials'!AA70="","",'Materials'!AA70)</x:f>
        <x:v>120</x:v>
      </x:c>
      <x:c r="R70" s="41" t="str">
        <x:f>IF('Materials'!AB70="","",'Materials'!AB70)</x:f>
      </x:c>
      <x:c r="S70" s="41" t="n">
        <x:f>IF('Materials'!O70="","",'Materials'!O70)</x:f>
        <x:v>2.9487179487179485</x:v>
      </x:c>
    </x:row>
    <x:row r="71">
      <x:c r="A71" s="42" t="n">
        <x:f>'Materials'!A71</x:f>
        <x:v>3016</x:v>
      </x:c>
      <x:c r="B71" s="41" t="n">
        <x:f>IF('Materials'!I71="","",'Materials'!I71)</x:f>
        <x:v>1180</x:v>
      </x:c>
      <x:c r="C71" s="41" t="n">
        <x:f>IF('Materials'!J71="","",'Materials'!J71)</x:f>
        <x:v>3.2</x:v>
      </x:c>
      <x:c r="D71" s="41" t="n">
        <x:f>IF('Materials'!N71="","",'Materials'!N71)</x:f>
        <x:v>1.1851851851851851</x:v>
      </x:c>
      <x:c r="E71" s="41" t="n">
        <x:f>IF('Materials'!K71="","",'Materials'!K71)</x:f>
        <x:v>0.35</x:v>
      </x:c>
      <x:c r="F71" s="41" t="n">
        <x:f>IF('Materials'!P71="","",'Materials'!P71)</x:f>
        <x:v>65</x:v>
      </x:c>
      <x:c r="G71" s="41" t="n">
        <x:f>IF('Materials'!Q71="","",'Materials'!Q71)</x:f>
        <x:v>70</x:v>
      </x:c>
      <x:c r="H71" s="41" t="n">
        <x:f>IF('Materials'!R71="","",'Materials'!R71)</x:f>
        <x:v>100</x:v>
      </x:c>
      <x:c r="I71" s="41" t="n">
        <x:f>IF('Materials'!S71="","",'Materials'!S71)</x:f>
        <x:v>110</x:v>
      </x:c>
      <x:c r="J71" s="41" t="n">
        <x:f>IF('Materials'!T71="","",'Materials'!T71)</x:f>
        <x:v>0.05</x:v>
      </x:c>
      <x:c r="K71" s="41" t="n">
        <x:f>IF('Materials'!U71="","",'Materials'!U71)</x:f>
        <x:v>1.5</x:v>
      </x:c>
      <x:c r="L71" s="41" t="n">
        <x:f>IF('Materials'!V71="","",'Materials'!V71)</x:f>
        <x:v>0.19</x:v>
      </x:c>
      <x:c r="M71" s="41" t="n">
        <x:f>IF('Materials'!W71="","",'Materials'!W71)</x:f>
        <x:v>1470</x:v>
      </x:c>
      <x:c r="N71" s="41" t="n">
        <x:f>IF('Materials'!X71="","",'Materials'!X71)</x:f>
        <x:v>70</x:v>
      </x:c>
      <x:c r="O71" s="43" t="n">
        <x:f>IF('Materials'!Y71="","",'Materials'!Y71)</x:f>
        <x:v>100000000000000</x:v>
      </x:c>
      <x:c r="P71" s="41" t="n">
        <x:f>IF('Materials'!Z71="","",'Materials'!Z71)</x:f>
        <x:v>105</x:v>
      </x:c>
      <x:c r="Q71" s="41" t="n">
        <x:f>IF('Materials'!AA71="","",'Materials'!AA71)</x:f>
        <x:v>80</x:v>
      </x:c>
      <x:c r="R71" s="41" t="str">
        <x:f>IF('Materials'!AB71="","",'Materials'!AB71)</x:f>
      </x:c>
      <x:c r="S71" s="41" t="n">
        <x:f>IF('Materials'!O71="","",'Materials'!O71)</x:f>
        <x:v>3.5555555555555554</x:v>
      </x:c>
    </x:row>
    <x:row r="72">
      <x:c r="A72" s="42" t="n">
        <x:f>'Materials'!A72</x:f>
        <x:v>3017</x:v>
      </x:c>
      <x:c r="B72" s="41" t="n">
        <x:f>IF('Materials'!I72="","",'Materials'!I72)</x:f>
        <x:v>2200</x:v>
      </x:c>
      <x:c r="C72" s="41" t="n">
        <x:f>IF('Materials'!J72="","",'Materials'!J72)</x:f>
        <x:v>0.5</x:v>
      </x:c>
      <x:c r="D72" s="41" t="n">
        <x:f>IF('Materials'!N72="","",'Materials'!N72)</x:f>
        <x:v>0.17123287671232876</x:v>
      </x:c>
      <x:c r="E72" s="41" t="n">
        <x:f>IF('Materials'!K72="","",'Materials'!K72)</x:f>
        <x:v>0.46</x:v>
      </x:c>
      <x:c r="F72" s="41" t="n">
        <x:f>IF('Materials'!P72="","",'Materials'!P72)</x:f>
        <x:v>23</x:v>
      </x:c>
      <x:c r="G72" s="41" t="n">
        <x:f>IF('Materials'!Q72="","",'Materials'!Q72)</x:f>
        <x:v>30</x:v>
      </x:c>
      <x:c r="H72" s="41" t="n">
        <x:f>IF('Materials'!R72="","",'Materials'!R72)</x:f>
        <x:v>12</x:v>
      </x:c>
      <x:c r="I72" s="41" t="n">
        <x:f>IF('Materials'!S72="","",'Materials'!S72)</x:f>
        <x:v>18</x:v>
      </x:c>
      <x:c r="J72" s="41" t="n">
        <x:f>IF('Materials'!T72="","",'Materials'!T72)</x:f>
        <x:v>3</x:v>
      </x:c>
      <x:c r="K72" s="41" t="n">
        <x:f>IF('Materials'!U72="","",'Materials'!U72)</x:f>
        <x:v>2.5</x:v>
      </x:c>
      <x:c r="L72" s="41" t="n">
        <x:f>IF('Materials'!V72="","",'Materials'!V72)</x:f>
        <x:v>0.25</x:v>
      </x:c>
      <x:c r="M72" s="41" t="n">
        <x:f>IF('Materials'!W72="","",'Materials'!W72)</x:f>
        <x:v>1000</x:v>
      </x:c>
      <x:c r="N72" s="41" t="n">
        <x:f>IF('Materials'!X72="","",'Materials'!X72)</x:f>
        <x:v>120</x:v>
      </x:c>
      <x:c r="O72" s="43" t="n">
        <x:f>IF('Materials'!Y72="","",'Materials'!Y72)</x:f>
        <x:v>1000000000000000000</x:v>
      </x:c>
      <x:c r="P72" s="41" t="n">
        <x:f>IF('Materials'!Z72="","",'Materials'!Z72)</x:f>
        <x:v>327</x:v>
      </x:c>
      <x:c r="Q72" s="41" t="n">
        <x:f>IF('Materials'!AA72="","",'Materials'!AA72)</x:f>
        <x:v>260</x:v>
      </x:c>
      <x:c r="R72" s="41" t="str">
        <x:f>IF('Materials'!AB72="","",'Materials'!AB72)</x:f>
      </x:c>
      <x:c r="S72" s="41" t="n">
        <x:f>IF('Materials'!O72="","",'Materials'!O72)</x:f>
        <x:v>2.0833333333333344</x:v>
      </x:c>
    </x:row>
    <x:row r="73">
      <x:c r="A73" s="42" t="n">
        <x:f>'Materials'!A73</x:f>
        <x:v>3018</x:v>
      </x:c>
      <x:c r="B73" s="41" t="n">
        <x:f>IF('Materials'!I73="","",'Materials'!I73)</x:f>
        <x:v>1320</x:v>
      </x:c>
      <x:c r="C73" s="41" t="n">
        <x:f>IF('Materials'!J73="","",'Materials'!J73)</x:f>
        <x:v>3.6</x:v>
      </x:c>
      <x:c r="D73" s="41" t="n">
        <x:f>IF('Materials'!N73="","",'Materials'!N73)</x:f>
        <x:v>1.3043478260869568</x:v>
      </x:c>
      <x:c r="E73" s="41" t="n">
        <x:f>IF('Materials'!K73="","",'Materials'!K73)</x:f>
        <x:v>0.38</x:v>
      </x:c>
      <x:c r="F73" s="41" t="n">
        <x:f>IF('Materials'!P73="","",'Materials'!P73)</x:f>
        <x:v>100</x:v>
      </x:c>
      <x:c r="G73" s="41" t="n">
        <x:f>IF('Materials'!Q73="","",'Materials'!Q73)</x:f>
        <x:v>100</x:v>
      </x:c>
      <x:c r="H73" s="41" t="n">
        <x:f>IF('Materials'!R73="","",'Materials'!R73)</x:f>
        <x:v>125</x:v>
      </x:c>
      <x:c r="I73" s="41" t="n">
        <x:f>IF('Materials'!S73="","",'Materials'!S73)</x:f>
        <x:v>165</x:v>
      </x:c>
      <x:c r="J73" s="41" t="n">
        <x:f>IF('Materials'!T73="","",'Materials'!T73)</x:f>
        <x:v>0.2</x:v>
      </x:c>
      <x:c r="K73" s="41" t="n">
        <x:f>IF('Materials'!U73="","",'Materials'!U73)</x:f>
        <x:v>5</x:v>
      </x:c>
      <x:c r="L73" s="41" t="n">
        <x:f>IF('Materials'!V73="","",'Materials'!V73)</x:f>
        <x:v>0.25</x:v>
      </x:c>
      <x:c r="M73" s="41" t="n">
        <x:f>IF('Materials'!W73="","",'Materials'!W73)</x:f>
        <x:v>1300</x:v>
      </x:c>
      <x:c r="N73" s="41" t="n">
        <x:f>IF('Materials'!X73="","",'Materials'!X73)</x:f>
        <x:v>47</x:v>
      </x:c>
      <x:c r="O73" s="43" t="n">
        <x:f>IF('Materials'!Y73="","",'Materials'!Y73)</x:f>
        <x:v>1000000000000000</x:v>
      </x:c>
      <x:c r="P73" s="41" t="n">
        <x:f>IF('Materials'!Z73="","",'Materials'!Z73)</x:f>
        <x:v>343</x:v>
      </x:c>
      <x:c r="Q73" s="41" t="n">
        <x:f>IF('Materials'!AA73="","",'Materials'!AA73)</x:f>
        <x:v>250</x:v>
      </x:c>
      <x:c r="R73" s="41" t="str">
        <x:f>IF('Materials'!AB73="","",'Materials'!AB73)</x:f>
      </x:c>
      <x:c r="S73" s="41" t="n">
        <x:f>IF('Materials'!O73="","",'Materials'!O73)</x:f>
        <x:v>5</x:v>
      </x:c>
    </x:row>
    <x:row r="74">
      <x:c r="A74" s="42" t="n">
        <x:f>'Materials'!A74</x:f>
        <x:v>3019</x:v>
      </x:c>
      <x:c r="B74" s="41" t="n">
        <x:f>IF('Materials'!I74="","",'Materials'!I74)</x:f>
        <x:v>1270</x:v>
      </x:c>
      <x:c r="C74" s="41" t="n">
        <x:f>IF('Materials'!J74="","",'Materials'!J74)</x:f>
        <x:v>3.2</x:v>
      </x:c>
      <x:c r="D74" s="41" t="n">
        <x:f>IF('Materials'!N74="","",'Materials'!N74)</x:f>
        <x:v>1.1764705882352944</x:v>
      </x:c>
      <x:c r="E74" s="41" t="n">
        <x:f>IF('Materials'!K74="","",'Materials'!K74)</x:f>
        <x:v>0.36</x:v>
      </x:c>
      <x:c r="F74" s="41" t="n">
        <x:f>IF('Materials'!P74="","",'Materials'!P74)</x:f>
        <x:v>105</x:v>
      </x:c>
      <x:c r="G74" s="41" t="n">
        <x:f>IF('Materials'!Q74="","",'Materials'!Q74)</x:f>
        <x:v>105</x:v>
      </x:c>
      <x:c r="H74" s="41" t="n">
        <x:f>IF('Materials'!R74="","",'Materials'!R74)</x:f>
        <x:v>140</x:v>
      </x:c>
      <x:c r="I74" s="41" t="n">
        <x:f>IF('Materials'!S74="","",'Materials'!S74)</x:f>
        <x:v>150</x:v>
      </x:c>
      <x:c r="J74" s="41" t="n">
        <x:f>IF('Materials'!T74="","",'Materials'!T74)</x:f>
        <x:v>0.6</x:v>
      </x:c>
      <x:c r="K74" s="41" t="n">
        <x:f>IF('Materials'!U74="","",'Materials'!U74)</x:f>
        <x:v>4</x:v>
      </x:c>
      <x:c r="L74" s="41" t="n">
        <x:f>IF('Materials'!V74="","",'Materials'!V74)</x:f>
        <x:v>0.22</x:v>
      </x:c>
      <x:c r="M74" s="41" t="n">
        <x:f>IF('Materials'!W74="","",'Materials'!W74)</x:f>
        <x:v>1250</x:v>
      </x:c>
      <x:c r="N74" s="41" t="n">
        <x:f>IF('Materials'!X74="","",'Materials'!X74)</x:f>
        <x:v>56</x:v>
      </x:c>
      <x:c r="O74" s="43" t="n">
        <x:f>IF('Materials'!Y74="","",'Materials'!Y74)</x:f>
        <x:v>1000000000000000</x:v>
      </x:c>
      <x:c r="P74" s="41" t="n">
        <x:f>IF('Materials'!Z74="","",'Materials'!Z74)</x:f>
        <x:v>217</x:v>
      </x:c>
      <x:c r="Q74" s="41" t="n">
        <x:f>IF('Materials'!AA74="","",'Materials'!AA74)</x:f>
        <x:v>170</x:v>
      </x:c>
      <x:c r="R74" s="41" t="str">
        <x:f>IF('Materials'!AB74="","",'Materials'!AB74)</x:f>
      </x:c>
      <x:c r="S74" s="41" t="n">
        <x:f>IF('Materials'!O74="","",'Materials'!O74)</x:f>
        <x:v>3.8095238095238093</x:v>
      </x:c>
    </x:row>
    <x:row r="75">
      <x:c r="A75" s="42" t="n">
        <x:f>'Materials'!A75</x:f>
        <x:v>3020</x:v>
      </x:c>
      <x:c r="B75" s="41" t="n">
        <x:f>IF('Materials'!I75="","",'Materials'!I75)</x:f>
        <x:v>1350</x:v>
      </x:c>
      <x:c r="C75" s="41" t="n">
        <x:f>IF('Materials'!J75="","",'Materials'!J75)</x:f>
        <x:v>3.5</x:v>
      </x:c>
      <x:c r="D75" s="41" t="n">
        <x:f>IF('Materials'!N75="","",'Materials'!N75)</x:f>
        <x:v>1.286764705882353</x:v>
      </x:c>
      <x:c r="E75" s="41" t="n">
        <x:f>IF('Materials'!K75="","",'Materials'!K75)</x:f>
        <x:v>0.36</x:v>
      </x:c>
      <x:c r="F75" s="41" t="n">
        <x:f>IF('Materials'!P75="","",'Materials'!P75)</x:f>
        <x:v>75</x:v>
      </x:c>
      <x:c r="G75" s="41" t="n">
        <x:f>IF('Materials'!Q75="","",'Materials'!Q75)</x:f>
        <x:v>80</x:v>
      </x:c>
      <x:c r="H75" s="41" t="n">
        <x:f>IF('Materials'!R75="","",'Materials'!R75)</x:f>
        <x:v>120</x:v>
      </x:c>
      <x:c r="I75" s="41" t="n">
        <x:f>IF('Materials'!S75="","",'Materials'!S75)</x:f>
        <x:v>120</x:v>
      </x:c>
      <x:c r="J75" s="41" t="n">
        <x:f>IF('Materials'!T75="","",'Materials'!T75)</x:f>
        <x:v>0.04</x:v>
      </x:c>
      <x:c r="K75" s="41" t="n">
        <x:f>IF('Materials'!U75="","",'Materials'!U75)</x:f>
        <x:v>3</x:v>
      </x:c>
      <x:c r="L75" s="41" t="n">
        <x:f>IF('Materials'!V75="","",'Materials'!V75)</x:f>
        <x:v>0.3</x:v>
      </x:c>
      <x:c r="M75" s="41" t="n">
        <x:f>IF('Materials'!W75="","",'Materials'!W75)</x:f>
        <x:v>1100</x:v>
      </x:c>
      <x:c r="N75" s="41" t="n">
        <x:f>IF('Materials'!X75="","",'Materials'!X75)</x:f>
        <x:v>55</x:v>
      </x:c>
      <x:c r="O75" s="43" t="n">
        <x:f>IF('Materials'!Y75="","",'Materials'!Y75)</x:f>
        <x:v>100000000000000</x:v>
      </x:c>
      <x:c r="P75" s="41" t="n">
        <x:f>IF('Materials'!Z75="","",'Materials'!Z75)</x:f>
        <x:v>285</x:v>
      </x:c>
      <x:c r="Q75" s="41" t="n">
        <x:f>IF('Materials'!AA75="","",'Materials'!AA75)</x:f>
        <x:v>200</x:v>
      </x:c>
      <x:c r="R75" s="41" t="str">
        <x:f>IF('Materials'!AB75="","",'Materials'!AB75)</x:f>
      </x:c>
      <x:c r="S75" s="41" t="n">
        <x:f>IF('Materials'!O75="","",'Materials'!O75)</x:f>
        <x:v>4.166666666666666</x:v>
      </x:c>
    </x:row>
    <x:row r="76">
      <x:c r="A76" s="42" t="n">
        <x:f>'Materials'!A76</x:f>
        <x:v>3021</x:v>
      </x:c>
      <x:c r="B76" s="41" t="n">
        <x:f>IF('Materials'!I76="","",'Materials'!I76)</x:f>
        <x:v>1240</x:v>
      </x:c>
      <x:c r="C76" s="41" t="n">
        <x:f>IF('Materials'!J76="","",'Materials'!J76)</x:f>
        <x:v>2.5</x:v>
      </x:c>
      <x:c r="D76" s="41" t="n">
        <x:f>IF('Materials'!N76="","",'Materials'!N76)</x:f>
        <x:v>0.9124087591240875</x:v>
      </x:c>
      <x:c r="E76" s="41" t="n">
        <x:f>IF('Materials'!K76="","",'Materials'!K76)</x:f>
        <x:v>0.37</x:v>
      </x:c>
      <x:c r="F76" s="41" t="n">
        <x:f>IF('Materials'!P76="","",'Materials'!P76)</x:f>
        <x:v>70</x:v>
      </x:c>
      <x:c r="G76" s="41" t="n">
        <x:f>IF('Materials'!Q76="","",'Materials'!Q76)</x:f>
        <x:v>75</x:v>
      </x:c>
      <x:c r="H76" s="41" t="n">
        <x:f>IF('Materials'!R76="","",'Materials'!R76)</x:f>
        <x:v>100</x:v>
      </x:c>
      <x:c r="I76" s="41" t="n">
        <x:f>IF('Materials'!S76="","",'Materials'!S76)</x:f>
        <x:v>105</x:v>
      </x:c>
      <x:c r="J76" s="41" t="n">
        <x:f>IF('Materials'!T76="","",'Materials'!T76)</x:f>
        <x:v>0.5</x:v>
      </x:c>
      <x:c r="K76" s="41" t="n">
        <x:f>IF('Materials'!U76="","",'Materials'!U76)</x:f>
        <x:v>3.5</x:v>
      </x:c>
      <x:c r="L76" s="41" t="n">
        <x:f>IF('Materials'!V76="","",'Materials'!V76)</x:f>
        <x:v>0.26</x:v>
      </x:c>
      <x:c r="M76" s="41" t="n">
        <x:f>IF('Materials'!W76="","",'Materials'!W76)</x:f>
        <x:v>1200</x:v>
      </x:c>
      <x:c r="N76" s="41" t="n">
        <x:f>IF('Materials'!X76="","",'Materials'!X76)</x:f>
        <x:v>55</x:v>
      </x:c>
      <x:c r="O76" s="43" t="n">
        <x:f>IF('Materials'!Y76="","",'Materials'!Y76)</x:f>
        <x:v>100000000000000</x:v>
      </x:c>
      <x:c r="P76" s="41" t="n">
        <x:f>IF('Materials'!Z76="","",'Materials'!Z76)</x:f>
        <x:v>185</x:v>
      </x:c>
      <x:c r="Q76" s="41" t="n">
        <x:f>IF('Materials'!AA76="","",'Materials'!AA76)</x:f>
        <x:v>150</x:v>
      </x:c>
      <x:c r="R76" s="41" t="str">
        <x:f>IF('Materials'!AB76="","",'Materials'!AB76)</x:f>
      </x:c>
      <x:c r="S76" s="41" t="n">
        <x:f>IF('Materials'!O76="","",'Materials'!O76)</x:f>
        <x:v>3.205128205128205</x:v>
      </x:c>
    </x:row>
    <x:row r="77">
      <x:c r="A77" s="42" t="n">
        <x:f>'Materials'!A77</x:f>
        <x:v>3022</x:v>
      </x:c>
      <x:c r="B77" s="41" t="n">
        <x:f>IF('Materials'!I77="","",'Materials'!I77)</x:f>
        <x:v>1150</x:v>
      </x:c>
      <x:c r="C77" s="41" t="n">
        <x:f>IF('Materials'!J77="","",'Materials'!J77)</x:f>
        <x:v>3</x:v>
      </x:c>
      <x:c r="D77" s="41" t="n">
        <x:f>IF('Materials'!N77="","",'Materials'!N77)</x:f>
        <x:v>1.111111111111111</x:v>
      </x:c>
      <x:c r="E77" s="41" t="n">
        <x:f>IF('Materials'!K77="","",'Materials'!K77)</x:f>
        <x:v>0.35</x:v>
      </x:c>
      <x:c r="F77" s="41" t="n">
        <x:f>IF('Materials'!P77="","",'Materials'!P77)</x:f>
        <x:v>55</x:v>
      </x:c>
      <x:c r="G77" s="41" t="n">
        <x:f>IF('Materials'!Q77="","",'Materials'!Q77)</x:f>
        <x:v>70</x:v>
      </x:c>
      <x:c r="H77" s="41" t="n">
        <x:f>IF('Materials'!R77="","",'Materials'!R77)</x:f>
        <x:v>120</x:v>
      </x:c>
      <x:c r="I77" s="41" t="n">
        <x:f>IF('Materials'!S77="","",'Materials'!S77)</x:f>
        <x:v>100</x:v>
      </x:c>
      <x:c r="J77" s="41" t="n">
        <x:f>IF('Materials'!T77="","",'Materials'!T77)</x:f>
        <x:v>0.04</x:v>
      </x:c>
      <x:c r="K77" s="41" t="n">
        <x:f>IF('Materials'!U77="","",'Materials'!U77)</x:f>
        <x:v>1.2</x:v>
      </x:c>
      <x:c r="L77" s="41" t="n">
        <x:f>IF('Materials'!V77="","",'Materials'!V77)</x:f>
        <x:v>0.2</x:v>
      </x:c>
      <x:c r="M77" s="41" t="n">
        <x:f>IF('Materials'!W77="","",'Materials'!W77)</x:f>
        <x:v>1100</x:v>
      </x:c>
      <x:c r="N77" s="41" t="n">
        <x:f>IF('Materials'!X77="","",'Materials'!X77)</x:f>
        <x:v>55</x:v>
      </x:c>
      <x:c r="O77" s="43" t="n">
        <x:f>IF('Materials'!Y77="","",'Materials'!Y77)</x:f>
        <x:v>100000000000000</x:v>
      </x:c>
      <x:c r="P77" s="41" t="n">
        <x:f>IF('Materials'!Z77="","",'Materials'!Z77)</x:f>
        <x:v>120</x:v>
      </x:c>
      <x:c r="Q77" s="41" t="n">
        <x:f>IF('Materials'!AA77="","",'Materials'!AA77)</x:f>
        <x:v>100</x:v>
      </x:c>
      <x:c r="R77" s="41" t="str">
        <x:f>IF('Materials'!AB77="","",'Materials'!AB77)</x:f>
      </x:c>
      <x:c r="S77" s="41" t="n">
        <x:f>IF('Materials'!O77="","",'Materials'!O77)</x:f>
        <x:v>3.333333333333333</x:v>
      </x:c>
    </x:row>
    <x:row r="78">
      <x:c r="A78" s="42" t="n">
        <x:f>'Materials'!A78</x:f>
        <x:v>3023</x:v>
      </x:c>
      <x:c r="B78" s="41" t="n">
        <x:f>IF('Materials'!I78="","",'Materials'!I78)</x:f>
        <x:v>1300</x:v>
      </x:c>
      <x:c r="C78" s="41" t="n">
        <x:f>IF('Materials'!J78="","",'Materials'!J78)</x:f>
        <x:v>5</x:v>
      </x:c>
      <x:c r="D78" s="41" t="n">
        <x:f>IF('Materials'!N78="","",'Materials'!N78)</x:f>
        <x:v>1.8939393939393938</x:v>
      </x:c>
      <x:c r="E78" s="41" t="n">
        <x:f>IF('Materials'!K78="","",'Materials'!K78)</x:f>
        <x:v>0.32</x:v>
      </x:c>
      <x:c r="F78" s="41" t="n">
        <x:f>IF('Materials'!P78="","",'Materials'!P78)</x:f>
        <x:v>45</x:v>
      </x:c>
      <x:c r="G78" s="41" t="n">
        <x:f>IF('Materials'!Q78="","",'Materials'!Q78)</x:f>
        <x:v>55</x:v>
      </x:c>
      <x:c r="H78" s="41" t="n">
        <x:f>IF('Materials'!R78="","",'Materials'!R78)</x:f>
        <x:v>150</x:v>
      </x:c>
      <x:c r="I78" s="41" t="n">
        <x:f>IF('Materials'!S78="","",'Materials'!S78)</x:f>
        <x:v>90</x:v>
      </x:c>
      <x:c r="J78" s="41" t="n">
        <x:f>IF('Materials'!T78="","",'Materials'!T78)</x:f>
        <x:v>0.015</x:v>
      </x:c>
      <x:c r="K78" s="41" t="n">
        <x:f>IF('Materials'!U78="","",'Materials'!U78)</x:f>
        <x:v>1</x:v>
      </x:c>
      <x:c r="L78" s="41" t="n">
        <x:f>IF('Materials'!V78="","",'Materials'!V78)</x:f>
        <x:v>0.25</x:v>
      </x:c>
      <x:c r="M78" s="41" t="n">
        <x:f>IF('Materials'!W78="","",'Materials'!W78)</x:f>
        <x:v>1400</x:v>
      </x:c>
      <x:c r="N78" s="41" t="n">
        <x:f>IF('Materials'!X78="","",'Materials'!X78)</x:f>
        <x:v>35</x:v>
      </x:c>
      <x:c r="O78" s="43" t="n">
        <x:f>IF('Materials'!Y78="","",'Materials'!Y78)</x:f>
        <x:v>1000000000000</x:v>
      </x:c>
      <x:c r="P78" s="41" t="n">
        <x:f>IF('Materials'!Z78="","",'Materials'!Z78)</x:f>
        <x:v>160</x:v>
      </x:c>
      <x:c r="Q78" s="41" t="n">
        <x:f>IF('Materials'!AA78="","",'Materials'!AA78)</x:f>
        <x:v>150</x:v>
      </x:c>
      <x:c r="R78" s="41" t="str">
        <x:f>IF('Materials'!AB78="","",'Materials'!AB78)</x:f>
      </x:c>
      <x:c r="S78" s="41" t="n">
        <x:f>IF('Materials'!O78="","",'Materials'!O78)</x:f>
        <x:v>4.62962962962963</x:v>
      </x:c>
    </x:row>
    <x:row r="79">
      <x:c r="A79" s="42" t="n">
        <x:f>'Materials'!A79</x:f>
        <x:v>3024</x:v>
      </x:c>
      <x:c r="B79" s="41" t="n">
        <x:f>IF('Materials'!I79="","",'Materials'!I79)</x:f>
        <x:v>1310</x:v>
      </x:c>
      <x:c r="C79" s="41" t="n">
        <x:f>IF('Materials'!J79="","",'Materials'!J79)</x:f>
        <x:v>2.6</x:v>
      </x:c>
      <x:c r="D79" s="41" t="n">
        <x:f>IF('Materials'!N79="","",'Materials'!N79)</x:f>
        <x:v>0.9420289855072465</x:v>
      </x:c>
      <x:c r="E79" s="41" t="n">
        <x:f>IF('Materials'!K79="","",'Materials'!K79)</x:f>
        <x:v>0.38</x:v>
      </x:c>
      <x:c r="F79" s="41" t="n">
        <x:f>IF('Materials'!P79="","",'Materials'!P79)</x:f>
        <x:v>55</x:v>
      </x:c>
      <x:c r="G79" s="41" t="n">
        <x:f>IF('Materials'!Q79="","",'Materials'!Q79)</x:f>
        <x:v>60</x:v>
      </x:c>
      <x:c r="H79" s="41" t="n">
        <x:f>IF('Materials'!R79="","",'Materials'!R79)</x:f>
        <x:v>85</x:v>
      </x:c>
      <x:c r="I79" s="41" t="n">
        <x:f>IF('Materials'!S79="","",'Materials'!S79)</x:f>
        <x:v>85</x:v>
      </x:c>
      <x:c r="J79" s="41" t="n">
        <x:f>IF('Materials'!T79="","",'Materials'!T79)</x:f>
        <x:v>0.3</x:v>
      </x:c>
      <x:c r="K79" s="41" t="n">
        <x:f>IF('Materials'!U79="","",'Materials'!U79)</x:f>
        <x:v>3</x:v>
      </x:c>
      <x:c r="L79" s="41" t="n">
        <x:f>IF('Materials'!V79="","",'Materials'!V79)</x:f>
        <x:v>0.29</x:v>
      </x:c>
      <x:c r="M79" s="41" t="n">
        <x:f>IF('Materials'!W79="","",'Materials'!W79)</x:f>
        <x:v>1200</x:v>
      </x:c>
      <x:c r="N79" s="41" t="n">
        <x:f>IF('Materials'!X79="","",'Materials'!X79)</x:f>
        <x:v>90</x:v>
      </x:c>
      <x:c r="O79" s="43" t="n">
        <x:f>IF('Materials'!Y79="","",'Materials'!Y79)</x:f>
        <x:v>100000000000000</x:v>
      </x:c>
      <x:c r="P79" s="41" t="n">
        <x:f>IF('Materials'!Z79="","",'Materials'!Z79)</x:f>
        <x:v>225</x:v>
      </x:c>
      <x:c r="Q79" s="41" t="n">
        <x:f>IF('Materials'!AA79="","",'Materials'!AA79)</x:f>
        <x:v>120</x:v>
      </x:c>
      <x:c r="R79" s="41" t="str">
        <x:f>IF('Materials'!AB79="","",'Materials'!AB79)</x:f>
      </x:c>
      <x:c r="S79" s="41" t="n">
        <x:f>IF('Materials'!O79="","",'Materials'!O79)</x:f>
        <x:v>3.611111111111111</x:v>
      </x:c>
    </x:row>
    <x:row r="80">
      <x:c r="A80" s="42" t="n">
        <x:f>'Materials'!A80</x:f>
        <x:v>3025</x:v>
      </x:c>
      <x:c r="B80" s="41" t="n">
        <x:f>IF('Materials'!I80="","",'Materials'!I80)</x:f>
        <x:v>1780</x:v>
      </x:c>
      <x:c r="C80" s="41" t="n">
        <x:f>IF('Materials'!J80="","",'Materials'!J80)</x:f>
        <x:v>2</x:v>
      </x:c>
      <x:c r="D80" s="41" t="n">
        <x:f>IF('Materials'!N80="","",'Materials'!N80)</x:f>
        <x:v>0.7407407407407407</x:v>
      </x:c>
      <x:c r="E80" s="41" t="n">
        <x:f>IF('Materials'!K80="","",'Materials'!K80)</x:f>
        <x:v>0.35</x:v>
      </x:c>
      <x:c r="F80" s="41" t="n">
        <x:f>IF('Materials'!P80="","",'Materials'!P80)</x:f>
        <x:v>45</x:v>
      </x:c>
      <x:c r="G80" s="41" t="n">
        <x:f>IF('Materials'!Q80="","",'Materials'!Q80)</x:f>
        <x:v>50</x:v>
      </x:c>
      <x:c r="H80" s="41" t="n">
        <x:f>IF('Materials'!R80="","",'Materials'!R80)</x:f>
        <x:v>70</x:v>
      </x:c>
      <x:c r="I80" s="41" t="n">
        <x:f>IF('Materials'!S80="","",'Materials'!S80)</x:f>
        <x:v>70</x:v>
      </x:c>
      <x:c r="J80" s="41" t="n">
        <x:f>IF('Materials'!T80="","",'Materials'!T80)</x:f>
        <x:v>0.4</x:v>
      </x:c>
      <x:c r="K80" s="41" t="n">
        <x:f>IF('Materials'!U80="","",'Materials'!U80)</x:f>
        <x:v>3</x:v>
      </x:c>
      <x:c r="L80" s="41" t="n">
        <x:f>IF('Materials'!V80="","",'Materials'!V80)</x:f>
        <x:v>0.19</x:v>
      </x:c>
      <x:c r="M80" s="41" t="n">
        <x:f>IF('Materials'!W80="","",'Materials'!W80)</x:f>
        <x:v>1200</x:v>
      </x:c>
      <x:c r="N80" s="41" t="n">
        <x:f>IF('Materials'!X80="","",'Materials'!X80)</x:f>
        <x:v>130</x:v>
      </x:c>
      <x:c r="O80" s="43" t="n">
        <x:f>IF('Materials'!Y80="","",'Materials'!Y80)</x:f>
        <x:v>1000000000000</x:v>
      </x:c>
      <x:c r="P80" s="41" t="n">
        <x:f>IF('Materials'!Z80="","",'Materials'!Z80)</x:f>
        <x:v>170</x:v>
      </x:c>
      <x:c r="Q80" s="41" t="n">
        <x:f>IF('Materials'!AA80="","",'Materials'!AA80)</x:f>
        <x:v>140</x:v>
      </x:c>
      <x:c r="R80" s="41" t="str">
        <x:f>IF('Materials'!AB80="","",'Materials'!AB80)</x:f>
      </x:c>
      <x:c r="S80" s="41" t="n">
        <x:f>IF('Materials'!O80="","",'Materials'!O80)</x:f>
        <x:v>2.222222222222222</x:v>
      </x:c>
    </x:row>
    <x:row r="81">
      <x:c r="A81" s="42" t="n">
        <x:f>'Materials'!A81</x:f>
        <x:v>3101</x:v>
      </x:c>
      <x:c r="B81" s="41" t="n">
        <x:f>IF('Materials'!I81="","",'Materials'!I81)</x:f>
        <x:v>930</x:v>
      </x:c>
      <x:c r="C81" s="41" t="n">
        <x:f>IF('Materials'!J81="","",'Materials'!J81)</x:f>
        <x:v>0.01</x:v>
      </x:c>
      <x:c r="D81" s="41" t="n">
        <x:f>IF('Materials'!N81="","",'Materials'!N81)</x:f>
        <x:v>0.0034</x:v>
      </x:c>
      <x:c r="E81" s="41" t="n">
        <x:f>IF('Materials'!K81="","",'Materials'!K81)</x:f>
        <x:v>0.49</x:v>
      </x:c>
      <x:c r="F81" s="41" t="str">
        <x:f>IF('Materials'!P81="","",'Materials'!P81)</x:f>
      </x:c>
      <x:c r="G81" s="41" t="n">
        <x:f>IF('Materials'!Q81="","",'Materials'!Q81)</x:f>
        <x:v>25</x:v>
      </x:c>
      <x:c r="H81" s="41" t="str">
        <x:f>IF('Materials'!R81="","",'Materials'!R81)</x:f>
      </x:c>
      <x:c r="I81" s="41" t="str">
        <x:f>IF('Materials'!S81="","",'Materials'!S81)</x:f>
      </x:c>
      <x:c r="J81" s="41" t="n">
        <x:f>IF('Materials'!T81="","",'Materials'!T81)</x:f>
        <x:v>6</x:v>
      </x:c>
      <x:c r="K81" s="41" t="str">
        <x:f>IF('Materials'!U81="","",'Materials'!U81)</x:f>
      </x:c>
      <x:c r="L81" s="41" t="n">
        <x:f>IF('Materials'!V81="","",'Materials'!V81)</x:f>
        <x:v>0.13</x:v>
      </x:c>
      <x:c r="M81" s="41" t="n">
        <x:f>IF('Materials'!W81="","",'Materials'!W81)</x:f>
        <x:v>1900</x:v>
      </x:c>
      <x:c r="N81" s="41" t="n">
        <x:f>IF('Materials'!X81="","",'Materials'!X81)</x:f>
        <x:v>200</x:v>
      </x:c>
      <x:c r="O81" s="43" t="n">
        <x:f>IF('Materials'!Y81="","",'Materials'!Y81)</x:f>
        <x:v>10000000000000</x:v>
      </x:c>
      <x:c r="P81" s="41" t="n">
        <x:f>IF('Materials'!Z81="","",'Materials'!Z81)</x:f>
        <x:v>180</x:v>
      </x:c>
      <x:c r="Q81" s="41" t="n">
        <x:f>IF('Materials'!AA81="","",'Materials'!AA81)</x:f>
        <x:v>80</x:v>
      </x:c>
      <x:c r="R81" s="41" t="str">
        <x:f>IF('Materials'!AB81="","",'Materials'!AB81)</x:f>
      </x:c>
      <x:c r="S81" s="41" t="n">
        <x:f>IF('Materials'!O81="","",'Materials'!O81)</x:f>
        <x:v>1</x:v>
      </x:c>
    </x:row>
    <x:row r="82">
      <x:c r="A82" s="42" t="n">
        <x:f>'Materials'!A82</x:f>
        <x:v>3102</x:v>
      </x:c>
      <x:c r="B82" s="41" t="n">
        <x:f>IF('Materials'!I82="","",'Materials'!I82)</x:f>
        <x:v>1230</x:v>
      </x:c>
      <x:c r="C82" s="41" t="n">
        <x:f>IF('Materials'!J82="","",'Materials'!J82)</x:f>
        <x:v>0.015</x:v>
      </x:c>
      <x:c r="D82" s="41" t="n">
        <x:f>IF('Materials'!N82="","",'Materials'!N82)</x:f>
        <x:v>0.005</x:v>
      </x:c>
      <x:c r="E82" s="41" t="n">
        <x:f>IF('Materials'!K82="","",'Materials'!K82)</x:f>
        <x:v>0.49</x:v>
      </x:c>
      <x:c r="F82" s="41" t="str">
        <x:f>IF('Materials'!P82="","",'Materials'!P82)</x:f>
      </x:c>
      <x:c r="G82" s="41" t="n">
        <x:f>IF('Materials'!Q82="","",'Materials'!Q82)</x:f>
        <x:v>15</x:v>
      </x:c>
      <x:c r="H82" s="41" t="str">
        <x:f>IF('Materials'!R82="","",'Materials'!R82)</x:f>
      </x:c>
      <x:c r="I82" s="41" t="str">
        <x:f>IF('Materials'!S82="","",'Materials'!S82)</x:f>
      </x:c>
      <x:c r="J82" s="41" t="n">
        <x:f>IF('Materials'!T82="","",'Materials'!T82)</x:f>
        <x:v>4</x:v>
      </x:c>
      <x:c r="K82" s="41" t="str">
        <x:f>IF('Materials'!U82="","",'Materials'!U82)</x:f>
      </x:c>
      <x:c r="L82" s="41" t="n">
        <x:f>IF('Materials'!V82="","",'Materials'!V82)</x:f>
        <x:v>0.19</x:v>
      </x:c>
      <x:c r="M82" s="41" t="n">
        <x:f>IF('Materials'!W82="","",'Materials'!W82)</x:f>
        <x:v>1900</x:v>
      </x:c>
      <x:c r="N82" s="41" t="n">
        <x:f>IF('Materials'!X82="","",'Materials'!X82)</x:f>
        <x:v>180</x:v>
      </x:c>
      <x:c r="O82" s="43" t="n">
        <x:f>IF('Materials'!Y82="","",'Materials'!Y82)</x:f>
        <x:v>100000000000</x:v>
      </x:c>
      <x:c r="P82" s="41" t="n">
        <x:f>IF('Materials'!Z82="","",'Materials'!Z82)</x:f>
        <x:v>200</x:v>
      </x:c>
      <x:c r="Q82" s="41" t="n">
        <x:f>IF('Materials'!AA82="","",'Materials'!AA82)</x:f>
        <x:v>100</x:v>
      </x:c>
      <x:c r="R82" s="41" t="str">
        <x:f>IF('Materials'!AB82="","",'Materials'!AB82)</x:f>
      </x:c>
      <x:c r="S82" s="41" t="n">
        <x:f>IF('Materials'!O82="","",'Materials'!O82)</x:f>
        <x:v>1.2</x:v>
      </x:c>
    </x:row>
    <x:row r="83">
      <x:c r="A83" s="42" t="n">
        <x:f>'Materials'!A83</x:f>
        <x:v>3103</x:v>
      </x:c>
      <x:c r="B83" s="41" t="n">
        <x:f>IF('Materials'!I83="","",'Materials'!I83)</x:f>
        <x:v>1050</x:v>
      </x:c>
      <x:c r="C83" s="41" t="n">
        <x:f>IF('Materials'!J83="","",'Materials'!J83)</x:f>
        <x:v>0.012</x:v>
      </x:c>
      <x:c r="D83" s="41" t="n">
        <x:f>IF('Materials'!N83="","",'Materials'!N83)</x:f>
        <x:v>0.004</x:v>
      </x:c>
      <x:c r="E83" s="41" t="n">
        <x:f>IF('Materials'!K83="","",'Materials'!K83)</x:f>
        <x:v>0.49</x:v>
      </x:c>
      <x:c r="F83" s="41" t="str">
        <x:f>IF('Materials'!P83="","",'Materials'!P83)</x:f>
      </x:c>
      <x:c r="G83" s="41" t="n">
        <x:f>IF('Materials'!Q83="","",'Materials'!Q83)</x:f>
        <x:v>18</x:v>
      </x:c>
      <x:c r="H83" s="41" t="str">
        <x:f>IF('Materials'!R83="","",'Materials'!R83)</x:f>
      </x:c>
      <x:c r="I83" s="41" t="str">
        <x:f>IF('Materials'!S83="","",'Materials'!S83)</x:f>
      </x:c>
      <x:c r="J83" s="41" t="n">
        <x:f>IF('Materials'!T83="","",'Materials'!T83)</x:f>
        <x:v>3.5</x:v>
      </x:c>
      <x:c r="K83" s="41" t="str">
        <x:f>IF('Materials'!U83="","",'Materials'!U83)</x:f>
      </x:c>
      <x:c r="L83" s="41" t="n">
        <x:f>IF('Materials'!V83="","",'Materials'!V83)</x:f>
        <x:v>0.24</x:v>
      </x:c>
      <x:c r="M83" s="41" t="n">
        <x:f>IF('Materials'!W83="","",'Materials'!W83)</x:f>
        <x:v>1800</x:v>
      </x:c>
      <x:c r="N83" s="41" t="n">
        <x:f>IF('Materials'!X83="","",'Materials'!X83)</x:f>
        <x:v>170</x:v>
      </x:c>
      <x:c r="O83" s="43" t="n">
        <x:f>IF('Materials'!Y83="","",'Materials'!Y83)</x:f>
        <x:v>100000000000</x:v>
      </x:c>
      <x:c r="P83" s="41" t="n">
        <x:f>IF('Materials'!Z83="","",'Materials'!Z83)</x:f>
        <x:v>180</x:v>
      </x:c>
      <x:c r="Q83" s="41" t="n">
        <x:f>IF('Materials'!AA83="","",'Materials'!AA83)</x:f>
        <x:v>100</x:v>
      </x:c>
      <x:c r="R83" s="41" t="str">
        <x:f>IF('Materials'!AB83="","",'Materials'!AB83)</x:f>
      </x:c>
      <x:c r="S83" s="41" t="n">
        <x:f>IF('Materials'!O83="","",'Materials'!O83)</x:f>
        <x:v>1.1</x:v>
      </x:c>
    </x:row>
    <x:row r="84">
      <x:c r="A84" s="42" t="n">
        <x:f>'Materials'!A84</x:f>
        <x:v>3104</x:v>
      </x:c>
      <x:c r="B84" s="41" t="n">
        <x:f>IF('Materials'!I84="","",'Materials'!I84)</x:f>
        <x:v>860</x:v>
      </x:c>
      <x:c r="C84" s="41" t="n">
        <x:f>IF('Materials'!J84="","",'Materials'!J84)</x:f>
        <x:v>0.01</x:v>
      </x:c>
      <x:c r="D84" s="41" t="n">
        <x:f>IF('Materials'!N84="","",'Materials'!N84)</x:f>
        <x:v>0.0034</x:v>
      </x:c>
      <x:c r="E84" s="41" t="n">
        <x:f>IF('Materials'!K84="","",'Materials'!K84)</x:f>
        <x:v>0.49</x:v>
      </x:c>
      <x:c r="F84" s="41" t="str">
        <x:f>IF('Materials'!P84="","",'Materials'!P84)</x:f>
      </x:c>
      <x:c r="G84" s="41" t="n">
        <x:f>IF('Materials'!Q84="","",'Materials'!Q84)</x:f>
        <x:v>14</x:v>
      </x:c>
      <x:c r="H84" s="41" t="str">
        <x:f>IF('Materials'!R84="","",'Materials'!R84)</x:f>
      </x:c>
      <x:c r="I84" s="41" t="str">
        <x:f>IF('Materials'!S84="","",'Materials'!S84)</x:f>
      </x:c>
      <x:c r="J84" s="41" t="n">
        <x:f>IF('Materials'!T84="","",'Materials'!T84)</x:f>
        <x:v>4</x:v>
      </x:c>
      <x:c r="K84" s="41" t="str">
        <x:f>IF('Materials'!U84="","",'Materials'!U84)</x:f>
      </x:c>
      <x:c r="L84" s="41" t="n">
        <x:f>IF('Materials'!V84="","",'Materials'!V84)</x:f>
        <x:v>0.25</x:v>
      </x:c>
      <x:c r="M84" s="41" t="n">
        <x:f>IF('Materials'!W84="","",'Materials'!W84)</x:f>
        <x:v>1900</x:v>
      </x:c>
      <x:c r="N84" s="41" t="n">
        <x:f>IF('Materials'!X84="","",'Materials'!X84)</x:f>
        <x:v>180</x:v>
      </x:c>
      <x:c r="O84" s="43" t="n">
        <x:f>IF('Materials'!Y84="","",'Materials'!Y84)</x:f>
        <x:v>1000000000000</x:v>
      </x:c>
      <x:c r="P84" s="41" t="n">
        <x:f>IF('Materials'!Z84="","",'Materials'!Z84)</x:f>
        <x:v>180</x:v>
      </x:c>
      <x:c r="Q84" s="41" t="n">
        <x:f>IF('Materials'!AA84="","",'Materials'!AA84)</x:f>
        <x:v>130</x:v>
      </x:c>
      <x:c r="R84" s="41" t="str">
        <x:f>IF('Materials'!AB84="","",'Materials'!AB84)</x:f>
      </x:c>
      <x:c r="S84" s="41" t="n">
        <x:f>IF('Materials'!O84="","",'Materials'!O84)</x:f>
        <x:v>1</x:v>
      </x:c>
    </x:row>
    <x:row r="85">
      <x:c r="A85" s="42" t="n">
        <x:f>'Materials'!A85</x:f>
        <x:v>3105</x:v>
      </x:c>
      <x:c r="B85" s="41" t="n">
        <x:f>IF('Materials'!I85="","",'Materials'!I85)</x:f>
        <x:v>1150</x:v>
      </x:c>
      <x:c r="C85" s="41" t="n">
        <x:f>IF('Materials'!J85="","",'Materials'!J85)</x:f>
        <x:v>0.008</x:v>
      </x:c>
      <x:c r="D85" s="41" t="n">
        <x:f>IF('Materials'!N85="","",'Materials'!N85)</x:f>
        <x:v>0.0027</x:v>
      </x:c>
      <x:c r="E85" s="41" t="n">
        <x:f>IF('Materials'!K85="","",'Materials'!K85)</x:f>
        <x:v>0.49</x:v>
      </x:c>
      <x:c r="F85" s="41" t="str">
        <x:f>IF('Materials'!P85="","",'Materials'!P85)</x:f>
      </x:c>
      <x:c r="G85" s="41" t="n">
        <x:f>IF('Materials'!Q85="","",'Materials'!Q85)</x:f>
        <x:v>9</x:v>
      </x:c>
      <x:c r="H85" s="41" t="str">
        <x:f>IF('Materials'!R85="","",'Materials'!R85)</x:f>
      </x:c>
      <x:c r="I85" s="41" t="str">
        <x:f>IF('Materials'!S85="","",'Materials'!S85)</x:f>
      </x:c>
      <x:c r="J85" s="41" t="n">
        <x:f>IF('Materials'!T85="","",'Materials'!T85)</x:f>
        <x:v>4</x:v>
      </x:c>
      <x:c r="K85" s="41" t="str">
        <x:f>IF('Materials'!U85="","",'Materials'!U85)</x:f>
      </x:c>
      <x:c r="L85" s="41" t="n">
        <x:f>IF('Materials'!V85="","",'Materials'!V85)</x:f>
        <x:v>0.2</x:v>
      </x:c>
      <x:c r="M85" s="41" t="n">
        <x:f>IF('Materials'!W85="","",'Materials'!W85)</x:f>
        <x:v>1500</x:v>
      </x:c>
      <x:c r="N85" s="41" t="n">
        <x:f>IF('Materials'!X85="","",'Materials'!X85)</x:f>
        <x:v>250</x:v>
      </x:c>
      <x:c r="O85" s="43" t="n">
        <x:f>IF('Materials'!Y85="","",'Materials'!Y85)</x:f>
        <x:v>100000000000000</x:v>
      </x:c>
      <x:c r="P85" s="41" t="n">
        <x:f>IF('Materials'!Z85="","",'Materials'!Z85)</x:f>
        <x:v>200</x:v>
      </x:c>
      <x:c r="Q85" s="41" t="n">
        <x:f>IF('Materials'!AA85="","",'Materials'!AA85)</x:f>
        <x:v>200</x:v>
      </x:c>
      <x:c r="R85" s="41" t="str">
        <x:f>IF('Materials'!AB85="","",'Materials'!AB85)</x:f>
      </x:c>
      <x:c r="S85" s="41" t="n">
        <x:f>IF('Materials'!O85="","",'Materials'!O85)</x:f>
        <x:v>0.8</x:v>
      </x:c>
    </x:row>
    <x:row r="86">
      <x:c r="A86" s="42" t="n">
        <x:f>'Materials'!A86</x:f>
        <x:v>3106</x:v>
      </x:c>
      <x:c r="B86" s="41" t="n">
        <x:f>IF('Materials'!I86="","",'Materials'!I86)</x:f>
        <x:v>1850</x:v>
      </x:c>
      <x:c r="C86" s="41" t="n">
        <x:f>IF('Materials'!J86="","",'Materials'!J86)</x:f>
        <x:v>0.012</x:v>
      </x:c>
      <x:c r="D86" s="41" t="n">
        <x:f>IF('Materials'!N86="","",'Materials'!N86)</x:f>
        <x:v>0.004</x:v>
      </x:c>
      <x:c r="E86" s="41" t="n">
        <x:f>IF('Materials'!K86="","",'Materials'!K86)</x:f>
        <x:v>0.49</x:v>
      </x:c>
      <x:c r="F86" s="41" t="str">
        <x:f>IF('Materials'!P86="","",'Materials'!P86)</x:f>
      </x:c>
      <x:c r="G86" s="41" t="n">
        <x:f>IF('Materials'!Q86="","",'Materials'!Q86)</x:f>
        <x:v>12</x:v>
      </x:c>
      <x:c r="H86" s="41" t="str">
        <x:f>IF('Materials'!R86="","",'Materials'!R86)</x:f>
      </x:c>
      <x:c r="I86" s="41" t="str">
        <x:f>IF('Materials'!S86="","",'Materials'!S86)</x:f>
      </x:c>
      <x:c r="J86" s="41" t="n">
        <x:f>IF('Materials'!T86="","",'Materials'!T86)</x:f>
        <x:v>2</x:v>
      </x:c>
      <x:c r="K86" s="41" t="str">
        <x:f>IF('Materials'!U86="","",'Materials'!U86)</x:f>
      </x:c>
      <x:c r="L86" s="41" t="n">
        <x:f>IF('Materials'!V86="","",'Materials'!V86)</x:f>
        <x:v>0.2</x:v>
      </x:c>
      <x:c r="M86" s="41" t="n">
        <x:f>IF('Materials'!W86="","",'Materials'!W86)</x:f>
        <x:v>1200</x:v>
      </x:c>
      <x:c r="N86" s="41" t="n">
        <x:f>IF('Materials'!X86="","",'Materials'!X86)</x:f>
        <x:v>180</x:v>
      </x:c>
      <x:c r="O86" s="43" t="n">
        <x:f>IF('Materials'!Y86="","",'Materials'!Y86)</x:f>
        <x:v>1000000000000</x:v>
      </x:c>
      <x:c r="P86" s="41" t="n">
        <x:f>IF('Materials'!Z86="","",'Materials'!Z86)</x:f>
        <x:v>250</x:v>
      </x:c>
      <x:c r="Q86" s="41" t="n">
        <x:f>IF('Materials'!AA86="","",'Materials'!AA86)</x:f>
        <x:v>220</x:v>
      </x:c>
      <x:c r="R86" s="41" t="str">
        <x:f>IF('Materials'!AB86="","",'Materials'!AB86)</x:f>
      </x:c>
      <x:c r="S86" s="41" t="n">
        <x:f>IF('Materials'!O86="","",'Materials'!O86)</x:f>
        <x:v>1.1</x:v>
      </x:c>
    </x:row>
    <x:row r="87">
      <x:c r="A87" s="42" t="n">
        <x:f>'Materials'!A87</x:f>
        <x:v>3107</x:v>
      </x:c>
      <x:c r="B87" s="41" t="n">
        <x:f>IF('Materials'!I87="","",'Materials'!I87)</x:f>
        <x:v>1200</x:v>
      </x:c>
      <x:c r="C87" s="41" t="n">
        <x:f>IF('Materials'!J87="","",'Materials'!J87)</x:f>
        <x:v>0.05</x:v>
      </x:c>
      <x:c r="D87" s="41" t="n">
        <x:f>IF('Materials'!N87="","",'Materials'!N87)</x:f>
        <x:v>0.017</x:v>
      </x:c>
      <x:c r="E87" s="41" t="n">
        <x:f>IF('Materials'!K87="","",'Materials'!K87)</x:f>
        <x:v>0.48</x:v>
      </x:c>
      <x:c r="F87" s="41" t="n">
        <x:f>IF('Materials'!P87="","",'Materials'!P87)</x:f>
        <x:v>12</x:v>
      </x:c>
      <x:c r="G87" s="41" t="n">
        <x:f>IF('Materials'!Q87="","",'Materials'!Q87)</x:f>
        <x:v>35</x:v>
      </x:c>
      <x:c r="H87" s="41" t="str">
        <x:f>IF('Materials'!R87="","",'Materials'!R87)</x:f>
      </x:c>
      <x:c r="I87" s="41" t="str">
        <x:f>IF('Materials'!S87="","",'Materials'!S87)</x:f>
      </x:c>
      <x:c r="J87" s="41" t="n">
        <x:f>IF('Materials'!T87="","",'Materials'!T87)</x:f>
        <x:v>5</x:v>
      </x:c>
      <x:c r="K87" s="41" t="str">
        <x:f>IF('Materials'!U87="","",'Materials'!U87)</x:f>
      </x:c>
      <x:c r="L87" s="41" t="n">
        <x:f>IF('Materials'!V87="","",'Materials'!V87)</x:f>
        <x:v>0.2</x:v>
      </x:c>
      <x:c r="M87" s="41" t="n">
        <x:f>IF('Materials'!W87="","",'Materials'!W87)</x:f>
        <x:v>1700</x:v>
      </x:c>
      <x:c r="N87" s="41" t="n">
        <x:f>IF('Materials'!X87="","",'Materials'!X87)</x:f>
        <x:v>160</x:v>
      </x:c>
      <x:c r="O87" s="43" t="n">
        <x:f>IF('Materials'!Y87="","",'Materials'!Y87)</x:f>
        <x:v>100000000000</x:v>
      </x:c>
      <x:c r="P87" s="41" t="n">
        <x:f>IF('Materials'!Z87="","",'Materials'!Z87)</x:f>
        <x:v>180</x:v>
      </x:c>
      <x:c r="Q87" s="41" t="n">
        <x:f>IF('Materials'!AA87="","",'Materials'!AA87)</x:f>
        <x:v>100</x:v>
      </x:c>
      <x:c r="R87" s="41" t="str">
        <x:f>IF('Materials'!AB87="","",'Materials'!AB87)</x:f>
      </x:c>
      <x:c r="S87" s="41" t="n">
        <x:f>IF('Materials'!O87="","",'Materials'!O87)</x:f>
        <x:v>1</x:v>
      </x:c>
    </x:row>
    <x:row r="88">
      <x:c r="A88" s="42" t="n">
        <x:f>'Materials'!A88</x:f>
        <x:v>4001</x:v>
      </x:c>
      <x:c r="B88" s="41" t="n">
        <x:f>IF('Materials'!I88="","",'Materials'!I88)</x:f>
        <x:v>2500</x:v>
      </x:c>
      <x:c r="C88" s="41" t="n">
        <x:f>IF('Materials'!J88="","",'Materials'!J88)</x:f>
        <x:v>70</x:v>
      </x:c>
      <x:c r="D88" s="41" t="n">
        <x:f>IF('Materials'!N88="","",'Materials'!N88)</x:f>
        <x:v>28.45528455284553</x:v>
      </x:c>
      <x:c r="E88" s="41" t="n">
        <x:f>IF('Materials'!K88="","",'Materials'!K88)</x:f>
        <x:v>0.23</x:v>
      </x:c>
      <x:c r="F88" s="41" t="str">
        <x:f>IF('Materials'!P88="","",'Materials'!P88)</x:f>
      </x:c>
      <x:c r="G88" s="41" t="n">
        <x:f>IF('Materials'!Q88="","",'Materials'!Q88)</x:f>
        <x:v>45</x:v>
      </x:c>
      <x:c r="H88" s="41" t="n">
        <x:f>IF('Materials'!R88="","",'Materials'!R88)</x:f>
        <x:v>1000</x:v>
      </x:c>
      <x:c r="I88" s="41" t="n">
        <x:f>IF('Materials'!S88="","",'Materials'!S88)</x:f>
        <x:v>70</x:v>
      </x:c>
      <x:c r="J88" s="41" t="n">
        <x:f>IF('Materials'!T88="","",'Materials'!T88)</x:f>
        <x:v>0.001</x:v>
      </x:c>
      <x:c r="K88" s="41" t="str">
        <x:f>IF('Materials'!U88="","",'Materials'!U88)</x:f>
      </x:c>
      <x:c r="L88" s="41" t="n">
        <x:f>IF('Materials'!V88="","",'Materials'!V88)</x:f>
        <x:v>1</x:v>
      </x:c>
      <x:c r="M88" s="41" t="n">
        <x:f>IF('Materials'!W88="","",'Materials'!W88)</x:f>
        <x:v>840</x:v>
      </x:c>
      <x:c r="N88" s="41" t="n">
        <x:f>IF('Materials'!X88="","",'Materials'!X88)</x:f>
        <x:v>9</x:v>
      </x:c>
      <x:c r="O88" s="43" t="n">
        <x:f>IF('Materials'!Y88="","",'Materials'!Y88)</x:f>
        <x:v>10000000000</x:v>
      </x:c>
      <x:c r="P88" s="41" t="n">
        <x:f>IF('Materials'!Z88="","",'Materials'!Z88)</x:f>
        <x:v>720</x:v>
      </x:c>
      <x:c r="Q88" s="41" t="n">
        <x:f>IF('Materials'!AA88="","",'Materials'!AA88)</x:f>
        <x:v>250</x:v>
      </x:c>
      <x:c r="R88" s="41" t="n">
        <x:f>IF('Materials'!AB88="","",'Materials'!AB88)</x:f>
        <x:v>550</x:v>
      </x:c>
      <x:c r="S88" s="41" t="n">
        <x:f>IF('Materials'!O88="","",'Materials'!O88)</x:f>
        <x:v>43.20987654320987</x:v>
      </x:c>
    </x:row>
    <x:row r="89">
      <x:c r="A89" s="42" t="n">
        <x:f>'Materials'!A89</x:f>
        <x:v>4002</x:v>
      </x:c>
      <x:c r="B89" s="41" t="n">
        <x:f>IF('Materials'!I89="","",'Materials'!I89)</x:f>
        <x:v>2230</x:v>
      </x:c>
      <x:c r="C89" s="41" t="n">
        <x:f>IF('Materials'!J89="","",'Materials'!J89)</x:f>
        <x:v>64</x:v>
      </x:c>
      <x:c r="D89" s="41" t="n">
        <x:f>IF('Materials'!N89="","",'Materials'!N89)</x:f>
        <x:v>26.666666666666668</x:v>
      </x:c>
      <x:c r="E89" s="41" t="n">
        <x:f>IF('Materials'!K89="","",'Materials'!K89)</x:f>
        <x:v>0.2</x:v>
      </x:c>
      <x:c r="F89" s="41" t="str">
        <x:f>IF('Materials'!P89="","",'Materials'!P89)</x:f>
      </x:c>
      <x:c r="G89" s="41" t="n">
        <x:f>IF('Materials'!Q89="","",'Materials'!Q89)</x:f>
        <x:v>40</x:v>
      </x:c>
      <x:c r="H89" s="41" t="n">
        <x:f>IF('Materials'!R89="","",'Materials'!R89)</x:f>
        <x:v>1000</x:v>
      </x:c>
      <x:c r="I89" s="41" t="n">
        <x:f>IF('Materials'!S89="","",'Materials'!S89)</x:f>
        <x:v>70</x:v>
      </x:c>
      <x:c r="J89" s="41" t="n">
        <x:f>IF('Materials'!T89="","",'Materials'!T89)</x:f>
        <x:v>0.001</x:v>
      </x:c>
      <x:c r="K89" s="41" t="n">
        <x:f>IF('Materials'!U89="","",'Materials'!U89)</x:f>
        <x:v>0.8</x:v>
      </x:c>
      <x:c r="L89" s="41" t="n">
        <x:f>IF('Materials'!V89="","",'Materials'!V89)</x:f>
        <x:v>1.2</x:v>
      </x:c>
      <x:c r="M89" s="41" t="n">
        <x:f>IF('Materials'!W89="","",'Materials'!W89)</x:f>
        <x:v>830</x:v>
      </x:c>
      <x:c r="N89" s="41" t="n">
        <x:f>IF('Materials'!X89="","",'Materials'!X89)</x:f>
        <x:v>3.3</x:v>
      </x:c>
      <x:c r="O89" s="43" t="n">
        <x:f>IF('Materials'!Y89="","",'Materials'!Y89)</x:f>
        <x:v>1000000000000</x:v>
      </x:c>
      <x:c r="P89" s="41" t="n">
        <x:f>IF('Materials'!Z89="","",'Materials'!Z89)</x:f>
        <x:v>820</x:v>
      </x:c>
      <x:c r="Q89" s="41" t="n">
        <x:f>IF('Materials'!AA89="","",'Materials'!AA89)</x:f>
        <x:v>450</x:v>
      </x:c>
      <x:c r="R89" s="41" t="n">
        <x:f>IF('Materials'!AB89="","",'Materials'!AB89)</x:f>
        <x:v>480</x:v>
      </x:c>
      <x:c r="S89" s="41" t="n">
        <x:f>IF('Materials'!O89="","",'Materials'!O89)</x:f>
        <x:v>35.55555555555556</x:v>
      </x:c>
    </x:row>
    <x:row r="90">
      <x:c r="A90" s="42" t="n">
        <x:f>'Materials'!A90</x:f>
        <x:v>4003</x:v>
      </x:c>
      <x:c r="B90" s="41" t="n">
        <x:f>IF('Materials'!I90="","",'Materials'!I90)</x:f>
        <x:v>2200</x:v>
      </x:c>
      <x:c r="C90" s="41" t="n">
        <x:f>IF('Materials'!J90="","",'Materials'!J90)</x:f>
        <x:v>73</x:v>
      </x:c>
      <x:c r="D90" s="41" t="n">
        <x:f>IF('Materials'!N90="","",'Materials'!N90)</x:f>
        <x:v>31.1965811965812</x:v>
      </x:c>
      <x:c r="E90" s="41" t="n">
        <x:f>IF('Materials'!K90="","",'Materials'!K90)</x:f>
        <x:v>0.17</x:v>
      </x:c>
      <x:c r="F90" s="41" t="str">
        <x:f>IF('Materials'!P90="","",'Materials'!P90)</x:f>
      </x:c>
      <x:c r="G90" s="41" t="n">
        <x:f>IF('Materials'!Q90="","",'Materials'!Q90)</x:f>
        <x:v>50</x:v>
      </x:c>
      <x:c r="H90" s="41" t="n">
        <x:f>IF('Materials'!R90="","",'Materials'!R90)</x:f>
        <x:v>1100</x:v>
      </x:c>
      <x:c r="I90" s="41" t="n">
        <x:f>IF('Materials'!S90="","",'Materials'!S90)</x:f>
        <x:v>70</x:v>
      </x:c>
      <x:c r="J90" s="41" t="n">
        <x:f>IF('Materials'!T90="","",'Materials'!T90)</x:f>
        <x:v>0.001</x:v>
      </x:c>
      <x:c r="K90" s="41" t="n">
        <x:f>IF('Materials'!U90="","",'Materials'!U90)</x:f>
        <x:v>0.75</x:v>
      </x:c>
      <x:c r="L90" s="41" t="n">
        <x:f>IF('Materials'!V90="","",'Materials'!V90)</x:f>
        <x:v>1.38</x:v>
      </x:c>
      <x:c r="M90" s="41" t="n">
        <x:f>IF('Materials'!W90="","",'Materials'!W90)</x:f>
        <x:v>740</x:v>
      </x:c>
      <x:c r="N90" s="41" t="n">
        <x:f>IF('Materials'!X90="","",'Materials'!X90)</x:f>
        <x:v>0.55</x:v>
      </x:c>
      <x:c r="O90" s="43" t="n">
        <x:f>IF('Materials'!Y90="","",'Materials'!Y90)</x:f>
        <x:v>10000000000000000</x:v>
      </x:c>
      <x:c r="P90" s="41" t="n">
        <x:f>IF('Materials'!Z90="","",'Materials'!Z90)</x:f>
        <x:v>1665</x:v>
      </x:c>
      <x:c r="Q90" s="41" t="n">
        <x:f>IF('Materials'!AA90="","",'Materials'!AA90)</x:f>
        <x:v>1000</x:v>
      </x:c>
      <x:c r="R90" s="41" t="n">
        <x:f>IF('Materials'!AB90="","",'Materials'!AB90)</x:f>
        <x:v>600</x:v>
      </x:c>
      <x:c r="S90" s="41" t="n">
        <x:f>IF('Materials'!O90="","",'Materials'!O90)</x:f>
        <x:v>36.86868686868687</x:v>
      </x:c>
    </x:row>
    <x:row r="91">
      <x:c r="A91" s="42" t="n">
        <x:f>'Materials'!A91</x:f>
        <x:v>4101</x:v>
      </x:c>
      <x:c r="B91" s="41" t="n">
        <x:f>IF('Materials'!I91="","",'Materials'!I91)</x:f>
        <x:v>3700</x:v>
      </x:c>
      <x:c r="C91" s="41" t="n">
        <x:f>IF('Materials'!J91="","",'Materials'!J91)</x:f>
        <x:v>300</x:v>
      </x:c>
      <x:c r="D91" s="41" t="n">
        <x:f>IF('Materials'!N91="","",'Materials'!N91)</x:f>
        <x:v>122.95081967213115</x:v>
      </x:c>
      <x:c r="E91" s="41" t="n">
        <x:f>IF('Materials'!K91="","",'Materials'!K91)</x:f>
        <x:v>0.22</x:v>
      </x:c>
      <x:c r="F91" s="41" t="str">
        <x:f>IF('Materials'!P91="","",'Materials'!P91)</x:f>
      </x:c>
      <x:c r="G91" s="41" t="n">
        <x:f>IF('Materials'!Q91="","",'Materials'!Q91)</x:f>
        <x:v>250</x:v>
      </x:c>
      <x:c r="H91" s="41" t="n">
        <x:f>IF('Materials'!R91="","",'Materials'!R91)</x:f>
        <x:v>2000</x:v>
      </x:c>
      <x:c r="I91" s="41" t="n">
        <x:f>IF('Materials'!S91="","",'Materials'!S91)</x:f>
        <x:v>300</x:v>
      </x:c>
      <x:c r="J91" s="41" t="n">
        <x:f>IF('Materials'!T91="","",'Materials'!T91)</x:f>
        <x:v>0.001</x:v>
      </x:c>
      <x:c r="K91" s="41" t="n">
        <x:f>IF('Materials'!U91="","",'Materials'!U91)</x:f>
        <x:v>3.5</x:v>
      </x:c>
      <x:c r="L91" s="41" t="n">
        <x:f>IF('Materials'!V91="","",'Materials'!V91)</x:f>
        <x:v>24</x:v>
      </x:c>
      <x:c r="M91" s="41" t="n">
        <x:f>IF('Materials'!W91="","",'Materials'!W91)</x:f>
        <x:v>880</x:v>
      </x:c>
      <x:c r="N91" s="41" t="n">
        <x:f>IF('Materials'!X91="","",'Materials'!X91)</x:f>
        <x:v>7.5</x:v>
      </x:c>
      <x:c r="O91" s="43" t="n">
        <x:f>IF('Materials'!Y91="","",'Materials'!Y91)</x:f>
        <x:v>1000000000000</x:v>
      </x:c>
      <x:c r="P91" s="41" t="n">
        <x:f>IF('Materials'!Z91="","",'Materials'!Z91)</x:f>
        <x:v>2050</x:v>
      </x:c>
      <x:c r="Q91" s="41" t="n">
        <x:f>IF('Materials'!AA91="","",'Materials'!AA91)</x:f>
        <x:v>1500</x:v>
      </x:c>
      <x:c r="R91" s="41" t="n">
        <x:f>IF('Materials'!AB91="","",'Materials'!AB91)</x:f>
        <x:v>1400</x:v>
      </x:c>
      <x:c r="S91" s="41" t="n">
        <x:f>IF('Materials'!O91="","",'Materials'!O91)</x:f>
        <x:v>178.57142857142856</x:v>
      </x:c>
    </x:row>
    <x:row r="92">
      <x:c r="A92" s="42" t="n">
        <x:f>'Materials'!A92</x:f>
        <x:v>4102</x:v>
      </x:c>
      <x:c r="B92" s="41" t="n">
        <x:f>IF('Materials'!I92="","",'Materials'!I92)</x:f>
        <x:v>3900</x:v>
      </x:c>
      <x:c r="C92" s="41" t="n">
        <x:f>IF('Materials'!J92="","",'Materials'!J92)</x:f>
        <x:v>370</x:v>
      </x:c>
      <x:c r="D92" s="41" t="n">
        <x:f>IF('Materials'!N92="","",'Materials'!N92)</x:f>
        <x:v>151.63934426229508</x:v>
      </x:c>
      <x:c r="E92" s="41" t="n">
        <x:f>IF('Materials'!K92="","",'Materials'!K92)</x:f>
        <x:v>0.22</x:v>
      </x:c>
      <x:c r="F92" s="41" t="str">
        <x:f>IF('Materials'!P92="","",'Materials'!P92)</x:f>
      </x:c>
      <x:c r="G92" s="41" t="n">
        <x:f>IF('Materials'!Q92="","",'Materials'!Q92)</x:f>
        <x:v>300</x:v>
      </x:c>
      <x:c r="H92" s="41" t="n">
        <x:f>IF('Materials'!R92="","",'Materials'!R92)</x:f>
        <x:v>2500</x:v>
      </x:c>
      <x:c r="I92" s="41" t="n">
        <x:f>IF('Materials'!S92="","",'Materials'!S92)</x:f>
        <x:v>380</x:v>
      </x:c>
      <x:c r="J92" s="41" t="n">
        <x:f>IF('Materials'!T92="","",'Materials'!T92)</x:f>
        <x:v>0.001</x:v>
      </x:c>
      <x:c r="K92" s="41" t="n">
        <x:f>IF('Materials'!U92="","",'Materials'!U92)</x:f>
        <x:v>4</x:v>
      </x:c>
      <x:c r="L92" s="41" t="n">
        <x:f>IF('Materials'!V92="","",'Materials'!V92)</x:f>
        <x:v>30</x:v>
      </x:c>
      <x:c r="M92" s="41" t="n">
        <x:f>IF('Materials'!W92="","",'Materials'!W92)</x:f>
        <x:v>880</x:v>
      </x:c>
      <x:c r="N92" s="41" t="n">
        <x:f>IF('Materials'!X92="","",'Materials'!X92)</x:f>
        <x:v>7.8</x:v>
      </x:c>
      <x:c r="O92" s="43" t="n">
        <x:f>IF('Materials'!Y92="","",'Materials'!Y92)</x:f>
        <x:v>10000000000000</x:v>
      </x:c>
      <x:c r="P92" s="41" t="n">
        <x:f>IF('Materials'!Z92="","",'Materials'!Z92)</x:f>
        <x:v>2050</x:v>
      </x:c>
      <x:c r="Q92" s="41" t="n">
        <x:f>IF('Materials'!AA92="","",'Materials'!AA92)</x:f>
        <x:v>1600</x:v>
      </x:c>
      <x:c r="R92" s="41" t="n">
        <x:f>IF('Materials'!AB92="","",'Materials'!AB92)</x:f>
        <x:v>1700</x:v>
      </x:c>
      <x:c r="S92" s="41" t="n">
        <x:f>IF('Materials'!O92="","",'Materials'!O92)</x:f>
        <x:v>220.2380952380952</x:v>
      </x:c>
    </x:row>
    <x:row r="93">
      <x:c r="A93" s="42" t="n">
        <x:f>'Materials'!A93</x:f>
        <x:v>4103</x:v>
      </x:c>
      <x:c r="B93" s="41" t="n">
        <x:f>IF('Materials'!I93="","",'Materials'!I93)</x:f>
        <x:v>6050</x:v>
      </x:c>
      <x:c r="C93" s="41" t="n">
        <x:f>IF('Materials'!J93="","",'Materials'!J93)</x:f>
        <x:v>210</x:v>
      </x:c>
      <x:c r="D93" s="41" t="n">
        <x:f>IF('Materials'!N93="","",'Materials'!N93)</x:f>
        <x:v>80.1526717557252</x:v>
      </x:c>
      <x:c r="E93" s="41" t="n">
        <x:f>IF('Materials'!K93="","",'Materials'!K93)</x:f>
        <x:v>0.31</x:v>
      </x:c>
      <x:c r="F93" s="41" t="str">
        <x:f>IF('Materials'!P93="","",'Materials'!P93)</x:f>
      </x:c>
      <x:c r="G93" s="41" t="n">
        <x:f>IF('Materials'!Q93="","",'Materials'!Q93)</x:f>
        <x:v>700</x:v>
      </x:c>
      <x:c r="H93" s="41" t="n">
        <x:f>IF('Materials'!R93="","",'Materials'!R93)</x:f>
        <x:v>2000</x:v>
      </x:c>
      <x:c r="I93" s="41" t="n">
        <x:f>IF('Materials'!S93="","",'Materials'!S93)</x:f>
        <x:v>1000</x:v>
      </x:c>
      <x:c r="J93" s="41" t="n">
        <x:f>IF('Materials'!T93="","",'Materials'!T93)</x:f>
        <x:v>0.003</x:v>
      </x:c>
      <x:c r="K93" s="41" t="n">
        <x:f>IF('Materials'!U93="","",'Materials'!U93)</x:f>
        <x:v>8</x:v>
      </x:c>
      <x:c r="L93" s="41" t="n">
        <x:f>IF('Materials'!V93="","",'Materials'!V93)</x:f>
        <x:v>2.5</x:v>
      </x:c>
      <x:c r="M93" s="41" t="n">
        <x:f>IF('Materials'!W93="","",'Materials'!W93)</x:f>
        <x:v>480</x:v>
      </x:c>
      <x:c r="N93" s="41" t="n">
        <x:f>IF('Materials'!X93="","",'Materials'!X93)</x:f>
        <x:v>10.5</x:v>
      </x:c>
      <x:c r="O93" s="43" t="n">
        <x:f>IF('Materials'!Y93="","",'Materials'!Y93)</x:f>
        <x:v>1000000000</x:v>
      </x:c>
      <x:c r="P93" s="41" t="n">
        <x:f>IF('Materials'!Z93="","",'Materials'!Z93)</x:f>
        <x:v>2700</x:v>
      </x:c>
      <x:c r="Q93" s="41" t="n">
        <x:f>IF('Materials'!AA93="","",'Materials'!AA93)</x:f>
        <x:v>1000</x:v>
      </x:c>
      <x:c r="R93" s="41" t="n">
        <x:f>IF('Materials'!AB93="","",'Materials'!AB93)</x:f>
        <x:v>1200</x:v>
      </x:c>
      <x:c r="S93" s="41" t="n">
        <x:f>IF('Materials'!O93="","",'Materials'!O93)</x:f>
        <x:v>184.21052631578945</x:v>
      </x:c>
    </x:row>
    <x:row r="94">
      <x:c r="A94" s="42" t="n">
        <x:f>'Materials'!A94</x:f>
        <x:v>4104</x:v>
      </x:c>
      <x:c r="B94" s="41" t="n">
        <x:f>IF('Materials'!I94="","",'Materials'!I94)</x:f>
        <x:v>3150</x:v>
      </x:c>
      <x:c r="C94" s="41" t="n">
        <x:f>IF('Materials'!J94="","",'Materials'!J94)</x:f>
        <x:v>410</x:v>
      </x:c>
      <x:c r="D94" s="41" t="n">
        <x:f>IF('Materials'!N94="","",'Materials'!N94)</x:f>
        <x:v>175.21367521367523</x:v>
      </x:c>
      <x:c r="E94" s="41" t="n">
        <x:f>IF('Materials'!K94="","",'Materials'!K94)</x:f>
        <x:v>0.17</x:v>
      </x:c>
      <x:c r="F94" s="41" t="str">
        <x:f>IF('Materials'!P94="","",'Materials'!P94)</x:f>
      </x:c>
      <x:c r="G94" s="41" t="n">
        <x:f>IF('Materials'!Q94="","",'Materials'!Q94)</x:f>
        <x:v>300</x:v>
      </x:c>
      <x:c r="H94" s="41" t="n">
        <x:f>IF('Materials'!R94="","",'Materials'!R94)</x:f>
        <x:v>3500</x:v>
      </x:c>
      <x:c r="I94" s="41" t="n">
        <x:f>IF('Materials'!S94="","",'Materials'!S94)</x:f>
        <x:v>450</x:v>
      </x:c>
      <x:c r="J94" s="41" t="n">
        <x:f>IF('Materials'!T94="","",'Materials'!T94)</x:f>
        <x:v>0.001</x:v>
      </x:c>
      <x:c r="K94" s="41" t="n">
        <x:f>IF('Materials'!U94="","",'Materials'!U94)</x:f>
        <x:v>4</x:v>
      </x:c>
      <x:c r="L94" s="41" t="n">
        <x:f>IF('Materials'!V94="","",'Materials'!V94)</x:f>
        <x:v>120</x:v>
      </x:c>
      <x:c r="M94" s="41" t="n">
        <x:f>IF('Materials'!W94="","",'Materials'!W94)</x:f>
        <x:v>750</x:v>
      </x:c>
      <x:c r="N94" s="41" t="n">
        <x:f>IF('Materials'!X94="","",'Materials'!X94)</x:f>
        <x:v>4.3</x:v>
      </x:c>
      <x:c r="O94" s="43" t="n">
        <x:f>IF('Materials'!Y94="","",'Materials'!Y94)</x:f>
        <x:v>100000</x:v>
      </x:c>
      <x:c r="P94" s="41" t="n">
        <x:f>IF('Materials'!Z94="","",'Materials'!Z94)</x:f>
        <x:v>2700</x:v>
      </x:c>
      <x:c r="Q94" s="41" t="n">
        <x:f>IF('Materials'!AA94="","",'Materials'!AA94)</x:f>
        <x:v>1600</x:v>
      </x:c>
      <x:c r="R94" s="41" t="n">
        <x:f>IF('Materials'!AB94="","",'Materials'!AB94)</x:f>
        <x:v>2500</x:v>
      </x:c>
      <x:c r="S94" s="41" t="n">
        <x:f>IF('Materials'!O94="","",'Materials'!O94)</x:f>
        <x:v>207.0707070707071</x:v>
      </x:c>
    </x:row>
    <x:row r="95">
      <x:c r="A95" s="42" t="n">
        <x:f>'Materials'!A95</x:f>
        <x:v>4105</x:v>
      </x:c>
      <x:c r="B95" s="41" t="n">
        <x:f>IF('Materials'!I95="","",'Materials'!I95)</x:f>
        <x:v>3200</x:v>
      </x:c>
      <x:c r="C95" s="41" t="n">
        <x:f>IF('Materials'!J95="","",'Materials'!J95)</x:f>
        <x:v>300</x:v>
      </x:c>
      <x:c r="D95" s="41" t="n">
        <x:f>IF('Materials'!N95="","",'Materials'!N95)</x:f>
        <x:v>118.11023622047244</x:v>
      </x:c>
      <x:c r="E95" s="41" t="n">
        <x:f>IF('Materials'!K95="","",'Materials'!K95)</x:f>
        <x:v>0.27</x:v>
      </x:c>
      <x:c r="F95" s="41" t="str">
        <x:f>IF('Materials'!P95="","",'Materials'!P95)</x:f>
      </x:c>
      <x:c r="G95" s="41" t="n">
        <x:f>IF('Materials'!Q95="","",'Materials'!Q95)</x:f>
        <x:v>500</x:v>
      </x:c>
      <x:c r="H95" s="41" t="n">
        <x:f>IF('Materials'!R95="","",'Materials'!R95)</x:f>
        <x:v>3000</x:v>
      </x:c>
      <x:c r="I95" s="41" t="n">
        <x:f>IF('Materials'!S95="","",'Materials'!S95)</x:f>
        <x:v>800</x:v>
      </x:c>
      <x:c r="J95" s="41" t="n">
        <x:f>IF('Materials'!T95="","",'Materials'!T95)</x:f>
        <x:v>0.002</x:v>
      </x:c>
      <x:c r="K95" s="41" t="n">
        <x:f>IF('Materials'!U95="","",'Materials'!U95)</x:f>
        <x:v>6.5</x:v>
      </x:c>
      <x:c r="L95" s="41" t="n">
        <x:f>IF('Materials'!V95="","",'Materials'!V95)</x:f>
        <x:v>25</x:v>
      </x:c>
      <x:c r="M95" s="41" t="n">
        <x:f>IF('Materials'!W95="","",'Materials'!W95)</x:f>
        <x:v>700</x:v>
      </x:c>
      <x:c r="N95" s="41" t="n">
        <x:f>IF('Materials'!X95="","",'Materials'!X95)</x:f>
        <x:v>3.2</x:v>
      </x:c>
      <x:c r="O95" s="43" t="n">
        <x:f>IF('Materials'!Y95="","",'Materials'!Y95)</x:f>
        <x:v>1000000000000</x:v>
      </x:c>
      <x:c r="P95" s="41" t="n">
        <x:f>IF('Materials'!Z95="","",'Materials'!Z95)</x:f>
        <x:v>1900</x:v>
      </x:c>
      <x:c r="Q95" s="41" t="n">
        <x:f>IF('Materials'!AA95="","",'Materials'!AA95)</x:f>
        <x:v>1200</x:v>
      </x:c>
      <x:c r="R95" s="41" t="n">
        <x:f>IF('Materials'!AB95="","",'Materials'!AB95)</x:f>
        <x:v>1600</x:v>
      </x:c>
      <x:c r="S95" s="41" t="n">
        <x:f>IF('Materials'!O95="","",'Materials'!O95)</x:f>
        <x:v>217.3913043478261</x:v>
      </x:c>
    </x:row>
    <x:row r="96">
      <x:c r="A96" s="42" t="n">
        <x:f>'Materials'!A96</x:f>
        <x:v>4106</x:v>
      </x:c>
      <x:c r="B96" s="41" t="n">
        <x:f>IF('Materials'!I96="","",'Materials'!I96)</x:f>
        <x:v>3260</x:v>
      </x:c>
      <x:c r="C96" s="41" t="n">
        <x:f>IF('Materials'!J96="","",'Materials'!J96)</x:f>
        <x:v>310</x:v>
      </x:c>
      <x:c r="D96" s="41" t="n">
        <x:f>IF('Materials'!N96="","",'Materials'!N96)</x:f>
        <x:v>125</x:v>
      </x:c>
      <x:c r="E96" s="41" t="n">
        <x:f>IF('Materials'!K96="","",'Materials'!K96)</x:f>
        <x:v>0.24</x:v>
      </x:c>
      <x:c r="F96" s="41" t="str">
        <x:f>IF('Materials'!P96="","",'Materials'!P96)</x:f>
      </x:c>
      <x:c r="G96" s="41" t="n">
        <x:f>IF('Materials'!Q96="","",'Materials'!Q96)</x:f>
        <x:v>300</x:v>
      </x:c>
      <x:c r="H96" s="41" t="n">
        <x:f>IF('Materials'!R96="","",'Materials'!R96)</x:f>
        <x:v>2100</x:v>
      </x:c>
      <x:c r="I96" s="41" t="n">
        <x:f>IF('Materials'!S96="","",'Materials'!S96)</x:f>
        <x:v>350</x:v>
      </x:c>
      <x:c r="J96" s="41" t="n">
        <x:f>IF('Materials'!T96="","",'Materials'!T96)</x:f>
        <x:v>0.001</x:v>
      </x:c>
      <x:c r="K96" s="41" t="n">
        <x:f>IF('Materials'!U96="","",'Materials'!U96)</x:f>
        <x:v>3</x:v>
      </x:c>
      <x:c r="L96" s="41" t="n">
        <x:f>IF('Materials'!V96="","",'Materials'!V96)</x:f>
        <x:v>170</x:v>
      </x:c>
      <x:c r="M96" s="41" t="n">
        <x:f>IF('Materials'!W96="","",'Materials'!W96)</x:f>
        <x:v>740</x:v>
      </x:c>
      <x:c r="N96" s="41" t="n">
        <x:f>IF('Materials'!X96="","",'Materials'!X96)</x:f>
        <x:v>4.5</x:v>
      </x:c>
      <x:c r="O96" s="43" t="n">
        <x:f>IF('Materials'!Y96="","",'Materials'!Y96)</x:f>
        <x:v>1000000000000</x:v>
      </x:c>
      <x:c r="P96" s="41" t="n">
        <x:f>IF('Materials'!Z96="","",'Materials'!Z96)</x:f>
        <x:v>2200</x:v>
      </x:c>
      <x:c r="Q96" s="41" t="n">
        <x:f>IF('Materials'!AA96="","",'Materials'!AA96)</x:f>
        <x:v>1000</x:v>
      </x:c>
      <x:c r="R96" s="41" t="n">
        <x:f>IF('Materials'!AB96="","",'Materials'!AB96)</x:f>
        <x:v>1100</x:v>
      </x:c>
      <x:c r="S96" s="41" t="n">
        <x:f>IF('Materials'!O96="","",'Materials'!O96)</x:f>
        <x:v>198.7179487179487</x:v>
      </x:c>
    </x:row>
    <x:row r="97">
      <x:c r="A97" s="42" t="n">
        <x:f>'Materials'!A97</x:f>
        <x:v>4107</x:v>
      </x:c>
      <x:c r="B97" s="41" t="n">
        <x:f>IF('Materials'!I97="","",'Materials'!I97)</x:f>
        <x:v>2520</x:v>
      </x:c>
      <x:c r="C97" s="41" t="n">
        <x:f>IF('Materials'!J97="","",'Materials'!J97)</x:f>
        <x:v>450</x:v>
      </x:c>
      <x:c r="D97" s="41" t="n">
        <x:f>IF('Materials'!N97="","",'Materials'!N97)</x:f>
        <x:v>192.30769230769232</x:v>
      </x:c>
      <x:c r="E97" s="41" t="n">
        <x:f>IF('Materials'!K97="","",'Materials'!K97)</x:f>
        <x:v>0.17</x:v>
      </x:c>
      <x:c r="F97" s="41" t="str">
        <x:f>IF('Materials'!P97="","",'Materials'!P97)</x:f>
      </x:c>
      <x:c r="G97" s="41" t="n">
        <x:f>IF('Materials'!Q97="","",'Materials'!Q97)</x:f>
        <x:v>300</x:v>
      </x:c>
      <x:c r="H97" s="41" t="n">
        <x:f>IF('Materials'!R97="","",'Materials'!R97)</x:f>
        <x:v>3500</x:v>
      </x:c>
      <x:c r="I97" s="41" t="n">
        <x:f>IF('Materials'!S97="","",'Materials'!S97)</x:f>
        <x:v>500</x:v>
      </x:c>
      <x:c r="J97" s="41" t="n">
        <x:f>IF('Materials'!T97="","",'Materials'!T97)</x:f>
        <x:v>0.001</x:v>
      </x:c>
      <x:c r="K97" s="41" t="n">
        <x:f>IF('Materials'!U97="","",'Materials'!U97)</x:f>
        <x:v>3</x:v>
      </x:c>
      <x:c r="L97" s="41" t="n">
        <x:f>IF('Materials'!V97="","",'Materials'!V97)</x:f>
        <x:v>30</x:v>
      </x:c>
      <x:c r="M97" s="41" t="n">
        <x:f>IF('Materials'!W97="","",'Materials'!W97)</x:f>
        <x:v>950</x:v>
      </x:c>
      <x:c r="N97" s="41" t="n">
        <x:f>IF('Materials'!X97="","",'Materials'!X97)</x:f>
        <x:v>4.5</x:v>
      </x:c>
      <x:c r="O97" s="43" t="n">
        <x:f>IF('Materials'!Y97="","",'Materials'!Y97)</x:f>
        <x:v>10000</x:v>
      </x:c>
      <x:c r="P97" s="41" t="n">
        <x:f>IF('Materials'!Z97="","",'Materials'!Z97)</x:f>
        <x:v>2450</x:v>
      </x:c>
      <x:c r="Q97" s="41" t="n">
        <x:f>IF('Materials'!AA97="","",'Materials'!AA97)</x:f>
        <x:v>1800</x:v>
      </x:c>
      <x:c r="R97" s="41" t="n">
        <x:f>IF('Materials'!AB97="","",'Materials'!AB97)</x:f>
        <x:v>3000</x:v>
      </x:c>
      <x:c r="S97" s="41" t="n">
        <x:f>IF('Materials'!O97="","",'Materials'!O97)</x:f>
        <x:v>227.2727272727273</x:v>
      </x:c>
    </x:row>
    <x:row r="98">
      <x:c r="A98" s="42" t="n">
        <x:f>'Materials'!A98</x:f>
        <x:v>4108</x:v>
      </x:c>
      <x:c r="B98" s="41" t="n">
        <x:f>IF('Materials'!I98="","",'Materials'!I98)</x:f>
        <x:v>2800</x:v>
      </x:c>
      <x:c r="C98" s="41" t="n">
        <x:f>IF('Materials'!J98="","",'Materials'!J98)</x:f>
        <x:v>145</x:v>
      </x:c>
      <x:c r="D98" s="41" t="n">
        <x:f>IF('Materials'!N98="","",'Materials'!N98)</x:f>
        <x:v>58</x:v>
      </x:c>
      <x:c r="E98" s="41" t="n">
        <x:f>IF('Materials'!K98="","",'Materials'!K98)</x:f>
        <x:v>0.25</x:v>
      </x:c>
      <x:c r="F98" s="41" t="str">
        <x:f>IF('Materials'!P98="","",'Materials'!P98)</x:f>
      </x:c>
      <x:c r="G98" s="41" t="n">
        <x:f>IF('Materials'!Q98="","",'Materials'!Q98)</x:f>
        <x:v>100</x:v>
      </x:c>
      <x:c r="H98" s="41" t="n">
        <x:f>IF('Materials'!R98="","",'Materials'!R98)</x:f>
        <x:v>550</x:v>
      </x:c>
      <x:c r="I98" s="41" t="n">
        <x:f>IF('Materials'!S98="","",'Materials'!S98)</x:f>
        <x:v>170</x:v>
      </x:c>
      <x:c r="J98" s="41" t="n">
        <x:f>IF('Materials'!T98="","",'Materials'!T98)</x:f>
        <x:v>0.001</x:v>
      </x:c>
      <x:c r="K98" s="41" t="n">
        <x:f>IF('Materials'!U98="","",'Materials'!U98)</x:f>
        <x:v>2</x:v>
      </x:c>
      <x:c r="L98" s="41" t="n">
        <x:f>IF('Materials'!V98="","",'Materials'!V98)</x:f>
        <x:v>5</x:v>
      </x:c>
      <x:c r="M98" s="41" t="n">
        <x:f>IF('Materials'!W98="","",'Materials'!W98)</x:f>
        <x:v>800</x:v>
      </x:c>
      <x:c r="N98" s="41" t="n">
        <x:f>IF('Materials'!X98="","",'Materials'!X98)</x:f>
        <x:v>5.3</x:v>
      </x:c>
      <x:c r="O98" s="43" t="n">
        <x:f>IF('Materials'!Y98="","",'Materials'!Y98)</x:f>
        <x:v>10000000000</x:v>
      </x:c>
      <x:c r="P98" s="41" t="n">
        <x:f>IF('Materials'!Z98="","",'Materials'!Z98)</x:f>
        <x:v>1850</x:v>
      </x:c>
      <x:c r="Q98" s="41" t="n">
        <x:f>IF('Materials'!AA98="","",'Materials'!AA98)</x:f>
        <x:v>1400</x:v>
      </x:c>
      <x:c r="R98" s="41" t="n">
        <x:f>IF('Materials'!AB98="","",'Materials'!AB98)</x:f>
        <x:v>1000</x:v>
      </x:c>
      <x:c r="S98" s="41" t="n">
        <x:f>IF('Materials'!O98="","",'Materials'!O98)</x:f>
        <x:v>96.66666666666667</x:v>
      </x:c>
    </x:row>
    <x:row r="99">
      <x:c r="A99" s="42" t="n">
        <x:f>'Materials'!A99</x:f>
        <x:v>4109</x:v>
      </x:c>
      <x:c r="B99" s="41" t="n">
        <x:f>IF('Materials'!I99="","",'Materials'!I99)</x:f>
        <x:v>2400</x:v>
      </x:c>
      <x:c r="C99" s="41" t="n">
        <x:f>IF('Materials'!J99="","",'Materials'!J99)</x:f>
        <x:v>70</x:v>
      </x:c>
      <x:c r="D99" s="41" t="n">
        <x:f>IF('Materials'!N99="","",'Materials'!N99)</x:f>
        <x:v>28.688524590163937</x:v>
      </x:c>
      <x:c r="E99" s="41" t="n">
        <x:f>IF('Materials'!K99="","",'Materials'!K99)</x:f>
        <x:v>0.22</x:v>
      </x:c>
      <x:c r="F99" s="41" t="str">
        <x:f>IF('Materials'!P99="","",'Materials'!P99)</x:f>
      </x:c>
      <x:c r="G99" s="41" t="n">
        <x:f>IF('Materials'!Q99="","",'Materials'!Q99)</x:f>
        <x:v>50</x:v>
      </x:c>
      <x:c r="H99" s="41" t="n">
        <x:f>IF('Materials'!R99="","",'Materials'!R99)</x:f>
        <x:v>500</x:v>
      </x:c>
      <x:c r="I99" s="41" t="n">
        <x:f>IF('Materials'!S99="","",'Materials'!S99)</x:f>
        <x:v>90</x:v>
      </x:c>
      <x:c r="J99" s="41" t="n">
        <x:f>IF('Materials'!T99="","",'Materials'!T99)</x:f>
        <x:v>0.001</x:v>
      </x:c>
      <x:c r="K99" s="41" t="n">
        <x:f>IF('Materials'!U99="","",'Materials'!U99)</x:f>
        <x:v>1.5</x:v>
      </x:c>
      <x:c r="L99" s="41" t="n">
        <x:f>IF('Materials'!V99="","",'Materials'!V99)</x:f>
        <x:v>2</x:v>
      </x:c>
      <x:c r="M99" s="41" t="n">
        <x:f>IF('Materials'!W99="","",'Materials'!W99)</x:f>
        <x:v>800</x:v>
      </x:c>
      <x:c r="N99" s="41" t="n">
        <x:f>IF('Materials'!X99="","",'Materials'!X99)</x:f>
        <x:v>6</x:v>
      </x:c>
      <x:c r="O99" s="43" t="n">
        <x:f>IF('Materials'!Y99="","",'Materials'!Y99)</x:f>
        <x:v>1000000000000</x:v>
      </x:c>
      <x:c r="P99" s="41" t="n">
        <x:f>IF('Materials'!Z99="","",'Materials'!Z99)</x:f>
        <x:v>1250</x:v>
      </x:c>
      <x:c r="Q99" s="41" t="n">
        <x:f>IF('Materials'!AA99="","",'Materials'!AA99)</x:f>
        <x:v>800</x:v>
      </x:c>
      <x:c r="R99" s="41" t="n">
        <x:f>IF('Materials'!AB99="","",'Materials'!AB99)</x:f>
        <x:v>600</x:v>
      </x:c>
      <x:c r="S99" s="41" t="n">
        <x:f>IF('Materials'!O99="","",'Materials'!O99)</x:f>
        <x:v>41.666666666666664</x:v>
      </x:c>
    </x:row>
    <x:row r="100">
      <x:c r="A100" s="42" t="n">
        <x:f>'Materials'!A100</x:f>
        <x:v>4110</x:v>
      </x:c>
      <x:c r="B100" s="41" t="n">
        <x:f>IF('Materials'!I100="","",'Materials'!I100)</x:f>
        <x:v>1800</x:v>
      </x:c>
      <x:c r="C100" s="41" t="n">
        <x:f>IF('Materials'!J100="","",'Materials'!J100)</x:f>
        <x:v>10</x:v>
      </x:c>
      <x:c r="D100" s="41" t="n">
        <x:f>IF('Materials'!N100="","",'Materials'!N100)</x:f>
        <x:v>4.166666666666667</x:v>
      </x:c>
      <x:c r="E100" s="41" t="n">
        <x:f>IF('Materials'!K100="","",'Materials'!K100)</x:f>
        <x:v>0.2</x:v>
      </x:c>
      <x:c r="F100" s="41" t="str">
        <x:f>IF('Materials'!P100="","",'Materials'!P100)</x:f>
      </x:c>
      <x:c r="G100" s="41" t="n">
        <x:f>IF('Materials'!Q100="","",'Materials'!Q100)</x:f>
        <x:v>30</x:v>
      </x:c>
      <x:c r="H100" s="41" t="n">
        <x:f>IF('Materials'!R100="","",'Materials'!R100)</x:f>
        <x:v>100</x:v>
      </x:c>
      <x:c r="I100" s="41" t="n">
        <x:f>IF('Materials'!S100="","",'Materials'!S100)</x:f>
        <x:v>50</x:v>
      </x:c>
      <x:c r="J100" s="41" t="n">
        <x:f>IF('Materials'!T100="","",'Materials'!T100)</x:f>
        <x:v>0.003</x:v>
      </x:c>
      <x:c r="K100" s="41" t="n">
        <x:f>IF('Materials'!U100="","",'Materials'!U100)</x:f>
        <x:v>1</x:v>
      </x:c>
      <x:c r="L100" s="41" t="n">
        <x:f>IF('Materials'!V100="","",'Materials'!V100)</x:f>
        <x:v>120</x:v>
      </x:c>
      <x:c r="M100" s="41" t="n">
        <x:f>IF('Materials'!W100="","",'Materials'!W100)</x:f>
        <x:v>710</x:v>
      </x:c>
      <x:c r="N100" s="41" t="n">
        <x:f>IF('Materials'!X100="","",'Materials'!X100)</x:f>
        <x:v>4</x:v>
      </x:c>
      <x:c r="O100" s="43" t="n">
        <x:f>IF('Materials'!Y100="","",'Materials'!Y100)</x:f>
        <x:v>0.000013</x:v>
      </x:c>
      <x:c r="P100" s="41" t="n">
        <x:f>IF('Materials'!Z100="","",'Materials'!Z100)</x:f>
        <x:v>3650</x:v>
      </x:c>
      <x:c r="Q100" s="41" t="n">
        <x:f>IF('Materials'!AA100="","",'Materials'!AA100)</x:f>
        <x:v>2000</x:v>
      </x:c>
      <x:c r="R100" s="41" t="n">
        <x:f>IF('Materials'!AB100="","",'Materials'!AB100)</x:f>
        <x:v>25</x:v>
      </x:c>
      <x:c r="S100" s="41" t="n">
        <x:f>IF('Materials'!O100="","",'Materials'!O100)</x:f>
        <x:v>5.555555555555556</x:v>
      </x:c>
    </x:row>
    <x:row r="101">
      <x:c r="A101" s="42" t="n">
        <x:f>'Materials'!A101</x:f>
        <x:v>4111</x:v>
      </x:c>
      <x:c r="B101" s="41" t="n">
        <x:f>IF('Materials'!I101="","",'Materials'!I101)</x:f>
        <x:v>14900</x:v>
      </x:c>
      <x:c r="C101" s="41" t="n">
        <x:f>IF('Materials'!J101="","",'Materials'!J101)</x:f>
        <x:v>600</x:v>
      </x:c>
      <x:c r="D101" s="41" t="n">
        <x:f>IF('Materials'!N101="","",'Materials'!N101)</x:f>
        <x:v>245.9016393442623</x:v>
      </x:c>
      <x:c r="E101" s="41" t="n">
        <x:f>IF('Materials'!K101="","",'Materials'!K101)</x:f>
        <x:v>0.22</x:v>
      </x:c>
      <x:c r="F101" s="41" t="str">
        <x:f>IF('Materials'!P101="","",'Materials'!P101)</x:f>
      </x:c>
      <x:c r="G101" s="41" t="n">
        <x:f>IF('Materials'!Q101="","",'Materials'!Q101)</x:f>
        <x:v>800</x:v>
      </x:c>
      <x:c r="H101" s="41" t="n">
        <x:f>IF('Materials'!R101="","",'Materials'!R101)</x:f>
        <x:v>5000</x:v>
      </x:c>
      <x:c r="I101" s="41" t="n">
        <x:f>IF('Materials'!S101="","",'Materials'!S101)</x:f>
        <x:v>2000</x:v>
      </x:c>
      <x:c r="J101" s="41" t="n">
        <x:f>IF('Materials'!T101="","",'Materials'!T101)</x:f>
        <x:v>0.003</x:v>
      </x:c>
      <x:c r="K101" s="41" t="n">
        <x:f>IF('Materials'!U101="","",'Materials'!U101)</x:f>
        <x:v>10</x:v>
      </x:c>
      <x:c r="L101" s="41" t="n">
        <x:f>IF('Materials'!V101="","",'Materials'!V101)</x:f>
        <x:v>84</x:v>
      </x:c>
      <x:c r="M101" s="41" t="n">
        <x:f>IF('Materials'!W101="","",'Materials'!W101)</x:f>
        <x:v>200</x:v>
      </x:c>
      <x:c r="N101" s="41" t="n">
        <x:f>IF('Materials'!X101="","",'Materials'!X101)</x:f>
        <x:v>5</x:v>
      </x:c>
      <x:c r="O101" s="43" t="n">
        <x:f>IF('Materials'!Y101="","",'Materials'!Y101)</x:f>
        <x:v>2e-7</x:v>
      </x:c>
      <x:c r="P101" s="41" t="n">
        <x:f>IF('Materials'!Z101="","",'Materials'!Z101)</x:f>
        <x:v>2870</x:v>
      </x:c>
      <x:c r="Q101" s="41" t="n">
        <x:f>IF('Materials'!AA101="","",'Materials'!AA101)</x:f>
        <x:v>800</x:v>
      </x:c>
      <x:c r="R101" s="41" t="n">
        <x:f>IF('Materials'!AB101="","",'Materials'!AB101)</x:f>
        <x:v>1600</x:v>
      </x:c>
      <x:c r="S101" s="41" t="n">
        <x:f>IF('Materials'!O101="","",'Materials'!O101)</x:f>
        <x:v>357.1428571428571</x:v>
      </x:c>
    </x:row>
    <x:row r="102">
      <x:c r="A102" s="42" t="n">
        <x:f>'Materials'!A102</x:f>
        <x:v>4112</x:v>
      </x:c>
      <x:c r="B102" s="41" t="n">
        <x:f>IF('Materials'!I102="","",'Materials'!I102)</x:f>
        <x:v>2700</x:v>
      </x:c>
      <x:c r="C102" s="41" t="n">
        <x:f>IF('Materials'!J102="","",'Materials'!J102)</x:f>
        <x:v>105</x:v>
      </x:c>
      <x:c r="D102" s="41" t="n">
        <x:f>IF('Materials'!N102="","",'Materials'!N102)</x:f>
        <x:v>43.032786885245905</x:v>
      </x:c>
      <x:c r="E102" s="41" t="n">
        <x:f>IF('Materials'!K102="","",'Materials'!K102)</x:f>
        <x:v>0.22</x:v>
      </x:c>
      <x:c r="F102" s="41" t="str">
        <x:f>IF('Materials'!P102="","",'Materials'!P102)</x:f>
      </x:c>
      <x:c r="G102" s="41" t="n">
        <x:f>IF('Materials'!Q102="","",'Materials'!Q102)</x:f>
        <x:v>120</x:v>
      </x:c>
      <x:c r="H102" s="41" t="n">
        <x:f>IF('Materials'!R102="","",'Materials'!R102)</x:f>
        <x:v>900</x:v>
      </x:c>
      <x:c r="I102" s="41" t="n">
        <x:f>IF('Materials'!S102="","",'Materials'!S102)</x:f>
        <x:v>180</x:v>
      </x:c>
      <x:c r="J102" s="41" t="n">
        <x:f>IF('Materials'!T102="","",'Materials'!T102)</x:f>
        <x:v>0.001</x:v>
      </x:c>
      <x:c r="K102" s="41" t="n">
        <x:f>IF('Materials'!U102="","",'Materials'!U102)</x:f>
        <x:v>2</x:v>
      </x:c>
      <x:c r="L102" s="41" t="n">
        <x:f>IF('Materials'!V102="","",'Materials'!V102)</x:f>
        <x:v>3</x:v>
      </x:c>
      <x:c r="M102" s="41" t="n">
        <x:f>IF('Materials'!W102="","",'Materials'!W102)</x:f>
        <x:v>850</x:v>
      </x:c>
      <x:c r="N102" s="41" t="n">
        <x:f>IF('Materials'!X102="","",'Materials'!X102)</x:f>
        <x:v>7.5</x:v>
      </x:c>
      <x:c r="O102" s="43" t="n">
        <x:f>IF('Materials'!Y102="","",'Materials'!Y102)</x:f>
        <x:v>1000000000000</x:v>
      </x:c>
      <x:c r="P102" s="41" t="n">
        <x:f>IF('Materials'!Z102="","",'Materials'!Z102)</x:f>
        <x:v>1400</x:v>
      </x:c>
      <x:c r="Q102" s="41" t="n">
        <x:f>IF('Materials'!AA102="","",'Materials'!AA102)</x:f>
        <x:v>1000</x:v>
      </x:c>
      <x:c r="R102" s="41" t="n">
        <x:f>IF('Materials'!AB102="","",'Materials'!AB102)</x:f>
        <x:v>800</x:v>
      </x:c>
      <x:c r="S102" s="41" t="n">
        <x:f>IF('Materials'!O102="","",'Materials'!O102)</x:f>
        <x:v>62.49999999999999</x:v>
      </x:c>
    </x:row>
    <x:row r="103">
      <x:c r="A103" s="42" t="n">
        <x:f>'Materials'!A103</x:f>
        <x:v>4113</x:v>
      </x:c>
      <x:c r="B103" s="41" t="n">
        <x:f>IF('Materials'!I103="","",'Materials'!I103)</x:f>
        <x:v>2300</x:v>
      </x:c>
      <x:c r="C103" s="41" t="n">
        <x:f>IF('Materials'!J103="","",'Materials'!J103)</x:f>
        <x:v>120</x:v>
      </x:c>
      <x:c r="D103" s="41" t="n">
        <x:f>IF('Materials'!N103="","",'Materials'!N103)</x:f>
        <x:v>48</x:v>
      </x:c>
      <x:c r="E103" s="41" t="n">
        <x:f>IF('Materials'!K103="","",'Materials'!K103)</x:f>
        <x:v>0.25</x:v>
      </x:c>
      <x:c r="F103" s="41" t="str">
        <x:f>IF('Materials'!P103="","",'Materials'!P103)</x:f>
      </x:c>
      <x:c r="G103" s="41" t="n">
        <x:f>IF('Materials'!Q103="","",'Materials'!Q103)</x:f>
        <x:v>80</x:v>
      </x:c>
      <x:c r="H103" s="41" t="n">
        <x:f>IF('Materials'!R103="","",'Materials'!R103)</x:f>
        <x:v>500</x:v>
      </x:c>
      <x:c r="I103" s="41" t="n">
        <x:f>IF('Materials'!S103="","",'Materials'!S103)</x:f>
        <x:v>120</x:v>
      </x:c>
      <x:c r="J103" s="41" t="n">
        <x:f>IF('Materials'!T103="","",'Materials'!T103)</x:f>
        <x:v>0.001</x:v>
      </x:c>
      <x:c r="K103" s="41" t="n">
        <x:f>IF('Materials'!U103="","",'Materials'!U103)</x:f>
        <x:v>2</x:v>
      </x:c>
      <x:c r="L103" s="41" t="n">
        <x:f>IF('Materials'!V103="","",'Materials'!V103)</x:f>
        <x:v>3</x:v>
      </x:c>
      <x:c r="M103" s="41" t="n">
        <x:f>IF('Materials'!W103="","",'Materials'!W103)</x:f>
        <x:v>800</x:v>
      </x:c>
      <x:c r="N103" s="41" t="n">
        <x:f>IF('Materials'!X103="","",'Materials'!X103)</x:f>
        <x:v>2</x:v>
      </x:c>
      <x:c r="O103" s="43" t="n">
        <x:f>IF('Materials'!Y103="","",'Materials'!Y103)</x:f>
        <x:v>10000000000</x:v>
      </x:c>
      <x:c r="P103" s="41" t="n">
        <x:f>IF('Materials'!Z103="","",'Materials'!Z103)</x:f>
        <x:v>1470</x:v>
      </x:c>
      <x:c r="Q103" s="41" t="n">
        <x:f>IF('Materials'!AA103="","",'Materials'!AA103)</x:f>
        <x:v>1200</x:v>
      </x:c>
      <x:c r="R103" s="41" t="n">
        <x:f>IF('Materials'!AB103="","",'Materials'!AB103)</x:f>
        <x:v>700</x:v>
      </x:c>
      <x:c r="S103" s="41" t="n">
        <x:f>IF('Materials'!O103="","",'Materials'!O103)</x:f>
        <x:v>80</x:v>
      </x:c>
    </x:row>
    <x:row r="104">
      <x:c r="A104" s="42" t="n">
        <x:f>'Materials'!A104</x:f>
        <x:v>5001</x:v>
      </x:c>
      <x:c r="B104" s="41" t="n">
        <x:f>IF('Materials'!I104="","",'Materials'!I104)</x:f>
        <x:v>1600</x:v>
      </x:c>
      <x:c r="C104" s="41" t="n">
        <x:f>IF('Materials'!J104="","",'Materials'!J104)</x:f>
        <x:v>135</x:v>
      </x:c>
      <x:c r="D104" s="41" t="n">
        <x:f>IF('Materials'!N104="","",'Materials'!N104)</x:f>
        <x:v>5</x:v>
      </x:c>
      <x:c r="E104" s="41" t="n">
        <x:f>IF('Materials'!K104="","",'Materials'!K104)</x:f>
        <x:v>0.3</x:v>
      </x:c>
      <x:c r="F104" s="41" t="str">
        <x:f>IF('Materials'!P104="","",'Materials'!P104)</x:f>
      </x:c>
      <x:c r="G104" s="41" t="n">
        <x:f>IF('Materials'!Q104="","",'Materials'!Q104)</x:f>
        <x:v>1500</x:v>
      </x:c>
      <x:c r="H104" s="41" t="n">
        <x:f>IF('Materials'!R104="","",'Materials'!R104)</x:f>
        <x:v>1000</x:v>
      </x:c>
      <x:c r="I104" s="41" t="n">
        <x:f>IF('Materials'!S104="","",'Materials'!S104)</x:f>
        <x:v>1200</x:v>
      </x:c>
      <x:c r="J104" s="41" t="n">
        <x:f>IF('Materials'!T104="","",'Materials'!T104)</x:f>
        <x:v>0.012</x:v>
      </x:c>
      <x:c r="K104" s="41" t="str">
        <x:f>IF('Materials'!U104="","",'Materials'!U104)</x:f>
      </x:c>
      <x:c r="L104" s="41" t="n">
        <x:f>IF('Materials'!V104="","",'Materials'!V104)</x:f>
        <x:v>6</x:v>
      </x:c>
      <x:c r="M104" s="41" t="n">
        <x:f>IF('Materials'!W104="","",'Materials'!W104)</x:f>
        <x:v>900</x:v>
      </x:c>
      <x:c r="N104" s="41" t="n">
        <x:f>IF('Materials'!X104="","",'Materials'!X104)</x:f>
        <x:v>-0.1</x:v>
      </x:c>
      <x:c r="O104" s="43" t="n">
        <x:f>IF('Materials'!Y104="","",'Materials'!Y104)</x:f>
        <x:v>0.00001</x:v>
      </x:c>
      <x:c r="P104" s="41" t="n">
        <x:f>IF('Materials'!Z104="","",'Materials'!Z104)</x:f>
        <x:v>120</x:v>
      </x:c>
      <x:c r="Q104" s="41" t="n">
        <x:f>IF('Materials'!AA104="","",'Materials'!AA104)</x:f>
        <x:v>120</x:v>
      </x:c>
      <x:c r="R104" s="41" t="str">
        <x:f>IF('Materials'!AB104="","",'Materials'!AB104)</x:f>
      </x:c>
      <x:c r="S104" s="41" t="str">
        <x:f>IF('Materials'!O104="","",'Materials'!O104)</x:f>
      </x:c>
    </x:row>
    <x:row r="105">
      <x:c r="A105" s="42" t="n">
        <x:f>'Materials'!A105</x:f>
        <x:v>5002</x:v>
      </x:c>
      <x:c r="B105" s="41" t="n">
        <x:f>IF('Materials'!I105="","",'Materials'!I105)</x:f>
        <x:v>1550</x:v>
      </x:c>
      <x:c r="C105" s="41" t="n">
        <x:f>IF('Materials'!J105="","",'Materials'!J105)</x:f>
        <x:v>55</x:v>
      </x:c>
      <x:c r="D105" s="41" t="n">
        <x:f>IF('Materials'!N105="","",'Materials'!N105)</x:f>
        <x:v>21</x:v>
      </x:c>
      <x:c r="E105" s="41" t="n">
        <x:f>IF('Materials'!K105="","",'Materials'!K105)</x:f>
        <x:v>0.3</x:v>
      </x:c>
      <x:c r="F105" s="41" t="str">
        <x:f>IF('Materials'!P105="","",'Materials'!P105)</x:f>
      </x:c>
      <x:c r="G105" s="41" t="n">
        <x:f>IF('Materials'!Q105="","",'Materials'!Q105)</x:f>
        <x:v>600</x:v>
      </x:c>
      <x:c r="H105" s="41" t="n">
        <x:f>IF('Materials'!R105="","",'Materials'!R105)</x:f>
        <x:v>500</x:v>
      </x:c>
      <x:c r="I105" s="41" t="n">
        <x:f>IF('Materials'!S105="","",'Materials'!S105)</x:f>
        <x:v>700</x:v>
      </x:c>
      <x:c r="J105" s="41" t="n">
        <x:f>IF('Materials'!T105="","",'Materials'!T105)</x:f>
        <x:v>0.01</x:v>
      </x:c>
      <x:c r="K105" s="41" t="str">
        <x:f>IF('Materials'!U105="","",'Materials'!U105)</x:f>
      </x:c>
      <x:c r="L105" s="41" t="n">
        <x:f>IF('Materials'!V105="","",'Materials'!V105)</x:f>
        <x:v>5</x:v>
      </x:c>
      <x:c r="M105" s="41" t="n">
        <x:f>IF('Materials'!W105="","",'Materials'!W105)</x:f>
        <x:v>900</x:v>
      </x:c>
      <x:c r="N105" s="41" t="n">
        <x:f>IF('Materials'!X105="","",'Materials'!X105)</x:f>
        <x:v>2</x:v>
      </x:c>
      <x:c r="O105" s="43" t="n">
        <x:f>IF('Materials'!Y105="","",'Materials'!Y105)</x:f>
        <x:v>0.0001</x:v>
      </x:c>
      <x:c r="P105" s="41" t="n">
        <x:f>IF('Materials'!Z105="","",'Materials'!Z105)</x:f>
        <x:v>120</x:v>
      </x:c>
      <x:c r="Q105" s="41" t="n">
        <x:f>IF('Materials'!AA105="","",'Materials'!AA105)</x:f>
        <x:v>120</x:v>
      </x:c>
      <x:c r="R105" s="41" t="str">
        <x:f>IF('Materials'!AB105="","",'Materials'!AB105)</x:f>
      </x:c>
      <x:c r="S105" s="41" t="str">
        <x:f>IF('Materials'!O105="","",'Materials'!O105)</x:f>
      </x:c>
    </x:row>
    <x:row r="106">
      <x:c r="A106" s="42" t="n">
        <x:f>'Materials'!A106</x:f>
        <x:v>5003</x:v>
      </x:c>
      <x:c r="B106" s="41" t="n">
        <x:f>IF('Materials'!I106="","",'Materials'!I106)</x:f>
        <x:v>1950</x:v>
      </x:c>
      <x:c r="C106" s="41" t="n">
        <x:f>IF('Materials'!J106="","",'Materials'!J106)</x:f>
        <x:v>40</x:v>
      </x:c>
      <x:c r="D106" s="41" t="n">
        <x:f>IF('Materials'!N106="","",'Materials'!N106)</x:f>
        <x:v>4</x:v>
      </x:c>
      <x:c r="E106" s="41" t="n">
        <x:f>IF('Materials'!K106="","",'Materials'!K106)</x:f>
        <x:v>0.28</x:v>
      </x:c>
      <x:c r="F106" s="41" t="str">
        <x:f>IF('Materials'!P106="","",'Materials'!P106)</x:f>
      </x:c>
      <x:c r="G106" s="41" t="n">
        <x:f>IF('Materials'!Q106="","",'Materials'!Q106)</x:f>
        <x:v>1000</x:v>
      </x:c>
      <x:c r="H106" s="41" t="n">
        <x:f>IF('Materials'!R106="","",'Materials'!R106)</x:f>
        <x:v>600</x:v>
      </x:c>
      <x:c r="I106" s="41" t="n">
        <x:f>IF('Materials'!S106="","",'Materials'!S106)</x:f>
        <x:v>900</x:v>
      </x:c>
      <x:c r="J106" s="41" t="n">
        <x:f>IF('Materials'!T106="","",'Materials'!T106)</x:f>
        <x:v>0.025</x:v>
      </x:c>
      <x:c r="K106" s="41" t="str">
        <x:f>IF('Materials'!U106="","",'Materials'!U106)</x:f>
      </x:c>
      <x:c r="L106" s="41" t="n">
        <x:f>IF('Materials'!V106="","",'Materials'!V106)</x:f>
        <x:v>0.35</x:v>
      </x:c>
      <x:c r="M106" s="41" t="n">
        <x:f>IF('Materials'!W106="","",'Materials'!W106)</x:f>
        <x:v>1000</x:v>
      </x:c>
      <x:c r="N106" s="41" t="n">
        <x:f>IF('Materials'!X106="","",'Materials'!X106)</x:f>
        <x:v>6</x:v>
      </x:c>
      <x:c r="O106" s="43" t="n">
        <x:f>IF('Materials'!Y106="","",'Materials'!Y106)</x:f>
        <x:v>1000000000000</x:v>
      </x:c>
      <x:c r="P106" s="41" t="n">
        <x:f>IF('Materials'!Z106="","",'Materials'!Z106)</x:f>
        <x:v>120</x:v>
      </x:c>
      <x:c r="Q106" s="41" t="n">
        <x:f>IF('Materials'!AA106="","",'Materials'!AA106)</x:f>
        <x:v>120</x:v>
      </x:c>
      <x:c r="R106" s="41" t="str">
        <x:f>IF('Materials'!AB106="","",'Materials'!AB106)</x:f>
      </x:c>
      <x:c r="S106" s="41" t="str">
        <x:f>IF('Materials'!O106="","",'Materials'!O106)</x:f>
      </x:c>
    </x:row>
    <x:row r="107">
      <x:c r="A107" s="42" t="n">
        <x:f>'Materials'!A107</x:f>
        <x:v>5004</x:v>
      </x:c>
      <x:c r="B107" s="41" t="n">
        <x:f>IF('Materials'!I107="","",'Materials'!I107)</x:f>
        <x:v>1900</x:v>
      </x:c>
      <x:c r="C107" s="41" t="n">
        <x:f>IF('Materials'!J107="","",'Materials'!J107)</x:f>
        <x:v>22</x:v>
      </x:c>
      <x:c r="D107" s="41" t="n">
        <x:f>IF('Materials'!N107="","",'Materials'!N107)</x:f>
        <x:v>8.5</x:v>
      </x:c>
      <x:c r="E107" s="41" t="n">
        <x:f>IF('Materials'!K107="","",'Materials'!K107)</x:f>
        <x:v>0.3</x:v>
      </x:c>
      <x:c r="F107" s="41" t="str">
        <x:f>IF('Materials'!P107="","",'Materials'!P107)</x:f>
      </x:c>
      <x:c r="G107" s="41" t="n">
        <x:f>IF('Materials'!Q107="","",'Materials'!Q107)</x:f>
        <x:v>350</x:v>
      </x:c>
      <x:c r="H107" s="41" t="n">
        <x:f>IF('Materials'!R107="","",'Materials'!R107)</x:f>
        <x:v>300</x:v>
      </x:c>
      <x:c r="I107" s="41" t="n">
        <x:f>IF('Materials'!S107="","",'Materials'!S107)</x:f>
        <x:v>450</x:v>
      </x:c>
      <x:c r="J107" s="41" t="n">
        <x:f>IF('Materials'!T107="","",'Materials'!T107)</x:f>
        <x:v>0.018</x:v>
      </x:c>
      <x:c r="K107" s="41" t="str">
        <x:f>IF('Materials'!U107="","",'Materials'!U107)</x:f>
      </x:c>
      <x:c r="L107" s="41" t="n">
        <x:f>IF('Materials'!V107="","",'Materials'!V107)</x:f>
        <x:v>0.35</x:v>
      </x:c>
      <x:c r="M107" s="41" t="n">
        <x:f>IF('Materials'!W107="","",'Materials'!W107)</x:f>
        <x:v>1000</x:v>
      </x:c>
      <x:c r="N107" s="41" t="n">
        <x:f>IF('Materials'!X107="","",'Materials'!X107)</x:f>
        <x:v>10</x:v>
      </x:c>
      <x:c r="O107" s="43" t="n">
        <x:f>IF('Materials'!Y107="","",'Materials'!Y107)</x:f>
        <x:v>1000000000000</x:v>
      </x:c>
      <x:c r="P107" s="41" t="n">
        <x:f>IF('Materials'!Z107="","",'Materials'!Z107)</x:f>
        <x:v>120</x:v>
      </x:c>
      <x:c r="Q107" s="41" t="n">
        <x:f>IF('Materials'!AA107="","",'Materials'!AA107)</x:f>
        <x:v>120</x:v>
      </x:c>
      <x:c r="R107" s="41" t="str">
        <x:f>IF('Materials'!AB107="","",'Materials'!AB107)</x:f>
      </x:c>
      <x:c r="S107" s="41" t="str">
        <x:f>IF('Materials'!O107="","",'Materials'!O107)</x:f>
      </x:c>
    </x:row>
    <x:row r="108">
      <x:c r="A108" s="42" t="n">
        <x:f>'Materials'!A108</x:f>
        <x:v>5005</x:v>
      </x:c>
      <x:c r="B108" s="41" t="n">
        <x:f>IF('Materials'!I108="","",'Materials'!I108)</x:f>
        <x:v>1380</x:v>
      </x:c>
      <x:c r="C108" s="41" t="n">
        <x:f>IF('Materials'!J108="","",'Materials'!J108)</x:f>
        <x:v>76</x:v>
      </x:c>
      <x:c r="D108" s="41" t="n">
        <x:f>IF('Materials'!N108="","",'Materials'!N108)</x:f>
        <x:v>2.4</x:v>
      </x:c>
      <x:c r="E108" s="41" t="n">
        <x:f>IF('Materials'!K108="","",'Materials'!K108)</x:f>
        <x:v>0.34</x:v>
      </x:c>
      <x:c r="F108" s="41" t="str">
        <x:f>IF('Materials'!P108="","",'Materials'!P108)</x:f>
      </x:c>
      <x:c r="G108" s="41" t="n">
        <x:f>IF('Materials'!Q108="","",'Materials'!Q108)</x:f>
        <x:v>1350</x:v>
      </x:c>
      <x:c r="H108" s="41" t="n">
        <x:f>IF('Materials'!R108="","",'Materials'!R108)</x:f>
        <x:v>280</x:v>
      </x:c>
      <x:c r="I108" s="41" t="n">
        <x:f>IF('Materials'!S108="","",'Materials'!S108)</x:f>
        <x:v>600</x:v>
      </x:c>
      <x:c r="J108" s="41" t="n">
        <x:f>IF('Materials'!T108="","",'Materials'!T108)</x:f>
        <x:v>0.018</x:v>
      </x:c>
      <x:c r="K108" s="41" t="str">
        <x:f>IF('Materials'!U108="","",'Materials'!U108)</x:f>
      </x:c>
      <x:c r="L108" s="41" t="n">
        <x:f>IF('Materials'!V108="","",'Materials'!V108)</x:f>
        <x:v>0.3</x:v>
      </x:c>
      <x:c r="M108" s="41" t="n">
        <x:f>IF('Materials'!W108="","",'Materials'!W108)</x:f>
        <x:v>1400</x:v>
      </x:c>
      <x:c r="N108" s="41" t="n">
        <x:f>IF('Materials'!X108="","",'Materials'!X108)</x:f>
        <x:v>-2</x:v>
      </x:c>
      <x:c r="O108" s="43" t="n">
        <x:f>IF('Materials'!Y108="","",'Materials'!Y108)</x:f>
        <x:v>1000000000000</x:v>
      </x:c>
      <x:c r="P108" s="41" t="n">
        <x:f>IF('Materials'!Z108="","",'Materials'!Z108)</x:f>
        <x:v>120</x:v>
      </x:c>
      <x:c r="Q108" s="41" t="n">
        <x:f>IF('Materials'!AA108="","",'Materials'!AA108)</x:f>
        <x:v>120</x:v>
      </x:c>
      <x:c r="R108" s="41" t="str">
        <x:f>IF('Materials'!AB108="","",'Materials'!AB108)</x:f>
      </x:c>
      <x:c r="S108" s="41" t="str">
        <x:f>IF('Materials'!O108="","",'Materials'!O108)</x:f>
      </x:c>
    </x:row>
    <x:row r="109">
      <x:c r="A109" s="42" t="n">
        <x:f>'Materials'!A109</x:f>
        <x:v>5101</x:v>
      </x:c>
      <x:c r="B109" s="41" t="n">
        <x:f>IF('Materials'!I109="","",'Materials'!I109)</x:f>
        <x:v>530</x:v>
      </x:c>
      <x:c r="C109" s="41" t="n">
        <x:f>IF('Materials'!J109="","",'Materials'!J109)</x:f>
        <x:v>12</x:v>
      </x:c>
      <x:c r="D109" s="41" t="n">
        <x:f>IF('Materials'!N109="","",'Materials'!N109)</x:f>
        <x:v>0.75</x:v>
      </x:c>
      <x:c r="E109" s="41" t="n">
        <x:f>IF('Materials'!K109="","",'Materials'!K109)</x:f>
        <x:v>0.35</x:v>
      </x:c>
      <x:c r="F109" s="41" t="str">
        <x:f>IF('Materials'!P109="","",'Materials'!P109)</x:f>
      </x:c>
      <x:c r="G109" s="41" t="n">
        <x:f>IF('Materials'!Q109="","",'Materials'!Q109)</x:f>
        <x:v>85</x:v>
      </x:c>
      <x:c r="H109" s="41" t="n">
        <x:f>IF('Materials'!R109="","",'Materials'!R109)</x:f>
        <x:v>50</x:v>
      </x:c>
      <x:c r="I109" s="41" t="n">
        <x:f>IF('Materials'!S109="","",'Materials'!S109)</x:f>
        <x:v>90</x:v>
      </x:c>
      <x:c r="J109" s="41" t="n">
        <x:f>IF('Materials'!T109="","",'Materials'!T109)</x:f>
        <x:v>0.012</x:v>
      </x:c>
      <x:c r="K109" s="41" t="str">
        <x:f>IF('Materials'!U109="","",'Materials'!U109)</x:f>
      </x:c>
      <x:c r="L109" s="41" t="n">
        <x:f>IF('Materials'!V109="","",'Materials'!V109)</x:f>
        <x:v>0.13</x:v>
      </x:c>
      <x:c r="M109" s="41" t="n">
        <x:f>IF('Materials'!W109="","",'Materials'!W109)</x:f>
        <x:v>1700</x:v>
      </x:c>
      <x:c r="N109" s="41" t="n">
        <x:f>IF('Materials'!X109="","",'Materials'!X109)</x:f>
        <x:v>3.5</x:v>
      </x:c>
      <x:c r="O109" s="43" t="n">
        <x:f>IF('Materials'!Y109="","",'Materials'!Y109)</x:f>
        <x:v>1000000000000</x:v>
      </x:c>
      <x:c r="P109" s="41" t="n">
        <x:f>IF('Materials'!Z109="","",'Materials'!Z109)</x:f>
        <x:v>200</x:v>
      </x:c>
      <x:c r="Q109" s="41" t="n">
        <x:f>IF('Materials'!AA109="","",'Materials'!AA109)</x:f>
        <x:v>100</x:v>
      </x:c>
      <x:c r="R109" s="41" t="str">
        <x:f>IF('Materials'!AB109="","",'Materials'!AB109)</x:f>
      </x:c>
      <x:c r="S109" s="41" t="str">
        <x:f>IF('Materials'!O109="","",'Materials'!O109)</x:f>
      </x:c>
    </x:row>
    <x:row r="110">
      <x:c r="A110" s="42" t="n">
        <x:f>'Materials'!A110</x:f>
        <x:v>5102</x:v>
      </x:c>
      <x:c r="B110" s="41" t="n">
        <x:f>IF('Materials'!I110="","",'Materials'!I110)</x:f>
        <x:v>430</x:v>
      </x:c>
      <x:c r="C110" s="41" t="n">
        <x:f>IF('Materials'!J110="","",'Materials'!J110)</x:f>
        <x:v>9.5</x:v>
      </x:c>
      <x:c r="D110" s="41" t="n">
        <x:f>IF('Materials'!N110="","",'Materials'!N110)</x:f>
        <x:v>0.6</x:v>
      </x:c>
      <x:c r="E110" s="41" t="n">
        <x:f>IF('Materials'!K110="","",'Materials'!K110)</x:f>
        <x:v>0.35</x:v>
      </x:c>
      <x:c r="F110" s="41" t="str">
        <x:f>IF('Materials'!P110="","",'Materials'!P110)</x:f>
      </x:c>
      <x:c r="G110" s="41" t="n">
        <x:f>IF('Materials'!Q110="","",'Materials'!Q110)</x:f>
        <x:v>65</x:v>
      </x:c>
      <x:c r="H110" s="41" t="n">
        <x:f>IF('Materials'!R110="","",'Materials'!R110)</x:f>
        <x:v>38</x:v>
      </x:c>
      <x:c r="I110" s="41" t="n">
        <x:f>IF('Materials'!S110="","",'Materials'!S110)</x:f>
        <x:v>70</x:v>
      </x:c>
      <x:c r="J110" s="41" t="n">
        <x:f>IF('Materials'!T110="","",'Materials'!T110)</x:f>
        <x:v>0.012</x:v>
      </x:c>
      <x:c r="K110" s="41" t="str">
        <x:f>IF('Materials'!U110="","",'Materials'!U110)</x:f>
      </x:c>
      <x:c r="L110" s="41" t="n">
        <x:f>IF('Materials'!V110="","",'Materials'!V110)</x:f>
        <x:v>0.11</x:v>
      </x:c>
      <x:c r="M110" s="41" t="n">
        <x:f>IF('Materials'!W110="","",'Materials'!W110)</x:f>
        <x:v>1700</x:v>
      </x:c>
      <x:c r="N110" s="41" t="n">
        <x:f>IF('Materials'!X110="","",'Materials'!X110)</x:f>
        <x:v>3.5</x:v>
      </x:c>
      <x:c r="O110" s="43" t="n">
        <x:f>IF('Materials'!Y110="","",'Materials'!Y110)</x:f>
        <x:v>1000000000000</x:v>
      </x:c>
      <x:c r="P110" s="41" t="n">
        <x:f>IF('Materials'!Z110="","",'Materials'!Z110)</x:f>
        <x:v>200</x:v>
      </x:c>
      <x:c r="Q110" s="41" t="n">
        <x:f>IF('Materials'!AA110="","",'Materials'!AA110)</x:f>
        <x:v>100</x:v>
      </x:c>
      <x:c r="R110" s="41" t="str">
        <x:f>IF('Materials'!AB110="","",'Materials'!AB110)</x:f>
      </x:c>
      <x:c r="S110" s="41" t="str">
        <x:f>IF('Materials'!O110="","",'Materials'!O110)</x:f>
      </x:c>
    </x:row>
    <x:row r="111">
      <x:c r="A111" s="42" t="n">
        <x:f>'Materials'!A111</x:f>
        <x:v>5103</x:v>
      </x:c>
      <x:c r="B111" s="41" t="n">
        <x:f>IF('Materials'!I111="","",'Materials'!I111)</x:f>
        <x:v>590</x:v>
      </x:c>
      <x:c r="C111" s="41" t="n">
        <x:f>IF('Materials'!J111="","",'Materials'!J111)</x:f>
        <x:v>12.5</x:v>
      </x:c>
      <x:c r="D111" s="41" t="n">
        <x:f>IF('Materials'!N111="","",'Materials'!N111)</x:f>
        <x:v>0.8</x:v>
      </x:c>
      <x:c r="E111" s="41" t="n">
        <x:f>IF('Materials'!K111="","",'Materials'!K111)</x:f>
        <x:v>0.35</x:v>
      </x:c>
      <x:c r="F111" s="41" t="str">
        <x:f>IF('Materials'!P111="","",'Materials'!P111)</x:f>
      </x:c>
      <x:c r="G111" s="41" t="n">
        <x:f>IF('Materials'!Q111="","",'Materials'!Q111)</x:f>
        <x:v>90</x:v>
      </x:c>
      <x:c r="H111" s="41" t="n">
        <x:f>IF('Materials'!R111="","",'Materials'!R111)</x:f>
        <x:v>55</x:v>
      </x:c>
      <x:c r="I111" s="41" t="n">
        <x:f>IF('Materials'!S111="","",'Materials'!S111)</x:f>
        <x:v>100</x:v>
      </x:c>
      <x:c r="J111" s="41" t="n">
        <x:f>IF('Materials'!T111="","",'Materials'!T111)</x:f>
        <x:v>0.012</x:v>
      </x:c>
      <x:c r="K111" s="41" t="str">
        <x:f>IF('Materials'!U111="","",'Materials'!U111)</x:f>
      </x:c>
      <x:c r="L111" s="41" t="n">
        <x:f>IF('Materials'!V111="","",'Materials'!V111)</x:f>
        <x:v>0.14</x:v>
      </x:c>
      <x:c r="M111" s="41" t="n">
        <x:f>IF('Materials'!W111="","",'Materials'!W111)</x:f>
        <x:v>1700</x:v>
      </x:c>
      <x:c r="N111" s="41" t="n">
        <x:f>IF('Materials'!X111="","",'Materials'!X111)</x:f>
        <x:v>3.5</x:v>
      </x:c>
      <x:c r="O111" s="43" t="n">
        <x:f>IF('Materials'!Y111="","",'Materials'!Y111)</x:f>
        <x:v>1000000000000</x:v>
      </x:c>
      <x:c r="P111" s="41" t="n">
        <x:f>IF('Materials'!Z111="","",'Materials'!Z111)</x:f>
        <x:v>200</x:v>
      </x:c>
      <x:c r="Q111" s="41" t="n">
        <x:f>IF('Materials'!AA111="","",'Materials'!AA111)</x:f>
        <x:v>100</x:v>
      </x:c>
      <x:c r="R111" s="41" t="str">
        <x:f>IF('Materials'!AB111="","",'Materials'!AB111)</x:f>
      </x:c>
      <x:c r="S111" s="41" t="str">
        <x:f>IF('Materials'!O111="","",'Materials'!O111)</x:f>
      </x:c>
    </x:row>
    <x:row r="112">
      <x:c r="A112" s="42" t="n">
        <x:f>'Materials'!A112</x:f>
        <x:v>5104</x:v>
      </x:c>
      <x:c r="B112" s="41" t="n">
        <x:f>IF('Materials'!I112="","",'Materials'!I112)</x:f>
        <x:v>750</x:v>
      </x:c>
      <x:c r="C112" s="41" t="n">
        <x:f>IF('Materials'!J112="","",'Materials'!J112)</x:f>
        <x:v>12.3</x:v>
      </x:c>
      <x:c r="D112" s="41" t="n">
        <x:f>IF('Materials'!N112="","",'Materials'!N112)</x:f>
        <x:v>0.85</x:v>
      </x:c>
      <x:c r="E112" s="41" t="n">
        <x:f>IF('Materials'!K112="","",'Materials'!K112)</x:f>
        <x:v>0.36</x:v>
      </x:c>
      <x:c r="F112" s="41" t="str">
        <x:f>IF('Materials'!P112="","",'Materials'!P112)</x:f>
      </x:c>
      <x:c r="G112" s="41" t="n">
        <x:f>IF('Materials'!Q112="","",'Materials'!Q112)</x:f>
        <x:v>100</x:v>
      </x:c>
      <x:c r="H112" s="41" t="n">
        <x:f>IF('Materials'!R112="","",'Materials'!R112)</x:f>
        <x:v>51</x:v>
      </x:c>
      <x:c r="I112" s="41" t="n">
        <x:f>IF('Materials'!S112="","",'Materials'!S112)</x:f>
        <x:v>105</x:v>
      </x:c>
      <x:c r="J112" s="41" t="n">
        <x:f>IF('Materials'!T112="","",'Materials'!T112)</x:f>
        <x:v>0.01</x:v>
      </x:c>
      <x:c r="K112" s="41" t="str">
        <x:f>IF('Materials'!U112="","",'Materials'!U112)</x:f>
      </x:c>
      <x:c r="L112" s="41" t="n">
        <x:f>IF('Materials'!V112="","",'Materials'!V112)</x:f>
        <x:v>0.17</x:v>
      </x:c>
      <x:c r="M112" s="41" t="n">
        <x:f>IF('Materials'!W112="","",'Materials'!W112)</x:f>
        <x:v>1700</x:v>
      </x:c>
      <x:c r="N112" s="41" t="n">
        <x:f>IF('Materials'!X112="","",'Materials'!X112)</x:f>
        <x:v>4.5</x:v>
      </x:c>
      <x:c r="O112" s="43" t="n">
        <x:f>IF('Materials'!Y112="","",'Materials'!Y112)</x:f>
        <x:v>100000000000</x:v>
      </x:c>
      <x:c r="P112" s="41" t="n">
        <x:f>IF('Materials'!Z112="","",'Materials'!Z112)</x:f>
        <x:v>200</x:v>
      </x:c>
      <x:c r="Q112" s="41" t="n">
        <x:f>IF('Materials'!AA112="","",'Materials'!AA112)</x:f>
        <x:v>100</x:v>
      </x:c>
      <x:c r="R112" s="41" t="str">
        <x:f>IF('Materials'!AB112="","",'Materials'!AB112)</x:f>
      </x:c>
      <x:c r="S112" s="41" t="str">
        <x:f>IF('Materials'!O112="","",'Materials'!O112)</x:f>
      </x:c>
    </x:row>
    <x:row r="113">
      <x:c r="A113" s="42" t="n">
        <x:f>'Materials'!A113</x:f>
        <x:v>5105</x:v>
      </x:c>
      <x:c r="B113" s="41" t="n">
        <x:f>IF('Materials'!I113="","",'Materials'!I113)</x:f>
        <x:v>705</x:v>
      </x:c>
      <x:c r="C113" s="41" t="n">
        <x:f>IF('Materials'!J113="","",'Materials'!J113)</x:f>
        <x:v>12.6</x:v>
      </x:c>
      <x:c r="D113" s="41" t="n">
        <x:f>IF('Materials'!N113="","",'Materials'!N113)</x:f>
        <x:v>0.9</x:v>
      </x:c>
      <x:c r="E113" s="41" t="n">
        <x:f>IF('Materials'!K113="","",'Materials'!K113)</x:f>
        <x:v>0.35</x:v>
      </x:c>
      <x:c r="F113" s="41" t="str">
        <x:f>IF('Materials'!P113="","",'Materials'!P113)</x:f>
      </x:c>
      <x:c r="G113" s="41" t="n">
        <x:f>IF('Materials'!Q113="","",'Materials'!Q113)</x:f>
        <x:v>108</x:v>
      </x:c>
      <x:c r="H113" s="41" t="n">
        <x:f>IF('Materials'!R113="","",'Materials'!R113)</x:f>
        <x:v>54</x:v>
      </x:c>
      <x:c r="I113" s="41" t="n">
        <x:f>IF('Materials'!S113="","",'Materials'!S113)</x:f>
        <x:v>109</x:v>
      </x:c>
      <x:c r="J113" s="41" t="n">
        <x:f>IF('Materials'!T113="","",'Materials'!T113)</x:f>
        <x:v>0.01</x:v>
      </x:c>
      <x:c r="K113" s="41" t="str">
        <x:f>IF('Materials'!U113="","",'Materials'!U113)</x:f>
      </x:c>
      <x:c r="L113" s="41" t="n">
        <x:f>IF('Materials'!V113="","",'Materials'!V113)</x:f>
        <x:v>0.16</x:v>
      </x:c>
      <x:c r="M113" s="41" t="n">
        <x:f>IF('Materials'!W113="","",'Materials'!W113)</x:f>
        <x:v>1700</x:v>
      </x:c>
      <x:c r="N113" s="41" t="n">
        <x:f>IF('Materials'!X113="","",'Materials'!X113)</x:f>
        <x:v>4</x:v>
      </x:c>
      <x:c r="O113" s="43" t="n">
        <x:f>IF('Materials'!Y113="","",'Materials'!Y113)</x:f>
        <x:v>100000000000</x:v>
      </x:c>
      <x:c r="P113" s="41" t="n">
        <x:f>IF('Materials'!Z113="","",'Materials'!Z113)</x:f>
        <x:v>200</x:v>
      </x:c>
      <x:c r="Q113" s="41" t="n">
        <x:f>IF('Materials'!AA113="","",'Materials'!AA113)</x:f>
        <x:v>100</x:v>
      </x:c>
      <x:c r="R113" s="41" t="str">
        <x:f>IF('Materials'!AB113="","",'Materials'!AB113)</x:f>
      </x:c>
      <x:c r="S113" s="41" t="str">
        <x:f>IF('Materials'!O113="","",'Materials'!O113)</x:f>
      </x:c>
    </x:row>
    <x:row r="114">
      <x:c r="A114" s="42" t="n">
        <x:f>'Materials'!A114</x:f>
        <x:v>5106</x:v>
      </x:c>
      <x:c r="B114" s="41" t="n">
        <x:f>IF('Materials'!I114="","",'Materials'!I114)</x:f>
        <x:v>550</x:v>
      </x:c>
      <x:c r="C114" s="41" t="n">
        <x:f>IF('Materials'!J114="","",'Materials'!J114)</x:f>
        <x:v>8</x:v>
      </x:c>
      <x:c r="D114" s="41" t="n">
        <x:f>IF('Materials'!N114="","",'Materials'!N114)</x:f>
        <x:v>0.6</x:v>
      </x:c>
      <x:c r="E114" s="41" t="n">
        <x:f>IF('Materials'!K114="","",'Materials'!K114)</x:f>
        <x:v>0.25</x:v>
      </x:c>
      <x:c r="F114" s="41" t="str">
        <x:f>IF('Materials'!P114="","",'Materials'!P114)</x:f>
      </x:c>
      <x:c r="G114" s="41" t="n">
        <x:f>IF('Materials'!Q114="","",'Materials'!Q114)</x:f>
        <x:v>35</x:v>
      </x:c>
      <x:c r="H114" s="41" t="n">
        <x:f>IF('Materials'!R114="","",'Materials'!R114)</x:f>
        <x:v>30</x:v>
      </x:c>
      <x:c r="I114" s="41" t="n">
        <x:f>IF('Materials'!S114="","",'Materials'!S114)</x:f>
        <x:v>45</x:v>
      </x:c>
      <x:c r="J114" s="41" t="n">
        <x:f>IF('Materials'!T114="","",'Materials'!T114)</x:f>
        <x:v>0.008</x:v>
      </x:c>
      <x:c r="K114" s="41" t="str">
        <x:f>IF('Materials'!U114="","",'Materials'!U114)</x:f>
      </x:c>
      <x:c r="L114" s="41" t="n">
        <x:f>IF('Materials'!V114="","",'Materials'!V114)</x:f>
        <x:v>0.12</x:v>
      </x:c>
      <x:c r="M114" s="41" t="n">
        <x:f>IF('Materials'!W114="","",'Materials'!W114)</x:f>
        <x:v>1700</x:v>
      </x:c>
      <x:c r="N114" s="41" t="n">
        <x:f>IF('Materials'!X114="","",'Materials'!X114)</x:f>
        <x:v>6</x:v>
      </x:c>
      <x:c r="O114" s="43" t="n">
        <x:f>IF('Materials'!Y114="","",'Materials'!Y114)</x:f>
        <x:v>100000000000</x:v>
      </x:c>
      <x:c r="P114" s="41" t="n">
        <x:f>IF('Materials'!Z114="","",'Materials'!Z114)</x:f>
        <x:v>180</x:v>
      </x:c>
      <x:c r="Q114" s="41" t="n">
        <x:f>IF('Materials'!AA114="","",'Materials'!AA114)</x:f>
        <x:v>90</x:v>
      </x:c>
      <x:c r="R114" s="41" t="str">
        <x:f>IF('Materials'!AB114="","",'Materials'!AB114)</x:f>
      </x:c>
      <x:c r="S114" s="41" t="str">
        <x:f>IF('Materials'!O114="","",'Materials'!O114)</x:f>
      </x:c>
    </x:row>
    <x:row r="115">
      <x:c r="A115" s="42" t="n">
        <x:f>'Materials'!A115</x:f>
        <x:v>5107</x:v>
      </x:c>
      <x:c r="B115" s="41" t="n">
        <x:f>IF('Materials'!I115="","",'Materials'!I115)</x:f>
        <x:v>750</x:v>
      </x:c>
      <x:c r="C115" s="41" t="n">
        <x:f>IF('Materials'!J115="","",'Materials'!J115)</x:f>
        <x:v>3.5</x:v>
      </x:c>
      <x:c r="D115" s="41" t="n">
        <x:f>IF('Materials'!N115="","",'Materials'!N115)</x:f>
        <x:v>1.3</x:v>
      </x:c>
      <x:c r="E115" s="41" t="n">
        <x:f>IF('Materials'!K115="","",'Materials'!K115)</x:f>
        <x:v>0.3</x:v>
      </x:c>
      <x:c r="F115" s="41" t="str">
        <x:f>IF('Materials'!P115="","",'Materials'!P115)</x:f>
      </x:c>
      <x:c r="G115" s="41" t="n">
        <x:f>IF('Materials'!Q115="","",'Materials'!Q115)</x:f>
        <x:v>25</x:v>
      </x:c>
      <x:c r="H115" s="41" t="n">
        <x:f>IF('Materials'!R115="","",'Materials'!R115)</x:f>
        <x:v>20</x:v>
      </x:c>
      <x:c r="I115" s="41" t="n">
        <x:f>IF('Materials'!S115="","",'Materials'!S115)</x:f>
        <x:v>35</x:v>
      </x:c>
      <x:c r="J115" s="41" t="n">
        <x:f>IF('Materials'!T115="","",'Materials'!T115)</x:f>
        <x:v>0.008</x:v>
      </x:c>
      <x:c r="K115" s="41" t="str">
        <x:f>IF('Materials'!U115="","",'Materials'!U115)</x:f>
      </x:c>
      <x:c r="L115" s="41" t="n">
        <x:f>IF('Materials'!V115="","",'Materials'!V115)</x:f>
        <x:v>0.12</x:v>
      </x:c>
      <x:c r="M115" s="41" t="n">
        <x:f>IF('Materials'!W115="","",'Materials'!W115)</x:f>
        <x:v>1700</x:v>
      </x:c>
      <x:c r="N115" s="41" t="n">
        <x:f>IF('Materials'!X115="","",'Materials'!X115)</x:f>
        <x:v>12</x:v>
      </x:c>
      <x:c r="O115" s="43" t="n">
        <x:f>IF('Materials'!Y115="","",'Materials'!Y115)</x:f>
        <x:v>10000000000</x:v>
      </x:c>
      <x:c r="P115" s="41" t="n">
        <x:f>IF('Materials'!Z115="","",'Materials'!Z115)</x:f>
        <x:v>180</x:v>
      </x:c>
      <x:c r="Q115" s="41" t="n">
        <x:f>IF('Materials'!AA115="","",'Materials'!AA115)</x:f>
        <x:v>80</x:v>
      </x:c>
      <x:c r="R115" s="41" t="str">
        <x:f>IF('Materials'!AB115="","",'Materials'!AB115)</x:f>
      </x:c>
      <x:c r="S115" s="41" t="str">
        <x:f>IF('Materials'!O115="","",'Materials'!O115)</x:f>
      </x:c>
    </x:row>
    <x:row r="116">
      <x:c r="A116" s="42" t="n">
        <x:f>'Materials'!A116</x:f>
        <x:v>5108</x:v>
      </x:c>
      <x:c r="B116" s="41" t="n">
        <x:f>IF('Materials'!I116="","",'Materials'!I116)</x:f>
        <x:v>560</x:v>
      </x:c>
      <x:c r="C116" s="41" t="n">
        <x:f>IF('Materials'!J116="","",'Materials'!J116)</x:f>
        <x:v>14</x:v>
      </x:c>
      <x:c r="D116" s="41" t="n">
        <x:f>IF('Materials'!N116="","",'Materials'!N116)</x:f>
        <x:v>0.8</x:v>
      </x:c>
      <x:c r="E116" s="41" t="n">
        <x:f>IF('Materials'!K116="","",'Materials'!K116)</x:f>
        <x:v>0.3</x:v>
      </x:c>
      <x:c r="F116" s="41" t="str">
        <x:f>IF('Materials'!P116="","",'Materials'!P116)</x:f>
      </x:c>
      <x:c r="G116" s="41" t="n">
        <x:f>IF('Materials'!Q116="","",'Materials'!Q116)</x:f>
        <x:v>50</x:v>
      </x:c>
      <x:c r="H116" s="41" t="n">
        <x:f>IF('Materials'!R116="","",'Materials'!R116)</x:f>
        <x:v>45</x:v>
      </x:c>
      <x:c r="I116" s="41" t="n">
        <x:f>IF('Materials'!S116="","",'Materials'!S116)</x:f>
        <x:v>55</x:v>
      </x:c>
      <x:c r="J116" s="41" t="n">
        <x:f>IF('Materials'!T116="","",'Materials'!T116)</x:f>
        <x:v>0.01</x:v>
      </x:c>
      <x:c r="K116" s="41" t="str">
        <x:f>IF('Materials'!U116="","",'Materials'!U116)</x:f>
      </x:c>
      <x:c r="L116" s="41" t="n">
        <x:f>IF('Materials'!V116="","",'Materials'!V116)</x:f>
        <x:v>0.13</x:v>
      </x:c>
      <x:c r="M116" s="41" t="n">
        <x:f>IF('Materials'!W116="","",'Materials'!W116)</x:f>
        <x:v>1700</x:v>
      </x:c>
      <x:c r="N116" s="41" t="n">
        <x:f>IF('Materials'!X116="","",'Materials'!X116)</x:f>
        <x:v>5</x:v>
      </x:c>
      <x:c r="O116" s="43" t="n">
        <x:f>IF('Materials'!Y116="","",'Materials'!Y116)</x:f>
        <x:v>100000000000</x:v>
      </x:c>
      <x:c r="P116" s="41" t="n">
        <x:f>IF('Materials'!Z116="","",'Materials'!Z116)</x:f>
        <x:v>180</x:v>
      </x:c>
      <x:c r="Q116" s="41" t="n">
        <x:f>IF('Materials'!AA116="","",'Materials'!AA116)</x:f>
        <x:v>100</x:v>
      </x:c>
      <x:c r="R116" s="41" t="str">
        <x:f>IF('Materials'!AB116="","",'Materials'!AB116)</x:f>
      </x:c>
      <x:c r="S116" s="41" t="str">
        <x:f>IF('Materials'!O116="","",'Materials'!O116)</x:f>
      </x:c>
    </x:row>
    <x:row r="117">
      <x:c r="A117" s="42" t="n">
        <x:f>'Materials'!A117</x:f>
        <x:v>5109</x:v>
      </x:c>
      <x:c r="B117" s="41" t="n">
        <x:f>IF('Materials'!I117="","",'Materials'!I117)</x:f>
        <x:v>520</x:v>
      </x:c>
      <x:c r="C117" s="41" t="n">
        <x:f>IF('Materials'!J117="","",'Materials'!J117)</x:f>
        <x:v>12</x:v>
      </x:c>
      <x:c r="D117" s="41" t="n">
        <x:f>IF('Materials'!N117="","",'Materials'!N117)</x:f>
        <x:v>0.75</x:v>
      </x:c>
      <x:c r="E117" s="41" t="n">
        <x:f>IF('Materials'!K117="","",'Materials'!K117)</x:f>
        <x:v>0.3</x:v>
      </x:c>
      <x:c r="F117" s="41" t="str">
        <x:f>IF('Materials'!P117="","",'Materials'!P117)</x:f>
      </x:c>
      <x:c r="G117" s="41" t="n">
        <x:f>IF('Materials'!Q117="","",'Materials'!Q117)</x:f>
        <x:v>40</x:v>
      </x:c>
      <x:c r="H117" s="41" t="n">
        <x:f>IF('Materials'!R117="","",'Materials'!R117)</x:f>
        <x:v>35</x:v>
      </x:c>
      <x:c r="I117" s="41" t="n">
        <x:f>IF('Materials'!S117="","",'Materials'!S117)</x:f>
        <x:v>45</x:v>
      </x:c>
      <x:c r="J117" s="41" t="n">
        <x:f>IF('Materials'!T117="","",'Materials'!T117)</x:f>
        <x:v>0.01</x:v>
      </x:c>
      <x:c r="K117" s="41" t="str">
        <x:f>IF('Materials'!U117="","",'Materials'!U117)</x:f>
      </x:c>
      <x:c r="L117" s="41" t="n">
        <x:f>IF('Materials'!V117="","",'Materials'!V117)</x:f>
        <x:v>0.13</x:v>
      </x:c>
      <x:c r="M117" s="41" t="n">
        <x:f>IF('Materials'!W117="","",'Materials'!W117)</x:f>
        <x:v>1700</x:v>
      </x:c>
      <x:c r="N117" s="41" t="n">
        <x:f>IF('Materials'!X117="","",'Materials'!X117)</x:f>
        <x:v>5</x:v>
      </x:c>
      <x:c r="O117" s="43" t="n">
        <x:f>IF('Materials'!Y117="","",'Materials'!Y117)</x:f>
        <x:v>100000000000</x:v>
      </x:c>
      <x:c r="P117" s="41" t="n">
        <x:f>IF('Materials'!Z117="","",'Materials'!Z117)</x:f>
        <x:v>180</x:v>
      </x:c>
      <x:c r="Q117" s="41" t="n">
        <x:f>IF('Materials'!AA117="","",'Materials'!AA117)</x:f>
        <x:v>100</x:v>
      </x:c>
      <x:c r="R117" s="41" t="str">
        <x:f>IF('Materials'!AB117="","",'Materials'!AB117)</x:f>
      </x:c>
      <x:c r="S117" s="41" t="str">
        <x:f>IF('Materials'!O117="","",'Materials'!O117)</x:f>
      </x:c>
    </x:row>
    <x:row r="118">
      <x:c r="A118" s="42" t="n">
        <x:f>'Materials'!A118</x:f>
        <x:v>6001</x:v>
      </x:c>
      <x:c r="B118" s="41" t="n">
        <x:f>IF('Materials'!I118="","",'Materials'!I118)</x:f>
        <x:v>2400</x:v>
      </x:c>
      <x:c r="C118" s="41" t="n">
        <x:f>IF('Materials'!J118="","",'Materials'!J118)</x:f>
        <x:v>27</x:v>
      </x:c>
      <x:c r="D118" s="41" t="n">
        <x:f>IF('Materials'!N118="","",'Materials'!N118)</x:f>
        <x:v>11.25</x:v>
      </x:c>
      <x:c r="E118" s="41" t="n">
        <x:f>IF('Materials'!K118="","",'Materials'!K118)</x:f>
        <x:v>0.2</x:v>
      </x:c>
      <x:c r="F118" s="41" t="str">
        <x:f>IF('Materials'!P118="","",'Materials'!P118)</x:f>
      </x:c>
      <x:c r="G118" s="41" t="n">
        <x:f>IF('Materials'!Q118="","",'Materials'!Q118)</x:f>
        <x:v>2.5</x:v>
      </x:c>
      <x:c r="H118" s="41" t="n">
        <x:f>IF('Materials'!R118="","",'Materials'!R118)</x:f>
        <x:v>25</x:v>
      </x:c>
      <x:c r="I118" s="41" t="n">
        <x:f>IF('Materials'!S118="","",'Materials'!S118)</x:f>
        <x:v>3.5</x:v>
      </x:c>
      <x:c r="J118" s="41" t="n">
        <x:f>IF('Materials'!T118="","",'Materials'!T118)</x:f>
        <x:v>0.0001</x:v>
      </x:c>
      <x:c r="K118" s="41" t="n">
        <x:f>IF('Materials'!U118="","",'Materials'!U118)</x:f>
        <x:v>0.3</x:v>
      </x:c>
      <x:c r="L118" s="41" t="n">
        <x:f>IF('Materials'!V118="","",'Materials'!V118)</x:f>
        <x:v>1.7</x:v>
      </x:c>
      <x:c r="M118" s="41" t="n">
        <x:f>IF('Materials'!W118="","",'Materials'!W118)</x:f>
        <x:v>880</x:v>
      </x:c>
      <x:c r="N118" s="41" t="n">
        <x:f>IF('Materials'!X118="","",'Materials'!X118)</x:f>
        <x:v>10</x:v>
      </x:c>
      <x:c r="O118" s="43" t="n">
        <x:f>IF('Materials'!Y118="","",'Materials'!Y118)</x:f>
        <x:v>100</x:v>
      </x:c>
      <x:c r="P118" s="41" t="n">
        <x:f>IF('Materials'!Z118="","",'Materials'!Z118)</x:f>
        <x:v>1200</x:v>
      </x:c>
      <x:c r="Q118" s="41" t="n">
        <x:f>IF('Materials'!AA118="","",'Materials'!AA118)</x:f>
        <x:v>300</x:v>
      </x:c>
      <x:c r="R118" s="41" t="str">
        <x:f>IF('Materials'!AB118="","",'Materials'!AB118)</x:f>
      </x:c>
      <x:c r="S118" s="41" t="n">
        <x:f>IF('Materials'!O118="","",'Materials'!O118)</x:f>
        <x:v>15.000000000000002</x:v>
      </x:c>
    </x:row>
    <x:row r="119">
      <x:c r="A119" s="42" t="n">
        <x:f>'Materials'!A119</x:f>
        <x:v>6002</x:v>
      </x:c>
      <x:c r="B119" s="41" t="n">
        <x:f>IF('Materials'!I119="","",'Materials'!I119)</x:f>
        <x:v>2400</x:v>
      </x:c>
      <x:c r="C119" s="41" t="n">
        <x:f>IF('Materials'!J119="","",'Materials'!J119)</x:f>
        <x:v>30</x:v>
      </x:c>
      <x:c r="D119" s="41" t="n">
        <x:f>IF('Materials'!N119="","",'Materials'!N119)</x:f>
        <x:v>12.5</x:v>
      </x:c>
      <x:c r="E119" s="41" t="n">
        <x:f>IF('Materials'!K119="","",'Materials'!K119)</x:f>
        <x:v>0.2</x:v>
      </x:c>
      <x:c r="F119" s="41" t="str">
        <x:f>IF('Materials'!P119="","",'Materials'!P119)</x:f>
      </x:c>
      <x:c r="G119" s="41" t="n">
        <x:f>IF('Materials'!Q119="","",'Materials'!Q119)</x:f>
        <x:v>3.5</x:v>
      </x:c>
      <x:c r="H119" s="41" t="n">
        <x:f>IF('Materials'!R119="","",'Materials'!R119)</x:f>
        <x:v>40</x:v>
      </x:c>
      <x:c r="I119" s="41" t="n">
        <x:f>IF('Materials'!S119="","",'Materials'!S119)</x:f>
        <x:v>4.5</x:v>
      </x:c>
      <x:c r="J119" s="41" t="n">
        <x:f>IF('Materials'!T119="","",'Materials'!T119)</x:f>
        <x:v>0.0001</x:v>
      </x:c>
      <x:c r="K119" s="41" t="n">
        <x:f>IF('Materials'!U119="","",'Materials'!U119)</x:f>
        <x:v>0.35</x:v>
      </x:c>
      <x:c r="L119" s="41" t="n">
        <x:f>IF('Materials'!V119="","",'Materials'!V119)</x:f>
        <x:v>1.8</x:v>
      </x:c>
      <x:c r="M119" s="41" t="n">
        <x:f>IF('Materials'!W119="","",'Materials'!W119)</x:f>
        <x:v>880</x:v>
      </x:c>
      <x:c r="N119" s="41" t="n">
        <x:f>IF('Materials'!X119="","",'Materials'!X119)</x:f>
        <x:v>10</x:v>
      </x:c>
      <x:c r="O119" s="43" t="n">
        <x:f>IF('Materials'!Y119="","",'Materials'!Y119)</x:f>
        <x:v>100</x:v>
      </x:c>
      <x:c r="P119" s="41" t="n">
        <x:f>IF('Materials'!Z119="","",'Materials'!Z119)</x:f>
        <x:v>1200</x:v>
      </x:c>
      <x:c r="Q119" s="41" t="n">
        <x:f>IF('Materials'!AA119="","",'Materials'!AA119)</x:f>
        <x:v>300</x:v>
      </x:c>
      <x:c r="R119" s="41" t="str">
        <x:f>IF('Materials'!AB119="","",'Materials'!AB119)</x:f>
      </x:c>
      <x:c r="S119" s="41" t="n">
        <x:f>IF('Materials'!O119="","",'Materials'!O119)</x:f>
        <x:v>16.666666666666668</x:v>
      </x:c>
    </x:row>
    <x:row r="120">
      <x:c r="A120" s="42" t="n">
        <x:f>'Materials'!A120</x:f>
        <x:v>6003</x:v>
      </x:c>
      <x:c r="B120" s="41" t="n">
        <x:f>IF('Materials'!I120="","",'Materials'!I120)</x:f>
        <x:v>2450</x:v>
      </x:c>
      <x:c r="C120" s="41" t="n">
        <x:f>IF('Materials'!J120="","",'Materials'!J120)</x:f>
        <x:v>36</x:v>
      </x:c>
      <x:c r="D120" s="41" t="n">
        <x:f>IF('Materials'!N120="","",'Materials'!N120)</x:f>
        <x:v>15</x:v>
      </x:c>
      <x:c r="E120" s="41" t="n">
        <x:f>IF('Materials'!K120="","",'Materials'!K120)</x:f>
        <x:v>0.2</x:v>
      </x:c>
      <x:c r="F120" s="41" t="str">
        <x:f>IF('Materials'!P120="","",'Materials'!P120)</x:f>
      </x:c>
      <x:c r="G120" s="41" t="n">
        <x:f>IF('Materials'!Q120="","",'Materials'!Q120)</x:f>
        <x:v>4.5</x:v>
      </x:c>
      <x:c r="H120" s="41" t="n">
        <x:f>IF('Materials'!R120="","",'Materials'!R120)</x:f>
        <x:v>60</x:v>
      </x:c>
      <x:c r="I120" s="41" t="n">
        <x:f>IF('Materials'!S120="","",'Materials'!S120)</x:f>
        <x:v>6</x:v>
      </x:c>
      <x:c r="J120" s="41" t="n">
        <x:f>IF('Materials'!T120="","",'Materials'!T120)</x:f>
        <x:v>0.0001</x:v>
      </x:c>
      <x:c r="K120" s="41" t="n">
        <x:f>IF('Materials'!U120="","",'Materials'!U120)</x:f>
        <x:v>0.4</x:v>
      </x:c>
      <x:c r="L120" s="41" t="n">
        <x:f>IF('Materials'!V120="","",'Materials'!V120)</x:f>
        <x:v>2</x:v>
      </x:c>
      <x:c r="M120" s="41" t="n">
        <x:f>IF('Materials'!W120="","",'Materials'!W120)</x:f>
        <x:v>880</x:v>
      </x:c>
      <x:c r="N120" s="41" t="n">
        <x:f>IF('Materials'!X120="","",'Materials'!X120)</x:f>
        <x:v>10</x:v>
      </x:c>
      <x:c r="O120" s="43" t="n">
        <x:f>IF('Materials'!Y120="","",'Materials'!Y120)</x:f>
        <x:v>100</x:v>
      </x:c>
      <x:c r="P120" s="41" t="n">
        <x:f>IF('Materials'!Z120="","",'Materials'!Z120)</x:f>
        <x:v>1200</x:v>
      </x:c>
      <x:c r="Q120" s="41" t="n">
        <x:f>IF('Materials'!AA120="","",'Materials'!AA120)</x:f>
        <x:v>300</x:v>
      </x:c>
      <x:c r="R120" s="41" t="str">
        <x:f>IF('Materials'!AB120="","",'Materials'!AB120)</x:f>
      </x:c>
      <x:c r="S120" s="41" t="n">
        <x:f>IF('Materials'!O120="","",'Materials'!O120)</x:f>
        <x:v>20.000000000000004</x:v>
      </x:c>
    </x:row>
    <x:row r="121">
      <x:c r="A121" s="42" t="n">
        <x:f>'Materials'!A121</x:f>
        <x:v>6004</x:v>
      </x:c>
      <x:c r="B121" s="41" t="n">
        <x:f>IF('Materials'!I121="","",'Materials'!I121)</x:f>
        <x:v>1850</x:v>
      </x:c>
      <x:c r="C121" s="41" t="n">
        <x:f>IF('Materials'!J121="","",'Materials'!J121)</x:f>
        <x:v>18</x:v>
      </x:c>
      <x:c r="D121" s="41" t="n">
        <x:f>IF('Materials'!N121="","",'Materials'!N121)</x:f>
        <x:v>7.5</x:v>
      </x:c>
      <x:c r="E121" s="41" t="n">
        <x:f>IF('Materials'!K121="","",'Materials'!K121)</x:f>
        <x:v>0.2</x:v>
      </x:c>
      <x:c r="F121" s="41" t="str">
        <x:f>IF('Materials'!P121="","",'Materials'!P121)</x:f>
      </x:c>
      <x:c r="G121" s="41" t="n">
        <x:f>IF('Materials'!Q121="","",'Materials'!Q121)</x:f>
        <x:v>2.2</x:v>
      </x:c>
      <x:c r="H121" s="41" t="n">
        <x:f>IF('Materials'!R121="","",'Materials'!R121)</x:f>
        <x:v>25</x:v>
      </x:c>
      <x:c r="I121" s="41" t="n">
        <x:f>IF('Materials'!S121="","",'Materials'!S121)</x:f>
        <x:v>3</x:v>
      </x:c>
      <x:c r="J121" s="41" t="n">
        <x:f>IF('Materials'!T121="","",'Materials'!T121)</x:f>
        <x:v>0.0001</x:v>
      </x:c>
      <x:c r="K121" s="41" t="n">
        <x:f>IF('Materials'!U121="","",'Materials'!U121)</x:f>
        <x:v>0.25</x:v>
      </x:c>
      <x:c r="L121" s="41" t="n">
        <x:f>IF('Materials'!V121="","",'Materials'!V121)</x:f>
        <x:v>0.8</x:v>
      </x:c>
      <x:c r="M121" s="41" t="n">
        <x:f>IF('Materials'!W121="","",'Materials'!W121)</x:f>
        <x:v>900</x:v>
      </x:c>
      <x:c r="N121" s="41" t="n">
        <x:f>IF('Materials'!X121="","",'Materials'!X121)</x:f>
        <x:v>9</x:v>
      </x:c>
      <x:c r="O121" s="43" t="n">
        <x:f>IF('Materials'!Y121="","",'Materials'!Y121)</x:f>
        <x:v>100</x:v>
      </x:c>
      <x:c r="P121" s="41" t="n">
        <x:f>IF('Materials'!Z121="","",'Materials'!Z121)</x:f>
        <x:v>1100</x:v>
      </x:c>
      <x:c r="Q121" s="41" t="n">
        <x:f>IF('Materials'!AA121="","",'Materials'!AA121)</x:f>
        <x:v>250</x:v>
      </x:c>
      <x:c r="R121" s="41" t="str">
        <x:f>IF('Materials'!AB121="","",'Materials'!AB121)</x:f>
      </x:c>
      <x:c r="S121" s="41" t="n">
        <x:f>IF('Materials'!O121="","",'Materials'!O121)</x:f>
        <x:v>10.000000000000002</x:v>
      </x:c>
    </x:row>
    <x:row r="122">
      <x:c r="A122" s="42" t="n">
        <x:f>'Materials'!A122</x:f>
        <x:v>6005</x:v>
      </x:c>
      <x:c r="B122" s="41" t="n">
        <x:f>IF('Materials'!I122="","",'Materials'!I122)</x:f>
        <x:v>1900</x:v>
      </x:c>
      <x:c r="C122" s="41" t="n">
        <x:f>IF('Materials'!J122="","",'Materials'!J122)</x:f>
        <x:v>15</x:v>
      </x:c>
      <x:c r="D122" s="41" t="n">
        <x:f>IF('Materials'!N122="","",'Materials'!N122)</x:f>
        <x:v>6.25</x:v>
      </x:c>
      <x:c r="E122" s="41" t="n">
        <x:f>IF('Materials'!K122="","",'Materials'!K122)</x:f>
        <x:v>0.2</x:v>
      </x:c>
      <x:c r="F122" s="41" t="str">
        <x:f>IF('Materials'!P122="","",'Materials'!P122)</x:f>
      </x:c>
      <x:c r="G122" s="41" t="n">
        <x:f>IF('Materials'!Q122="","",'Materials'!Q122)</x:f>
        <x:v>3</x:v>
      </x:c>
      <x:c r="H122" s="41" t="n">
        <x:f>IF('Materials'!R122="","",'Materials'!R122)</x:f>
        <x:v>30</x:v>
      </x:c>
      <x:c r="I122" s="41" t="n">
        <x:f>IF('Materials'!S122="","",'Materials'!S122)</x:f>
        <x:v>8</x:v>
      </x:c>
      <x:c r="J122" s="41" t="n">
        <x:f>IF('Materials'!T122="","",'Materials'!T122)</x:f>
        <x:v>0.0002</x:v>
      </x:c>
      <x:c r="K122" s="41" t="n">
        <x:f>IF('Materials'!U122="","",'Materials'!U122)</x:f>
        <x:v>0.25</x:v>
      </x:c>
      <x:c r="L122" s="41" t="n">
        <x:f>IF('Materials'!V122="","",'Materials'!V122)</x:f>
        <x:v>0.7</x:v>
      </x:c>
      <x:c r="M122" s="41" t="n">
        <x:f>IF('Materials'!W122="","",'Materials'!W122)</x:f>
        <x:v>840</x:v>
      </x:c>
      <x:c r="N122" s="41" t="n">
        <x:f>IF('Materials'!X122="","",'Materials'!X122)</x:f>
        <x:v>6</x:v>
      </x:c>
      <x:c r="O122" s="43" t="n">
        <x:f>IF('Materials'!Y122="","",'Materials'!Y122)</x:f>
        <x:v>100000000</x:v>
      </x:c>
      <x:c r="P122" s="41" t="n">
        <x:f>IF('Materials'!Z122="","",'Materials'!Z122)</x:f>
        <x:v>1000</x:v>
      </x:c>
      <x:c r="Q122" s="41" t="n">
        <x:f>IF('Materials'!AA122="","",'Materials'!AA122)</x:f>
        <x:v>700</x:v>
      </x:c>
      <x:c r="R122" s="41" t="str">
        <x:f>IF('Materials'!AB122="","",'Materials'!AB122)</x:f>
      </x:c>
      <x:c r="S122" s="41" t="n">
        <x:f>IF('Materials'!O122="","",'Materials'!O122)</x:f>
        <x:v>8.333333333333334</x:v>
      </x:c>
    </x:row>
    <x:row r="123">
      <x:c r="A123" s="42" t="n">
        <x:f>'Materials'!A123</x:f>
        <x:v>6006</x:v>
      </x:c>
      <x:c r="B123" s="41" t="n">
        <x:f>IF('Materials'!I123="","",'Materials'!I123)</x:f>
        <x:v>2700</x:v>
      </x:c>
      <x:c r="C123" s="41" t="n">
        <x:f>IF('Materials'!J123="","",'Materials'!J123)</x:f>
        <x:v>55</x:v>
      </x:c>
      <x:c r="D123" s="41" t="n">
        <x:f>IF('Materials'!N123="","",'Materials'!N123)</x:f>
        <x:v>22</x:v>
      </x:c>
      <x:c r="E123" s="41" t="n">
        <x:f>IF('Materials'!K123="","",'Materials'!K123)</x:f>
        <x:v>0.25</x:v>
      </x:c>
      <x:c r="F123" s="41" t="str">
        <x:f>IF('Materials'!P123="","",'Materials'!P123)</x:f>
      </x:c>
      <x:c r="G123" s="41" t="n">
        <x:f>IF('Materials'!Q123="","",'Materials'!Q123)</x:f>
        <x:v>8</x:v>
      </x:c>
      <x:c r="H123" s="41" t="n">
        <x:f>IF('Materials'!R123="","",'Materials'!R123)</x:f>
        <x:v>150</x:v>
      </x:c>
      <x:c r="I123" s="41" t="n">
        <x:f>IF('Materials'!S123="","",'Materials'!S123)</x:f>
        <x:v>15</x:v>
      </x:c>
      <x:c r="J123" s="41" t="n">
        <x:f>IF('Materials'!T123="","",'Materials'!T123)</x:f>
        <x:v>0.0005</x:v>
      </x:c>
      <x:c r="K123" s="41" t="n">
        <x:f>IF('Materials'!U123="","",'Materials'!U123)</x:f>
        <x:v>1.5</x:v>
      </x:c>
      <x:c r="L123" s="41" t="n">
        <x:f>IF('Materials'!V123="","",'Materials'!V123)</x:f>
        <x:v>2.8</x:v>
      </x:c>
      <x:c r="M123" s="41" t="n">
        <x:f>IF('Materials'!W123="","",'Materials'!W123)</x:f>
        <x:v>790</x:v>
      </x:c>
      <x:c r="N123" s="41" t="n">
        <x:f>IF('Materials'!X123="","",'Materials'!X123)</x:f>
        <x:v>7.5</x:v>
      </x:c>
      <x:c r="O123" s="43" t="n">
        <x:f>IF('Materials'!Y123="","",'Materials'!Y123)</x:f>
        <x:v>100000000</x:v>
      </x:c>
      <x:c r="P123" s="41" t="n">
        <x:f>IF('Materials'!Z123="","",'Materials'!Z123)</x:f>
        <x:v>1215</x:v>
      </x:c>
      <x:c r="Q123" s="41" t="n">
        <x:f>IF('Materials'!AA123="","",'Materials'!AA123)</x:f>
        <x:v>600</x:v>
      </x:c>
      <x:c r="R123" s="41" t="n">
        <x:f>IF('Materials'!AB123="","",'Materials'!AB123)</x:f>
        <x:v>600</x:v>
      </x:c>
      <x:c r="S123" s="41" t="n">
        <x:f>IF('Materials'!O123="","",'Materials'!O123)</x:f>
        <x:v>36.666666666666664</x:v>
      </x:c>
    </x:row>
    <x:row r="124">
      <x:c r="A124" s="42" t="n">
        <x:f>'Materials'!A124</x:f>
        <x:v>6007</x:v>
      </x:c>
      <x:c r="B124" s="41" t="n">
        <x:f>IF('Materials'!I124="","",'Materials'!I124)</x:f>
        <x:v>2600</x:v>
      </x:c>
      <x:c r="C124" s="41" t="n">
        <x:f>IF('Materials'!J124="","",'Materials'!J124)</x:f>
        <x:v>35</x:v>
      </x:c>
      <x:c r="D124" s="41" t="n">
        <x:f>IF('Materials'!N124="","",'Materials'!N124)</x:f>
        <x:v>14</x:v>
      </x:c>
      <x:c r="E124" s="41" t="n">
        <x:f>IF('Materials'!K124="","",'Materials'!K124)</x:f>
        <x:v>0.25</x:v>
      </x:c>
      <x:c r="F124" s="41" t="str">
        <x:f>IF('Materials'!P124="","",'Materials'!P124)</x:f>
      </x:c>
      <x:c r="G124" s="41" t="n">
        <x:f>IF('Materials'!Q124="","",'Materials'!Q124)</x:f>
        <x:v>5</x:v>
      </x:c>
      <x:c r="H124" s="41" t="n">
        <x:f>IF('Materials'!R124="","",'Materials'!R124)</x:f>
        <x:v>80</x:v>
      </x:c>
      <x:c r="I124" s="41" t="n">
        <x:f>IF('Materials'!S124="","",'Materials'!S124)</x:f>
        <x:v>10</x:v>
      </x:c>
      <x:c r="J124" s="41" t="n">
        <x:f>IF('Materials'!T124="","",'Materials'!T124)</x:f>
        <x:v>0.0005</x:v>
      </x:c>
      <x:c r="K124" s="41" t="n">
        <x:f>IF('Materials'!U124="","",'Materials'!U124)</x:f>
        <x:v>0.8</x:v>
      </x:c>
      <x:c r="L124" s="41" t="n">
        <x:f>IF('Materials'!V124="","",'Materials'!V124)</x:f>
        <x:v>1.3</x:v>
      </x:c>
      <x:c r="M124" s="41" t="n">
        <x:f>IF('Materials'!W124="","",'Materials'!W124)</x:f>
        <x:v>900</x:v>
      </x:c>
      <x:c r="N124" s="41" t="n">
        <x:f>IF('Materials'!X124="","",'Materials'!X124)</x:f>
        <x:v>5</x:v>
      </x:c>
      <x:c r="O124" s="43" t="n">
        <x:f>IF('Materials'!Y124="","",'Materials'!Y124)</x:f>
        <x:v>10000000</x:v>
      </x:c>
      <x:c r="P124" s="41" t="n">
        <x:f>IF('Materials'!Z124="","",'Materials'!Z124)</x:f>
        <x:v>825</x:v>
      </x:c>
      <x:c r="Q124" s="41" t="n">
        <x:f>IF('Materials'!AA124="","",'Materials'!AA124)</x:f>
        <x:v>400</x:v>
      </x:c>
      <x:c r="R124" s="41" t="n">
        <x:f>IF('Materials'!AB124="","",'Materials'!AB124)</x:f>
        <x:v>180</x:v>
      </x:c>
      <x:c r="S124" s="41" t="n">
        <x:f>IF('Materials'!O124="","",'Materials'!O124)</x:f>
        <x:v>23.333333333333332</x:v>
      </x:c>
    </x:row>
    <x:row r="125">
      <x:c r="A125" s="42" t="n">
        <x:f>'Materials'!A125</x:f>
        <x:v>6008</x:v>
      </x:c>
      <x:c r="B125" s="41" t="n">
        <x:f>IF('Materials'!I125="","",'Materials'!I125)</x:f>
        <x:v>2300</x:v>
      </x:c>
      <x:c r="C125" s="41" t="n">
        <x:f>IF('Materials'!J125="","",'Materials'!J125)</x:f>
        <x:v>20</x:v>
      </x:c>
      <x:c r="D125" s="41" t="n">
        <x:f>IF('Materials'!N125="","",'Materials'!N125)</x:f>
        <x:v>8</x:v>
      </x:c>
      <x:c r="E125" s="41" t="n">
        <x:f>IF('Materials'!K125="","",'Materials'!K125)</x:f>
        <x:v>0.25</x:v>
      </x:c>
      <x:c r="F125" s="41" t="str">
        <x:f>IF('Materials'!P125="","",'Materials'!P125)</x:f>
      </x:c>
      <x:c r="G125" s="41" t="n">
        <x:f>IF('Materials'!Q125="","",'Materials'!Q125)</x:f>
        <x:v>4</x:v>
      </x:c>
      <x:c r="H125" s="41" t="n">
        <x:f>IF('Materials'!R125="","",'Materials'!R125)</x:f>
        <x:v>60</x:v>
      </x:c>
      <x:c r="I125" s="41" t="n">
        <x:f>IF('Materials'!S125="","",'Materials'!S125)</x:f>
        <x:v>8</x:v>
      </x:c>
      <x:c r="J125" s="41" t="n">
        <x:f>IF('Materials'!T125="","",'Materials'!T125)</x:f>
        <x:v>0.0005</x:v>
      </x:c>
      <x:c r="K125" s="41" t="n">
        <x:f>IF('Materials'!U125="","",'Materials'!U125)</x:f>
        <x:v>0.7</x:v>
      </x:c>
      <x:c r="L125" s="41" t="n">
        <x:f>IF('Materials'!V125="","",'Materials'!V125)</x:f>
        <x:v>2</x:v>
      </x:c>
      <x:c r="M125" s="41" t="n">
        <x:f>IF('Materials'!W125="","",'Materials'!W125)</x:f>
        <x:v>800</x:v>
      </x:c>
      <x:c r="N125" s="41" t="n">
        <x:f>IF('Materials'!X125="","",'Materials'!X125)</x:f>
        <x:v>8</x:v>
      </x:c>
      <x:c r="O125" s="43" t="n">
        <x:f>IF('Materials'!Y125="","",'Materials'!Y125)</x:f>
        <x:v>100000000</x:v>
      </x:c>
      <x:c r="P125" s="41" t="n">
        <x:f>IF('Materials'!Z125="","",'Materials'!Z125)</x:f>
        <x:v>1100</x:v>
      </x:c>
      <x:c r="Q125" s="41" t="n">
        <x:f>IF('Materials'!AA125="","",'Materials'!AA125)</x:f>
        <x:v>500</x:v>
      </x:c>
      <x:c r="R125" s="41" t="n">
        <x:f>IF('Materials'!AB125="","",'Materials'!AB125)</x:f>
        <x:v>150</x:v>
      </x:c>
      <x:c r="S125" s="41" t="n">
        <x:f>IF('Materials'!O125="","",'Materials'!O125)</x:f>
        <x:v>13.333333333333334</x:v>
      </x:c>
    </x:row>
    <x:row r="126">
      <x:c r="A126" s="42" t="n">
        <x:f>'Materials'!A126</x:f>
        <x:v>6009</x:v>
      </x:c>
      <x:c r="B126" s="41" t="n">
        <x:f>IF('Materials'!I126="","",'Materials'!I126)</x:f>
        <x:v>800</x:v>
      </x:c>
      <x:c r="C126" s="41" t="n">
        <x:f>IF('Materials'!J126="","",'Materials'!J126)</x:f>
        <x:v>2</x:v>
      </x:c>
      <x:c r="D126" s="41" t="n">
        <x:f>IF('Materials'!N126="","",'Materials'!N126)</x:f>
        <x:v>0.8</x:v>
      </x:c>
      <x:c r="E126" s="41" t="n">
        <x:f>IF('Materials'!K126="","",'Materials'!K126)</x:f>
        <x:v>0.25</x:v>
      </x:c>
      <x:c r="F126" s="41" t="str">
        <x:f>IF('Materials'!P126="","",'Materials'!P126)</x:f>
      </x:c>
      <x:c r="G126" s="41" t="n">
        <x:f>IF('Materials'!Q126="","",'Materials'!Q126)</x:f>
        <x:v>2</x:v>
      </x:c>
      <x:c r="H126" s="41" t="n">
        <x:f>IF('Materials'!R126="","",'Materials'!R126)</x:f>
        <x:v>8</x:v>
      </x:c>
      <x:c r="I126" s="41" t="n">
        <x:f>IF('Materials'!S126="","",'Materials'!S126)</x:f>
        <x:v>5</x:v>
      </x:c>
      <x:c r="J126" s="41" t="n">
        <x:f>IF('Materials'!T126="","",'Materials'!T126)</x:f>
        <x:v>0.002</x:v>
      </x:c>
      <x:c r="K126" s="41" t="str">
        <x:f>IF('Materials'!U126="","",'Materials'!U126)</x:f>
      </x:c>
      <x:c r="L126" s="41" t="n">
        <x:f>IF('Materials'!V126="","",'Materials'!V126)</x:f>
        <x:v>0.17</x:v>
      </x:c>
      <x:c r="M126" s="41" t="n">
        <x:f>IF('Materials'!W126="","",'Materials'!W126)</x:f>
        <x:v>1090</x:v>
      </x:c>
      <x:c r="N126" s="41" t="n">
        <x:f>IF('Materials'!X126="","",'Materials'!X126)</x:f>
        <x:v>16</x:v>
      </x:c>
      <x:c r="O126" s="43" t="n">
        <x:f>IF('Materials'!Y126="","",'Materials'!Y126)</x:f>
        <x:v>1000000000</x:v>
      </x:c>
      <x:c r="P126" s="41" t="n">
        <x:f>IF('Materials'!Z126="","",'Materials'!Z126)</x:f>
        <x:v>150</x:v>
      </x:c>
      <x:c r="Q126" s="41" t="n">
        <x:f>IF('Materials'!AA126="","",'Materials'!AA126)</x:f>
        <x:v>50</x:v>
      </x:c>
      <x:c r="R126" s="41" t="str">
        <x:f>IF('Materials'!AB126="","",'Materials'!AB126)</x:f>
      </x:c>
      <x:c r="S126" s="41" t="str">
        <x:f>IF('Materials'!O126="","",'Materials'!O126)</x:f>
      </x:c>
    </x:row>
    <x:row r="127">
      <x:c r="A127" s="42" t="n">
        <x:f>'Materials'!A127</x:f>
        <x:v>6010</x:v>
      </x:c>
      <x:c r="B127" s="41" t="n">
        <x:f>IF('Materials'!I127="","",'Materials'!I127)</x:f>
        <x:v>2350</x:v>
      </x:c>
      <x:c r="C127" s="41" t="n">
        <x:f>IF('Materials'!J127="","",'Materials'!J127)</x:f>
        <x:v>3</x:v>
      </x:c>
      <x:c r="D127" s="41" t="n">
        <x:f>IF('Materials'!N127="","",'Materials'!N127)</x:f>
        <x:v>1.1</x:v>
      </x:c>
      <x:c r="E127" s="41" t="n">
        <x:f>IF('Materials'!K127="","",'Materials'!K127)</x:f>
        <x:v>0.35</x:v>
      </x:c>
      <x:c r="F127" s="41" t="str">
        <x:f>IF('Materials'!P127="","",'Materials'!P127)</x:f>
      </x:c>
      <x:c r="G127" s="41" t="n">
        <x:f>IF('Materials'!Q127="","",'Materials'!Q127)</x:f>
        <x:v>2</x:v>
      </x:c>
      <x:c r="H127" s="41" t="n">
        <x:f>IF('Materials'!R127="","",'Materials'!R127)</x:f>
        <x:v>10</x:v>
      </x:c>
      <x:c r="I127" s="41" t="n">
        <x:f>IF('Materials'!S127="","",'Materials'!S127)</x:f>
        <x:v>5</x:v>
      </x:c>
      <x:c r="J127" s="41" t="n">
        <x:f>IF('Materials'!T127="","",'Materials'!T127)</x:f>
        <x:v>0.01</x:v>
      </x:c>
      <x:c r="K127" s="41" t="str">
        <x:f>IF('Materials'!U127="","",'Materials'!U127)</x:f>
      </x:c>
      <x:c r="L127" s="41" t="n">
        <x:f>IF('Materials'!V127="","",'Materials'!V127)</x:f>
        <x:v>0.75</x:v>
      </x:c>
      <x:c r="M127" s="41" t="n">
        <x:f>IF('Materials'!W127="","",'Materials'!W127)</x:f>
        <x:v>920</x:v>
      </x:c>
      <x:c r="N127" s="41" t="n">
        <x:f>IF('Materials'!X127="","",'Materials'!X127)</x:f>
        <x:v>25</x:v>
      </x:c>
      <x:c r="O127" s="43" t="n">
        <x:f>IF('Materials'!Y127="","",'Materials'!Y127)</x:f>
        <x:v>10000000000</x:v>
      </x:c>
      <x:c r="P127" s="41" t="n">
        <x:f>IF('Materials'!Z127="","",'Materials'!Z127)</x:f>
        <x:v>160</x:v>
      </x:c>
      <x:c r="Q127" s="41" t="n">
        <x:f>IF('Materials'!AA127="","",'Materials'!AA127)</x:f>
        <x:v>70</x:v>
      </x:c>
      <x:c r="R127" s="41" t="str">
        <x:f>IF('Materials'!AB127="","",'Materials'!AB127)</x:f>
      </x:c>
      <x:c r="S127" s="41" t="str">
        <x:f>IF('Materials'!O127="","",'Materials'!O127)</x:f>
      </x:c>
    </x:row>
  </x:sheetData>
  <x:pageMargins left="0.7" right="0.7" top="0.75" bottom="0.75" header="0.3" footer="0.3"/>
  <x:tableParts count="1">
    <x:tablePart xmlns:r="http://schemas.openxmlformats.org/officeDocument/2006/relationships" r:id="Ra025a0567e9044f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30" customHeight="1">
      <x:c r="A1" s="2" t="str">
        <x:v>Material Property Selector</x:v>
      </x:c>
      <x:c r="B1" s="2"/>
      <x:c r="C1" s="2"/>
      <x:c r="D1" s="2"/>
      <x:c r="E1" s="2"/>
      <x:c r="F1" s="2"/>
    </x:row>
    <x:row r="3">
      <x:c r="A3" s="16" t="str">
        <x:v>Input</x:v>
      </x:c>
      <x:c r="B3" s="16" t="str">
        <x:v>Value</x:v>
      </x:c>
    </x:row>
    <x:row r="4">
      <x:c r="A4" s="5" t="str">
        <x:v>Material ID</x:v>
      </x:c>
      <x:c r="B4" s="46" t="n">
        <x:v>2006</x:v>
      </x:c>
    </x:row>
    <x:row r="5">
      <x:c r="A5" s="5" t="str">
        <x:v>Property ID</x:v>
      </x:c>
      <x:c r="B5" s="46" t="n">
        <x:v>2</x:v>
      </x:c>
    </x:row>
    <x:row r="7">
      <x:c r="A7" s="16" t="str">
        <x:v>Result</x:v>
      </x:c>
      <x:c r="B7" s="16" t="str">
        <x:v>Value</x:v>
      </x:c>
    </x:row>
    <x:row r="8">
      <x:c r="A8" s="5" t="str">
        <x:v>Material name</x:v>
      </x:c>
      <x:c r="B8" t="str">
        <x:f>IFERROR(INDEX('Materials'!$C$2:$C$127,MATCH(B4,'Materials'!$A$2:$A$127,0)),"")</x:f>
        <x:v>Aluminum 6061-T6</x:v>
      </x:c>
    </x:row>
    <x:row r="9">
      <x:c r="A9" s="5" t="str">
        <x:v>CPD constant</x:v>
      </x:c>
      <x:c r="B9" t="str">
        <x:f>IFERROR(INDEX('Materials'!$B$2:$B$127,MATCH(B4,'Materials'!$A$2:$A$127,0)),"")</x:f>
        <x:v>ALUMINUM_6061_T6</x:v>
      </x:c>
    </x:row>
    <x:row r="10">
      <x:c r="A10" s="5" t="str">
        <x:v>Property name</x:v>
      </x:c>
      <x:c r="B10" t="str">
        <x:f>IFERROR(INDEX('Property Dictionary'!$C$2:$C$19,MATCH(B5,'Property Dictionary'!$A$2:$A$19,0)),"")</x:f>
        <x:v>Young's modulus</x:v>
      </x:c>
    </x:row>
    <x:row r="11">
      <x:c r="A11" s="5" t="str">
        <x:v>Unit</x:v>
      </x:c>
      <x:c r="B11" t="str">
        <x:f>IFERROR(INDEX('Property Dictionary'!$D$2:$D$19,MATCH(B5,'Property Dictionary'!$A$2:$A$19,0)),"")</x:f>
        <x:v>GPa</x:v>
      </x:c>
    </x:row>
    <x:row r="12">
      <x:c r="A12" s="5" t="str">
        <x:v>Property value</x:v>
      </x:c>
      <x:c r="B12" s="49" t="n">
        <x:f>IFERROR(INDEX('CPD Numeric Export'!$B$2:$S$127,MATCH(B4,'CPD Numeric Export'!$A$2:$A$127,0),B5),"")</x:f>
        <x:v>68.9</x:v>
      </x:c>
    </x:row>
    <x:row r="13">
      <x:c r="A13" s="5" t="str">
        <x:v>Availability</x:v>
      </x:c>
      <x:c r="B13" t="str">
        <x:f>IF(B12="","Missing / not applicable","Available")</x:f>
        <x:v>Available</x:v>
      </x:c>
    </x:row>
    <x:row r="15" ht="30" customHeight="1">
      <x:c r="A15" s="51" t="str">
        <x:v>Tip: use the CPD constant and property constant shown in the dictionary with MatPROP(item; property).</x:v>
      </x:c>
      <x:c r="B15" s="51"/>
      <x:c r="C15" s="51"/>
      <x:c r="D15" s="51"/>
      <x:c r="E15" s="51"/>
      <x:c r="F15" s="51"/>
    </x:row>
  </x:sheetData>
  <x:mergeCells>
    <x:mergeCell ref="A1:F1"/>
    <x:mergeCell ref="A15:F15"/>
  </x:mergeCells>
  <x:conditionalFormatting sqref="B13:B13">
    <x:cfRule type="containsText" dxfId="0" priority="1" operator="containsText" text="Missing"/>
  </x:conditionalFormatting>
  <x:dataValidations count="2">
    <x:dataValidation type="list" sqref="B4">
      <x:formula1>'Materials'!$A$2:$A$127</x:formula1>
    </x:dataValidation>
    <x:dataValidation type="whole" operator="between" sqref="B5">
      <x:formula1>1</x:formula1>
      <x:formula2>18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6" hidden="0" customWidth="1"/>
    <x:col min="3" max="3" width="22" hidden="0" customWidth="1"/>
  </x:cols>
  <x:sheetData>
    <x:row r="1" ht="30" customHeight="1">
      <x:c r="A1" s="2" t="str">
        <x:v>Library Quality and Coverage Checks</x:v>
      </x:c>
      <x:c r="B1" s="2"/>
      <x:c r="C1" s="2"/>
      <x:c r="D1" s="2"/>
      <x:c r="E1" s="2"/>
      <x:c r="F1" s="2"/>
    </x:row>
    <x:row r="3">
      <x:c r="A3" s="16" t="str">
        <x:v>Check</x:v>
      </x:c>
      <x:c r="B3" s="16" t="str">
        <x:v>Result</x:v>
      </x:c>
    </x:row>
    <x:row r="4">
      <x:c r="A4" s="5" t="str">
        <x:v>Total materials</x:v>
      </x:c>
      <x:c r="B4" t="n">
        <x:f>COUNTA('Materials'!$A$2:$A$127)</x:f>
        <x:v>126</x:v>
      </x:c>
    </x:row>
    <x:row r="5">
      <x:c r="A5" s="5" t="str">
        <x:v>Duplicate material IDs</x:v>
      </x:c>
      <x:c r="B5" t="n">
        <x:f>COUNTIF('Materials'!$AG$2:$AG$127,TRUE)</x:f>
        <x:v>0</x:v>
      </x:c>
    </x:row>
    <x:row r="6">
      <x:c r="A6" s="5" t="str">
        <x:v>Duplicate ID check</x:v>
      </x:c>
      <x:c r="B6" t="str">
        <x:f>IF(B5=0,"PASS","FAIL")</x:f>
        <x:v>PASS</x:v>
      </x:c>
    </x:row>
    <x:row r="8">
      <x:c r="A8" s="16" t="str">
        <x:v>Family</x:v>
      </x:c>
      <x:c r="B8" s="16" t="str">
        <x:v>Material count</x:v>
      </x:c>
      <x:c r="C8" s="16" t="str">
        <x:v>Percent of library</x:v>
      </x:c>
    </x:row>
    <x:row r="9">
      <x:c r="A9" t="str">
        <x:v>Ferrous metal</x:v>
      </x:c>
      <x:c r="B9" t="n">
        <x:f>COUNTIF('Materials'!$D$2:$D$127,A9)</x:f>
        <x:v>27</x:v>
      </x:c>
      <x:c r="C9" s="52" t="n">
        <x:f>B9/$B$4</x:f>
        <x:v>0.21428571428571427</x:v>
      </x:c>
    </x:row>
    <x:row r="10">
      <x:c r="A10" t="str">
        <x:v>Nonferrous metal</x:v>
      </x:c>
      <x:c r="B10" t="n">
        <x:f>COUNTIF('Materials'!$D$2:$D$127,A10)</x:f>
        <x:v>27</x:v>
      </x:c>
      <x:c r="C10" s="52" t="n">
        <x:f>B10/$B$4</x:f>
        <x:v>0.21428571428571427</x:v>
      </x:c>
    </x:row>
    <x:row r="11">
      <x:c r="A11" t="str">
        <x:v>Polymer</x:v>
      </x:c>
      <x:c r="B11" t="n">
        <x:f>COUNTIF('Materials'!$D$2:$D$127,A11)</x:f>
        <x:v>32</x:v>
      </x:c>
      <x:c r="C11" s="52" t="n">
        <x:f>B11/$B$4</x:f>
        <x:v>0.25396825396825395</x:v>
      </x:c>
    </x:row>
    <x:row r="12">
      <x:c r="A12" t="str">
        <x:v>Ceramic</x:v>
      </x:c>
      <x:c r="B12" t="n">
        <x:f>COUNTIF('Materials'!$D$2:$D$127,A12)</x:f>
        <x:v>16</x:v>
      </x:c>
      <x:c r="C12" s="52" t="n">
        <x:f>B12/$B$4</x:f>
        <x:v>0.12698412698412698</x:v>
      </x:c>
    </x:row>
    <x:row r="13">
      <x:c r="A13" t="str">
        <x:v>Composite</x:v>
      </x:c>
      <x:c r="B13" t="n">
        <x:f>COUNTIF('Materials'!$D$2:$D$127,A13)</x:f>
        <x:v>5</x:v>
      </x:c>
      <x:c r="C13" s="52" t="n">
        <x:f>B13/$B$4</x:f>
        <x:v>0.03968253968253968</x:v>
      </x:c>
    </x:row>
    <x:row r="14">
      <x:c r="A14" t="str">
        <x:v>Wood</x:v>
      </x:c>
      <x:c r="B14" t="n">
        <x:f>COUNTIF('Materials'!$D$2:$D$127,A14)</x:f>
        <x:v>9</x:v>
      </x:c>
      <x:c r="C14" s="52" t="n">
        <x:f>B14/$B$4</x:f>
        <x:v>0.07142857142857142</x:v>
      </x:c>
    </x:row>
    <x:row r="15">
      <x:c r="A15" t="str">
        <x:v>Construction material</x:v>
      </x:c>
      <x:c r="B15" t="n">
        <x:f>COUNTIF('Materials'!$D$2:$D$127,A15)</x:f>
        <x:v>10</x:v>
      </x:c>
      <x:c r="C15" s="52" t="n">
        <x:f>B15/$B$4</x:f>
        <x:v>0.07936507936507936</x:v>
      </x:c>
    </x:row>
    <x:row r="18">
      <x:c r="A18" s="16" t="str">
        <x:v>Property ID</x:v>
      </x:c>
      <x:c r="B18" s="16" t="str">
        <x:v>Property</x:v>
      </x:c>
      <x:c r="C18" s="16" t="str">
        <x:v>Coverage</x:v>
      </x:c>
    </x:row>
    <x:row r="19">
      <x:c r="A19" t="n">
        <x:v>1</x:v>
      </x:c>
      <x:c r="B19" t="str">
        <x:v>Density</x:v>
      </x:c>
      <x:c r="C19" s="52" t="n">
        <x:f>COUNT('CPD Numeric Export'!$B$2:$B$127)/$B$4</x:f>
        <x:v>1</x:v>
      </x:c>
    </x:row>
    <x:row r="20">
      <x:c r="A20" t="n">
        <x:v>2</x:v>
      </x:c>
      <x:c r="B20" t="str">
        <x:v>Young's modulus</x:v>
      </x:c>
      <x:c r="C20" s="52" t="n">
        <x:f>COUNT('CPD Numeric Export'!$C$2:$C$127)/$B$4</x:f>
        <x:v>1</x:v>
      </x:c>
    </x:row>
    <x:row r="21">
      <x:c r="A21" t="n">
        <x:v>3</x:v>
      </x:c>
      <x:c r="B21" t="str">
        <x:v>Shear modulus</x:v>
      </x:c>
      <x:c r="C21" s="52" t="n">
        <x:f>COUNT('CPD Numeric Export'!$D$2:$D$127)/$B$4</x:f>
        <x:v>1</x:v>
      </x:c>
    </x:row>
    <x:row r="22">
      <x:c r="A22" t="n">
        <x:v>4</x:v>
      </x:c>
      <x:c r="B22" t="str">
        <x:v>Poisson ratio</x:v>
      </x:c>
      <x:c r="C22" s="52" t="n">
        <x:f>COUNT('CPD Numeric Export'!$E$2:$E$127)/$B$4</x:f>
        <x:v>1</x:v>
      </x:c>
    </x:row>
    <x:row r="23">
      <x:c r="A23" t="n">
        <x:v>5</x:v>
      </x:c>
      <x:c r="B23" t="str">
        <x:v>Tensile yield strength</x:v>
      </x:c>
      <x:c r="C23" s="52" t="n">
        <x:f>COUNT('CPD Numeric Export'!$F$2:$F$127)/$B$4</x:f>
        <x:v>0.626984126984127</x:v>
      </x:c>
    </x:row>
    <x:row r="24">
      <x:c r="A24" t="n">
        <x:v>6</x:v>
      </x:c>
      <x:c r="B24" t="str">
        <x:v>Ultimate tensile strength</x:v>
      </x:c>
      <x:c r="C24" s="52" t="n">
        <x:f>COUNT('CPD Numeric Export'!$G$2:$G$127)/$B$4</x:f>
        <x:v>1</x:v>
      </x:c>
    </x:row>
    <x:row r="25">
      <x:c r="A25" t="n">
        <x:v>7</x:v>
      </x:c>
      <x:c r="B25" t="str">
        <x:v>Compressive strength</x:v>
      </x:c>
      <x:c r="C25" s="52" t="n">
        <x:f>COUNT('CPD Numeric Export'!$H$2:$H$127)/$B$4</x:f>
        <x:v>0.5396825396825397</x:v>
      </x:c>
    </x:row>
    <x:row r="26">
      <x:c r="A26" t="n">
        <x:v>8</x:v>
      </x:c>
      <x:c r="B26" t="str">
        <x:v>Flexural strength</x:v>
      </x:c>
      <x:c r="C26" s="52" t="n">
        <x:f>COUNT('CPD Numeric Export'!$I$2:$I$127)/$B$4</x:f>
        <x:v>0.5317460317460317</x:v>
      </x:c>
    </x:row>
    <x:row r="27">
      <x:c r="A27" t="n">
        <x:v>9</x:v>
      </x:c>
      <x:c r="B27" t="str">
        <x:v>Elongation at break</x:v>
      </x:c>
      <x:c r="C27" s="52" t="n">
        <x:f>COUNT('CPD Numeric Export'!$J$2:$J$127)/$B$4</x:f>
        <x:v>1</x:v>
      </x:c>
    </x:row>
    <x:row r="28">
      <x:c r="A28" t="n">
        <x:v>10</x:v>
      </x:c>
      <x:c r="B28" t="str">
        <x:v>Fracture toughness</x:v>
      </x:c>
      <x:c r="C28" s="52" t="n">
        <x:f>COUNT('CPD Numeric Export'!$K$2:$K$127)/$B$4</x:f>
        <x:v>0.8095238095238095</x:v>
      </x:c>
    </x:row>
    <x:row r="29">
      <x:c r="A29" t="n">
        <x:v>11</x:v>
      </x:c>
      <x:c r="B29" t="str">
        <x:v>Thermal conductivity</x:v>
      </x:c>
      <x:c r="C29" s="52" t="n">
        <x:f>COUNT('CPD Numeric Export'!$L$2:$L$127)/$B$4</x:f>
        <x:v>1</x:v>
      </x:c>
    </x:row>
    <x:row r="30">
      <x:c r="A30" t="n">
        <x:v>12</x:v>
      </x:c>
      <x:c r="B30" t="str">
        <x:v>Specific heat</x:v>
      </x:c>
      <x:c r="C30" s="52" t="n">
        <x:f>COUNT('CPD Numeric Export'!$M$2:$M$127)/$B$4</x:f>
        <x:v>1</x:v>
      </x:c>
    </x:row>
    <x:row r="31">
      <x:c r="A31" t="n">
        <x:v>13</x:v>
      </x:c>
      <x:c r="B31" t="str">
        <x:v>Coefficient of thermal expansion</x:v>
      </x:c>
      <x:c r="C31" s="52" t="n">
        <x:f>COUNT('CPD Numeric Export'!$N$2:$N$127)/$B$4</x:f>
        <x:v>1</x:v>
      </x:c>
    </x:row>
    <x:row r="32">
      <x:c r="A32" t="n">
        <x:v>14</x:v>
      </x:c>
      <x:c r="B32" t="str">
        <x:v>Electrical resistivity</x:v>
      </x:c>
      <x:c r="C32" s="52" t="n">
        <x:f>COUNT('CPD Numeric Export'!$O$2:$O$127)/$B$4</x:f>
        <x:v>1</x:v>
      </x:c>
    </x:row>
    <x:row r="33">
      <x:c r="A33" t="n">
        <x:v>15</x:v>
      </x:c>
      <x:c r="B33" t="str">
        <x:v>Primary transition temperature</x:v>
      </x:c>
      <x:c r="C33" s="52" t="n">
        <x:f>COUNT('CPD Numeric Export'!$P$2:$P$127)/$B$4</x:f>
        <x:v>1</x:v>
      </x:c>
    </x:row>
    <x:row r="34">
      <x:c r="A34" t="n">
        <x:v>16</x:v>
      </x:c>
      <x:c r="B34" t="str">
        <x:v>Indicative maximum service temperature</x:v>
      </x:c>
      <x:c r="C34" s="52" t="n">
        <x:f>COUNT('CPD Numeric Export'!$Q$2:$Q$127)/$B$4</x:f>
        <x:v>1</x:v>
      </x:c>
    </x:row>
    <x:row r="35">
      <x:c r="A35" t="n">
        <x:v>17</x:v>
      </x:c>
      <x:c r="B35" t="str">
        <x:v>Vickers hardness</x:v>
      </x:c>
      <x:c r="C35" s="52" t="n">
        <x:f>COUNT('CPD Numeric Export'!$R$2:$R$127)/$B$4</x:f>
        <x:v>0.5793650793650794</x:v>
      </x:c>
    </x:row>
    <x:row r="36">
      <x:c r="A36" t="n">
        <x:v>18</x:v>
      </x:c>
      <x:c r="B36" t="str">
        <x:v>Bulk modulus</x:v>
      </x:c>
      <x:c r="C36" s="52" t="n">
        <x:f>COUNT('CPD Numeric Export'!$S$2:$S$127)/$B$4</x:f>
        <x:v>0.873015873015873</x:v>
      </x:c>
    </x:row>
  </x:sheetData>
  <x:mergeCells>
    <x:mergeCell ref="A1:F1"/>
  </x:mergeCells>
  <x:conditionalFormatting sqref="C19:C36">
    <x:cfRule type="dataBar" priority="1">
      <x:dataBar>
        <x:cfvo type="min"/>
        <x:cfvo type="max"/>
        <x:color rgb="FF1D6F78"/>
      </x:dataBar>
      <x:extLst>
        <x:ext xmlns:x14="http://schemas.microsoft.com/office/spreadsheetml/2009/9/main" uri="{B025F937-C7B1-47D3-B67F-A62EFF666E3E}">
          <x14:id>{F7DC1D20-97ED-DE95-DE9B-9E4AA6DA4A7B}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7DC1D20-97ED-DE95-DE9B-9E4AA6DA4A7B}">
            <x14:dataBar gradient="1">
              <x14:cfvo type="min"/>
              <x14:cfvo type="max"/>
              <x14:fillColor rgb="FF1D6F78"/>
            </x14:dataBar>
          </x14:cfRule>
          <xm:sqref>C19:C36</xm:sqref>
        </x14:conditionalFormatting>
      </x14:conditionalFormattings>
    </x:ext>
  </x:extLst>
</x:worksheet>
</file>